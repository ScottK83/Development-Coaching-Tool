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d.docs.live.net/5c85b5142ce30164/Desktop/"/>
    </mc:Choice>
  </mc:AlternateContent>
  <xr:revisionPtr revIDLastSave="2245" documentId="8_{AAEFDAA4-35B7-4A00-8FB9-23D3A68EEC15}" xr6:coauthVersionLast="47" xr6:coauthVersionMax="47" xr10:uidLastSave="{43A97475-710E-4234-A543-CF40773F9A83}"/>
  <bookViews>
    <workbookView xWindow="-28920" yWindow="-120" windowWidth="29040" windowHeight="15720" activeTab="3" xr2:uid="{C13719E5-3E34-4A51-A8E3-25119CBEDD7C}"/>
  </bookViews>
  <sheets>
    <sheet name="Docketed Comments" sheetId="1" r:id="rId1"/>
    <sheet name="Call Log" sheetId="7" state="hidden" r:id="rId2"/>
    <sheet name="Call Queue" sheetId="8" r:id="rId3"/>
    <sheet name="Dashboard" sheetId="9" r:id="rId4"/>
    <sheet name="Inactive-Unable to Locate" sheetId="10" state="hidden" r:id="rId5"/>
  </sheets>
  <definedNames>
    <definedName name="_xlpm.acct" hidden="1" xlm="1">#NAME?</definedName>
    <definedName name="_xlpm.best_score" hidden="1" xlm="1">#NAME?</definedName>
    <definedName name="_xlpm.called" hidden="1" xlm="1">#NAME?</definedName>
    <definedName name="_xlpm.has_acct" hidden="1" xlm="1">#NAME?</definedName>
    <definedName name="_xlpm.has_payoff" hidden="1" xlm="1">#NAME?</definedName>
    <definedName name="_xlpm.idx" hidden="1" xlm="1">#NAME?</definedName>
    <definedName name="_xlpm.maxScore" hidden="1" xlm="1">#NAME?</definedName>
    <definedName name="_xlpm.mep" hidden="1" xlm="1">#NAME?</definedName>
    <definedName name="_xlpm.not_mep" hidden="1" xlm="1">#NAME?</definedName>
    <definedName name="_xlpm.payoff" hidden="1" xlm="1">#NAME?</definedName>
    <definedName name="_xlpm.reviewdt" hidden="1" xlm="1">#NAME?</definedName>
    <definedName name="_xlpm.score" hidden="1" xlm="1">#NAME?</definedName>
    <definedName name="_xlpm.scores" hidden="1" xlm="1">#NAME?</definedName>
    <definedName name="_xlpm.scores2" hidden="1" xlm="1">#NAME?</definedName>
    <definedName name="_xlpm.uncalled" hidden="1" xlm="1">#NAME?</definedName>
    <definedName name="_xlpm.val" hidden="1" xlm="1">#NAME?</definedName>
    <definedName name="AssociateList">Dashboard!$P$3:$P$15</definedName>
  </definedNames>
  <calcPr calcId="191028"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4" i="9" l="1"/>
  <c r="N14" i="9" s="1"/>
  <c r="M13" i="9"/>
  <c r="N13" i="9" s="1"/>
  <c r="N10" i="9"/>
  <c r="N9" i="9"/>
  <c r="N8" i="9"/>
  <c r="N7" i="9"/>
  <c r="N6" i="9"/>
  <c r="N5" i="9"/>
  <c r="B10" i="9" a="1"/>
  <c r="B10" i="9" s="1"/>
  <c r="B9" i="9" a="1"/>
  <c r="B9" i="9" s="1"/>
  <c r="F9" i="9"/>
  <c r="D9" i="9"/>
  <c r="F5" i="9"/>
  <c r="D5" i="9" a="1"/>
  <c r="D5" i="9" s="1"/>
  <c r="C5" i="9"/>
  <c r="C10" i="9" a="1"/>
  <c r="C10" i="9" s="1"/>
  <c r="C9" i="9" a="1"/>
  <c r="C9" i="9" s="1"/>
  <c r="B5" i="9"/>
  <c r="C17" i="8" a="1"/>
  <c r="C17" i="8" s="1"/>
  <c r="AA1418" i="7"/>
  <c r="AA1417" i="7"/>
  <c r="AA1416" i="7"/>
  <c r="AA1415" i="7"/>
  <c r="AA1414" i="7"/>
  <c r="AA1413" i="7"/>
  <c r="AA1412" i="7"/>
  <c r="AA1411" i="7"/>
  <c r="AA1410" i="7"/>
  <c r="AA1409" i="7"/>
  <c r="AA1408" i="7"/>
  <c r="AA1407" i="7"/>
  <c r="AA1406" i="7"/>
  <c r="AA1405" i="7"/>
  <c r="AA1404" i="7"/>
  <c r="AA1403" i="7"/>
  <c r="AA1402" i="7"/>
  <c r="AA1401" i="7"/>
  <c r="AA1400" i="7"/>
  <c r="AA1399" i="7"/>
  <c r="AA1398" i="7"/>
  <c r="AA1397" i="7"/>
  <c r="AA1396" i="7"/>
  <c r="AA1395" i="7"/>
  <c r="AA1394" i="7"/>
  <c r="AA1393" i="7"/>
  <c r="AA1392" i="7"/>
  <c r="AA1391" i="7"/>
  <c r="AA1390" i="7"/>
  <c r="AA1389" i="7"/>
  <c r="AA1388" i="7"/>
  <c r="AA1387" i="7"/>
  <c r="AA1386" i="7"/>
  <c r="AA1385" i="7"/>
  <c r="AA1384" i="7"/>
  <c r="AA1383" i="7"/>
  <c r="AA1382" i="7"/>
  <c r="AA1381" i="7"/>
  <c r="AA1380" i="7"/>
  <c r="AA1379" i="7"/>
  <c r="AA1378" i="7"/>
  <c r="AA1377" i="7"/>
  <c r="AA1376" i="7"/>
  <c r="AA1375" i="7"/>
  <c r="AA1374" i="7"/>
  <c r="AA1373" i="7"/>
  <c r="AA1372" i="7"/>
  <c r="AA1371" i="7"/>
  <c r="AA1370" i="7"/>
  <c r="AA1369" i="7"/>
  <c r="AA1368" i="7"/>
  <c r="AA1367" i="7"/>
  <c r="AA1366" i="7"/>
  <c r="AA1365" i="7"/>
  <c r="AA1364" i="7"/>
  <c r="AA1363" i="7"/>
  <c r="AA1362" i="7"/>
  <c r="AA1361" i="7"/>
  <c r="AA1360" i="7"/>
  <c r="AA1359" i="7"/>
  <c r="AA1358" i="7"/>
  <c r="AA1357" i="7"/>
  <c r="AA1356" i="7"/>
  <c r="AA1355" i="7"/>
  <c r="AA1354" i="7"/>
  <c r="AA1353" i="7"/>
  <c r="AA1352" i="7"/>
  <c r="AA1351" i="7"/>
  <c r="AA1350" i="7"/>
  <c r="AA1349" i="7"/>
  <c r="AA1348" i="7"/>
  <c r="AA1347" i="7"/>
  <c r="AA1346" i="7"/>
  <c r="AA1345" i="7"/>
  <c r="AA1344" i="7"/>
  <c r="AA1343" i="7"/>
  <c r="AA1342" i="7"/>
  <c r="AA1341" i="7"/>
  <c r="AA1340" i="7"/>
  <c r="AA1339" i="7"/>
  <c r="AA1338" i="7"/>
  <c r="AA1337" i="7"/>
  <c r="AA1336" i="7"/>
  <c r="AA1335" i="7"/>
  <c r="AA1334" i="7"/>
  <c r="AA1333" i="7"/>
  <c r="AA1332" i="7"/>
  <c r="AA1331" i="7"/>
  <c r="AA1330" i="7"/>
  <c r="AA1329" i="7"/>
  <c r="AA1328" i="7"/>
  <c r="AA1327" i="7"/>
  <c r="AA1326" i="7"/>
  <c r="AA1325" i="7"/>
  <c r="AA1324" i="7"/>
  <c r="AA1323" i="7"/>
  <c r="AA1322" i="7"/>
  <c r="AA1321" i="7"/>
  <c r="AA1320" i="7"/>
  <c r="AA1319" i="7"/>
  <c r="AA1318" i="7"/>
  <c r="AA1317" i="7"/>
  <c r="AA1316" i="7"/>
  <c r="AA1315" i="7"/>
  <c r="AA1314" i="7"/>
  <c r="AA1313" i="7"/>
  <c r="AA1312" i="7"/>
  <c r="AA1311" i="7"/>
  <c r="AA1310" i="7"/>
  <c r="AA1309" i="7"/>
  <c r="AA1308" i="7"/>
  <c r="AA1307" i="7"/>
  <c r="AA1306" i="7"/>
  <c r="AA1305" i="7"/>
  <c r="AA1304" i="7"/>
  <c r="AA1303" i="7"/>
  <c r="AA1302" i="7"/>
  <c r="AA1301" i="7"/>
  <c r="AA1300" i="7"/>
  <c r="AA1299" i="7"/>
  <c r="AA1298" i="7"/>
  <c r="AA1297" i="7"/>
  <c r="AA1296" i="7"/>
  <c r="AA1295" i="7"/>
  <c r="AA1294" i="7"/>
  <c r="AA1293" i="7"/>
  <c r="AA1292"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AA1265" i="7"/>
  <c r="AA1264" i="7"/>
  <c r="AA1263" i="7"/>
  <c r="AA1262" i="7"/>
  <c r="AA1261" i="7"/>
  <c r="AA1260" i="7"/>
  <c r="AA1259" i="7"/>
  <c r="AA1258" i="7"/>
  <c r="AA1257" i="7"/>
  <c r="AA1256" i="7"/>
  <c r="AA1255" i="7"/>
  <c r="AA1254" i="7"/>
  <c r="AA1253" i="7"/>
  <c r="AA1252" i="7"/>
  <c r="AA1251" i="7"/>
  <c r="AA1250" i="7"/>
  <c r="AA1249" i="7"/>
  <c r="AA1248" i="7"/>
  <c r="AA1247" i="7"/>
  <c r="AA1246" i="7"/>
  <c r="AA1245" i="7"/>
  <c r="AA1244" i="7"/>
  <c r="AA1243" i="7"/>
  <c r="AA1242" i="7"/>
  <c r="AA1241" i="7"/>
  <c r="AA1240" i="7"/>
  <c r="AA1239" i="7"/>
  <c r="AA1238" i="7"/>
  <c r="AA1237" i="7"/>
  <c r="AA1236" i="7"/>
  <c r="AA1235" i="7"/>
  <c r="AA1234" i="7"/>
  <c r="AA1233" i="7"/>
  <c r="AA1232" i="7"/>
  <c r="AA1231" i="7"/>
  <c r="AA1230" i="7"/>
  <c r="AA1229" i="7"/>
  <c r="AA1228" i="7"/>
  <c r="AA1227" i="7"/>
  <c r="AA1226" i="7"/>
  <c r="AA1225" i="7"/>
  <c r="AA1224" i="7"/>
  <c r="AA1223" i="7"/>
  <c r="AA1222" i="7"/>
  <c r="AA1221" i="7"/>
  <c r="AA1220" i="7"/>
  <c r="AA1219" i="7"/>
  <c r="AA1218" i="7"/>
  <c r="AA1217" i="7"/>
  <c r="AA1216" i="7"/>
  <c r="AA1215" i="7"/>
  <c r="AA1214" i="7"/>
  <c r="AA1213" i="7"/>
  <c r="AA1212" i="7"/>
  <c r="AA1211" i="7"/>
  <c r="AA1210" i="7"/>
  <c r="AA1209" i="7"/>
  <c r="AA1208" i="7"/>
  <c r="AA1207" i="7"/>
  <c r="AA1206" i="7"/>
  <c r="AA1205" i="7"/>
  <c r="AA1204" i="7"/>
  <c r="AA1203" i="7"/>
  <c r="AA1202" i="7"/>
  <c r="AA1201" i="7"/>
  <c r="AA1200" i="7"/>
  <c r="AA1199" i="7"/>
  <c r="AA1198" i="7"/>
  <c r="AA1197" i="7"/>
  <c r="AA1196" i="7"/>
  <c r="AA1195" i="7"/>
  <c r="AA1194" i="7"/>
  <c r="AA1193" i="7"/>
  <c r="AA1192" i="7"/>
  <c r="AA1191" i="7"/>
  <c r="AA1190" i="7"/>
  <c r="AA1189" i="7"/>
  <c r="AA1188" i="7"/>
  <c r="AA1187" i="7"/>
  <c r="AA1186" i="7"/>
  <c r="AA1185" i="7"/>
  <c r="AA1184" i="7"/>
  <c r="AA1183" i="7"/>
  <c r="AA1182" i="7"/>
  <c r="AA1181" i="7"/>
  <c r="AA1180" i="7"/>
  <c r="AA1179" i="7"/>
  <c r="AA1178" i="7"/>
  <c r="AA1177" i="7"/>
  <c r="AA1176" i="7"/>
  <c r="AA1175" i="7"/>
  <c r="AA1174" i="7"/>
  <c r="AA1173" i="7"/>
  <c r="AA1172" i="7"/>
  <c r="AA1171" i="7"/>
  <c r="AA1170" i="7"/>
  <c r="AA1169" i="7"/>
  <c r="AA1168" i="7"/>
  <c r="AA1167" i="7"/>
  <c r="AA1166" i="7"/>
  <c r="AA1165" i="7"/>
  <c r="AA1164" i="7"/>
  <c r="AA1163" i="7"/>
  <c r="AA1162" i="7"/>
  <c r="AA1161" i="7"/>
  <c r="AA1160" i="7"/>
  <c r="AA1159" i="7"/>
  <c r="AA1158" i="7"/>
  <c r="AA1157" i="7"/>
  <c r="AA1156" i="7"/>
  <c r="AA1155" i="7"/>
  <c r="AA1154" i="7"/>
  <c r="AA1153" i="7"/>
  <c r="AA1152" i="7"/>
  <c r="AA1151" i="7"/>
  <c r="AA1150" i="7"/>
  <c r="AA1149" i="7"/>
  <c r="AA1148" i="7"/>
  <c r="AA1147" i="7"/>
  <c r="AA1146" i="7"/>
  <c r="AA1145" i="7"/>
  <c r="AA1144" i="7"/>
  <c r="AA1143" i="7"/>
  <c r="AA1142" i="7"/>
  <c r="AA1141" i="7"/>
  <c r="AA1140" i="7"/>
  <c r="AA1139" i="7"/>
  <c r="AA1138" i="7"/>
  <c r="AA1137" i="7"/>
  <c r="AA1136" i="7"/>
  <c r="AA1135" i="7"/>
  <c r="AA1134" i="7"/>
  <c r="AA1133" i="7"/>
  <c r="AA1132" i="7"/>
  <c r="AA1131" i="7"/>
  <c r="AA1130" i="7"/>
  <c r="AA1129" i="7"/>
  <c r="AA1128" i="7"/>
  <c r="AA1127" i="7"/>
  <c r="AA1126" i="7"/>
  <c r="AA1125" i="7"/>
  <c r="AA1124" i="7"/>
  <c r="AA1123" i="7"/>
  <c r="AA1122" i="7"/>
  <c r="AA1121" i="7"/>
  <c r="AA1120" i="7"/>
  <c r="AA1119" i="7"/>
  <c r="AA1118" i="7"/>
  <c r="AA1117" i="7"/>
  <c r="AA1116" i="7"/>
  <c r="AA1115" i="7"/>
  <c r="AA1114" i="7"/>
  <c r="AA1113" i="7"/>
  <c r="AA1112" i="7"/>
  <c r="AA1111" i="7"/>
  <c r="AA1110" i="7"/>
  <c r="AA1109" i="7"/>
  <c r="AA1108" i="7"/>
  <c r="AA1107" i="7"/>
  <c r="AA1106" i="7"/>
  <c r="AA1105" i="7"/>
  <c r="AA1104" i="7"/>
  <c r="AA1103" i="7"/>
  <c r="AA1102" i="7"/>
  <c r="AA1101" i="7"/>
  <c r="AA1100" i="7"/>
  <c r="AA1099" i="7"/>
  <c r="AA1098" i="7"/>
  <c r="AA1097" i="7"/>
  <c r="AA1096" i="7"/>
  <c r="AA1095" i="7"/>
  <c r="AA1094" i="7"/>
  <c r="AA1093" i="7"/>
  <c r="AA1092" i="7"/>
  <c r="AA1091" i="7"/>
  <c r="AA1090" i="7"/>
  <c r="AA1089" i="7"/>
  <c r="AA1088" i="7"/>
  <c r="AA1087" i="7"/>
  <c r="AA1086" i="7"/>
  <c r="AA1085" i="7"/>
  <c r="AA1084" i="7"/>
  <c r="AA1083" i="7"/>
  <c r="AA1082" i="7"/>
  <c r="AA1081" i="7"/>
  <c r="AA1080" i="7"/>
  <c r="AA1079" i="7"/>
  <c r="AA1078" i="7"/>
  <c r="AA1077" i="7"/>
  <c r="AA1076" i="7"/>
  <c r="AA1075" i="7"/>
  <c r="AA1074" i="7"/>
  <c r="AA1073" i="7"/>
  <c r="AA1072" i="7"/>
  <c r="AA1071" i="7"/>
  <c r="AA1070" i="7"/>
  <c r="AA1069" i="7"/>
  <c r="AA1068" i="7"/>
  <c r="AA1067" i="7"/>
  <c r="AA1066" i="7"/>
  <c r="AA1065" i="7"/>
  <c r="AA1064" i="7"/>
  <c r="AA1063" i="7"/>
  <c r="AA1062" i="7"/>
  <c r="AA1061" i="7"/>
  <c r="AA1060" i="7"/>
  <c r="AA1059" i="7"/>
  <c r="AA1058" i="7"/>
  <c r="AA1057" i="7"/>
  <c r="AA1056" i="7"/>
  <c r="AA1055" i="7"/>
  <c r="AA1054" i="7"/>
  <c r="AA1053" i="7"/>
  <c r="AA1052" i="7"/>
  <c r="AA1051" i="7"/>
  <c r="AA1050" i="7"/>
  <c r="AA1049" i="7"/>
  <c r="AA1048" i="7"/>
  <c r="AA1047" i="7"/>
  <c r="AA1046" i="7"/>
  <c r="AA1045" i="7"/>
  <c r="AA1044" i="7"/>
  <c r="AA1043" i="7"/>
  <c r="AA1042" i="7"/>
  <c r="AA1041" i="7"/>
  <c r="AA1040" i="7"/>
  <c r="AA1039" i="7"/>
  <c r="AA1038" i="7"/>
  <c r="AA1037" i="7"/>
  <c r="AA1036" i="7"/>
  <c r="AA1035" i="7"/>
  <c r="AA1034" i="7"/>
  <c r="AA1033" i="7"/>
  <c r="AA1032" i="7"/>
  <c r="AA1031" i="7"/>
  <c r="AA1030" i="7"/>
  <c r="AA1029" i="7"/>
  <c r="AA1028" i="7"/>
  <c r="AA1027" i="7"/>
  <c r="AA1026" i="7"/>
  <c r="AA1025" i="7"/>
  <c r="AA1024" i="7"/>
  <c r="AA1023" i="7"/>
  <c r="AA1022" i="7"/>
  <c r="AA1021" i="7"/>
  <c r="AA1020" i="7"/>
  <c r="AA1019" i="7"/>
  <c r="AA1018" i="7"/>
  <c r="AA1017" i="7"/>
  <c r="AA1016" i="7"/>
  <c r="AA1015" i="7"/>
  <c r="AA1014" i="7"/>
  <c r="AA1013" i="7"/>
  <c r="AA1012" i="7"/>
  <c r="AA1011" i="7"/>
  <c r="AA1010" i="7"/>
  <c r="AA1009" i="7"/>
  <c r="AA1008" i="7"/>
  <c r="AA1007" i="7"/>
  <c r="AA1006" i="7"/>
  <c r="AA1005" i="7"/>
  <c r="AA1004" i="7"/>
  <c r="AA1003" i="7"/>
  <c r="AA1002" i="7"/>
  <c r="AA1001" i="7"/>
  <c r="AA1000" i="7"/>
  <c r="AA999" i="7"/>
  <c r="AA998" i="7"/>
  <c r="AA997" i="7"/>
  <c r="AA996" i="7"/>
  <c r="AA995" i="7"/>
  <c r="AA994" i="7"/>
  <c r="AA993" i="7"/>
  <c r="AA992" i="7"/>
  <c r="AA991" i="7"/>
  <c r="AA990" i="7"/>
  <c r="AA989" i="7"/>
  <c r="AA988" i="7"/>
  <c r="AA987" i="7"/>
  <c r="AA986" i="7"/>
  <c r="AA985" i="7"/>
  <c r="AA984" i="7"/>
  <c r="AA983" i="7"/>
  <c r="AA982" i="7"/>
  <c r="AA981" i="7"/>
  <c r="AA980" i="7"/>
  <c r="AA979" i="7"/>
  <c r="AA978" i="7"/>
  <c r="AA977" i="7"/>
  <c r="AA976" i="7"/>
  <c r="AA975" i="7"/>
  <c r="AA974" i="7"/>
  <c r="AA973" i="7"/>
  <c r="AA972" i="7"/>
  <c r="AA971" i="7"/>
  <c r="AA970" i="7"/>
  <c r="AA969" i="7"/>
  <c r="AA968" i="7"/>
  <c r="AA967" i="7"/>
  <c r="AA966" i="7"/>
  <c r="AA965" i="7"/>
  <c r="AA964" i="7"/>
  <c r="AA963" i="7"/>
  <c r="AA962" i="7"/>
  <c r="AA961" i="7"/>
  <c r="AA960" i="7"/>
  <c r="AA959" i="7"/>
  <c r="AA958" i="7"/>
  <c r="AA957" i="7"/>
  <c r="AA956" i="7"/>
  <c r="AA955" i="7"/>
  <c r="AA954" i="7"/>
  <c r="AA953" i="7"/>
  <c r="AA952" i="7"/>
  <c r="AA951" i="7"/>
  <c r="AA950" i="7"/>
  <c r="AA949" i="7"/>
  <c r="AA948" i="7"/>
  <c r="AA947" i="7"/>
  <c r="AA946" i="7"/>
  <c r="AA945" i="7"/>
  <c r="AA944" i="7"/>
  <c r="AA943" i="7"/>
  <c r="AA942" i="7"/>
  <c r="AA941" i="7"/>
  <c r="AA940" i="7"/>
  <c r="AA939" i="7"/>
  <c r="AA938" i="7"/>
  <c r="AA937" i="7"/>
  <c r="AA936" i="7"/>
  <c r="AA935" i="7"/>
  <c r="AA934" i="7"/>
  <c r="AA933" i="7"/>
  <c r="AA932" i="7"/>
  <c r="AA931" i="7"/>
  <c r="AA930" i="7"/>
  <c r="AA929" i="7"/>
  <c r="AA928" i="7"/>
  <c r="AA927" i="7"/>
  <c r="AA926" i="7"/>
  <c r="AA925" i="7"/>
  <c r="AA924" i="7"/>
  <c r="AA923" i="7"/>
  <c r="AA922" i="7"/>
  <c r="AA921" i="7"/>
  <c r="AA920" i="7"/>
  <c r="AA919" i="7"/>
  <c r="AA918" i="7"/>
  <c r="AA917" i="7"/>
  <c r="AA916" i="7"/>
  <c r="AA915" i="7"/>
  <c r="AA914" i="7"/>
  <c r="AA913" i="7"/>
  <c r="AA912" i="7"/>
  <c r="AA911" i="7"/>
  <c r="AA910" i="7"/>
  <c r="AA909" i="7"/>
  <c r="AA908" i="7"/>
  <c r="AA907" i="7"/>
  <c r="AA906" i="7"/>
  <c r="AA905" i="7"/>
  <c r="AA904" i="7"/>
  <c r="AA903" i="7"/>
  <c r="AA902" i="7"/>
  <c r="AA901" i="7"/>
  <c r="AA900" i="7"/>
  <c r="AA899" i="7"/>
  <c r="AA898" i="7"/>
  <c r="AA897" i="7"/>
  <c r="AA896" i="7"/>
  <c r="AA895" i="7"/>
  <c r="AA894" i="7"/>
  <c r="AA893" i="7"/>
  <c r="AA892" i="7"/>
  <c r="AA891" i="7"/>
  <c r="AA890" i="7"/>
  <c r="AA889" i="7"/>
  <c r="AA888" i="7"/>
  <c r="AA887" i="7"/>
  <c r="AA886" i="7"/>
  <c r="AA885" i="7"/>
  <c r="AA884" i="7"/>
  <c r="AA883" i="7"/>
  <c r="AA882" i="7"/>
  <c r="AA881" i="7"/>
  <c r="AA880" i="7"/>
  <c r="AA879" i="7"/>
  <c r="AA878" i="7"/>
  <c r="AA877" i="7"/>
  <c r="AA876" i="7"/>
  <c r="AA875" i="7"/>
  <c r="AA874" i="7"/>
  <c r="AA873" i="7"/>
  <c r="AA872" i="7"/>
  <c r="AA871" i="7"/>
  <c r="AA870" i="7"/>
  <c r="AA869" i="7"/>
  <c r="AA868" i="7"/>
  <c r="AA867" i="7"/>
  <c r="AA866" i="7"/>
  <c r="AA865" i="7"/>
  <c r="AA864" i="7"/>
  <c r="AA863" i="7"/>
  <c r="AA862" i="7"/>
  <c r="AA861" i="7"/>
  <c r="AA860" i="7"/>
  <c r="AA859" i="7"/>
  <c r="AA858" i="7"/>
  <c r="AA857" i="7"/>
  <c r="AA856" i="7"/>
  <c r="AA855" i="7"/>
  <c r="AA854" i="7"/>
  <c r="AA853" i="7"/>
  <c r="AA852" i="7"/>
  <c r="AA851" i="7"/>
  <c r="AA850" i="7"/>
  <c r="AA849" i="7"/>
  <c r="AA848" i="7"/>
  <c r="AA847" i="7"/>
  <c r="AA846" i="7"/>
  <c r="AA845" i="7"/>
  <c r="AA844" i="7"/>
  <c r="AA843" i="7"/>
  <c r="AA842" i="7"/>
  <c r="AA841" i="7"/>
  <c r="AA840" i="7"/>
  <c r="AA839" i="7"/>
  <c r="AA838" i="7"/>
  <c r="AA837" i="7"/>
  <c r="AA836" i="7"/>
  <c r="AA835" i="7"/>
  <c r="AA834" i="7"/>
  <c r="AA833" i="7"/>
  <c r="AA832" i="7"/>
  <c r="AA831" i="7"/>
  <c r="AA830" i="7"/>
  <c r="AA829" i="7"/>
  <c r="AA828" i="7"/>
  <c r="AA827" i="7"/>
  <c r="AA826" i="7"/>
  <c r="AA825" i="7"/>
  <c r="AA824" i="7"/>
  <c r="AA823" i="7"/>
  <c r="AA822" i="7"/>
  <c r="AA821" i="7"/>
  <c r="AA820" i="7"/>
  <c r="AA819" i="7"/>
  <c r="AA818" i="7"/>
  <c r="AA817" i="7"/>
  <c r="AA816" i="7"/>
  <c r="AA815" i="7"/>
  <c r="AA814" i="7"/>
  <c r="AA813" i="7"/>
  <c r="AA812" i="7"/>
  <c r="AA811" i="7"/>
  <c r="AA810" i="7"/>
  <c r="AA809" i="7"/>
  <c r="AA808" i="7"/>
  <c r="AA807" i="7"/>
  <c r="AA806" i="7"/>
  <c r="AA805" i="7"/>
  <c r="AA804" i="7"/>
  <c r="AA803" i="7"/>
  <c r="AA802" i="7"/>
  <c r="AA801" i="7"/>
  <c r="AA800" i="7"/>
  <c r="AA799" i="7"/>
  <c r="AA798" i="7"/>
  <c r="AA797" i="7"/>
  <c r="AA796" i="7"/>
  <c r="AA795" i="7"/>
  <c r="AA794" i="7"/>
  <c r="AA793" i="7"/>
  <c r="AA792" i="7"/>
  <c r="AA791" i="7"/>
  <c r="AA790" i="7"/>
  <c r="AA789" i="7"/>
  <c r="AA788" i="7"/>
  <c r="AA787" i="7"/>
  <c r="AA786" i="7"/>
  <c r="AA785" i="7"/>
  <c r="AA784" i="7"/>
  <c r="AA783" i="7"/>
  <c r="AA782" i="7"/>
  <c r="AA781" i="7"/>
  <c r="AA780" i="7"/>
  <c r="AA779" i="7"/>
  <c r="AA778" i="7"/>
  <c r="AA777" i="7"/>
  <c r="AA776" i="7"/>
  <c r="AA775" i="7"/>
  <c r="AA774" i="7"/>
  <c r="AA773" i="7"/>
  <c r="AA772" i="7"/>
  <c r="AA771" i="7"/>
  <c r="AA770" i="7"/>
  <c r="AA769" i="7"/>
  <c r="AA768" i="7"/>
  <c r="AA767" i="7"/>
  <c r="AA766" i="7"/>
  <c r="AA765" i="7"/>
  <c r="AA764" i="7"/>
  <c r="AA763" i="7"/>
  <c r="AA762" i="7"/>
  <c r="AA761" i="7"/>
  <c r="AA760" i="7"/>
  <c r="AA759" i="7"/>
  <c r="AA758" i="7"/>
  <c r="AA757" i="7"/>
  <c r="AA756" i="7"/>
  <c r="AA755" i="7"/>
  <c r="AA754" i="7"/>
  <c r="AA753" i="7"/>
  <c r="AA752" i="7"/>
  <c r="AA751" i="7"/>
  <c r="AA750" i="7"/>
  <c r="AA749" i="7"/>
  <c r="AA748" i="7"/>
  <c r="AA747" i="7"/>
  <c r="AA746" i="7"/>
  <c r="AA745" i="7"/>
  <c r="AA744" i="7"/>
  <c r="AA743" i="7"/>
  <c r="AA742" i="7"/>
  <c r="AA741" i="7"/>
  <c r="AA740" i="7"/>
  <c r="AA739" i="7"/>
  <c r="AA738" i="7"/>
  <c r="AA737" i="7"/>
  <c r="AA736" i="7"/>
  <c r="AA735" i="7"/>
  <c r="AA734" i="7"/>
  <c r="AA733" i="7"/>
  <c r="AA732" i="7"/>
  <c r="AA731" i="7"/>
  <c r="AA730" i="7"/>
  <c r="AA729" i="7"/>
  <c r="AA728" i="7"/>
  <c r="AA727" i="7"/>
  <c r="AA726" i="7"/>
  <c r="AA725" i="7"/>
  <c r="AA724" i="7"/>
  <c r="AA723" i="7"/>
  <c r="AA722" i="7"/>
  <c r="AA721" i="7"/>
  <c r="AA720" i="7"/>
  <c r="AA719" i="7"/>
  <c r="AA718" i="7"/>
  <c r="AA717" i="7"/>
  <c r="AA716" i="7"/>
  <c r="AA715" i="7"/>
  <c r="AA714" i="7"/>
  <c r="AA713" i="7"/>
  <c r="AA712" i="7"/>
  <c r="AA711" i="7"/>
  <c r="AA710" i="7"/>
  <c r="AA709" i="7"/>
  <c r="AA708" i="7"/>
  <c r="AA707" i="7"/>
  <c r="AA706" i="7"/>
  <c r="AA705" i="7"/>
  <c r="AA704" i="7"/>
  <c r="AA703" i="7"/>
  <c r="AA702" i="7"/>
  <c r="AA701" i="7"/>
  <c r="AA700" i="7"/>
  <c r="AA699" i="7"/>
  <c r="AA698" i="7"/>
  <c r="AA697" i="7"/>
  <c r="AA696" i="7"/>
  <c r="AA695" i="7"/>
  <c r="AA694" i="7"/>
  <c r="AA693" i="7"/>
  <c r="AA692" i="7"/>
  <c r="AA691" i="7"/>
  <c r="AA690" i="7"/>
  <c r="AA689" i="7"/>
  <c r="AA688" i="7"/>
  <c r="AA687" i="7"/>
  <c r="AA686" i="7"/>
  <c r="AA685" i="7"/>
  <c r="AA684" i="7"/>
  <c r="AA683" i="7"/>
  <c r="AA682" i="7"/>
  <c r="AA681" i="7"/>
  <c r="AA680" i="7"/>
  <c r="AA679" i="7"/>
  <c r="AA678" i="7"/>
  <c r="AA677" i="7"/>
  <c r="AA676" i="7"/>
  <c r="AA675" i="7"/>
  <c r="AA674" i="7"/>
  <c r="AA673" i="7"/>
  <c r="AA672" i="7"/>
  <c r="AA671" i="7"/>
  <c r="AA670" i="7"/>
  <c r="AA669" i="7"/>
  <c r="AA668" i="7"/>
  <c r="AA667" i="7"/>
  <c r="AA666" i="7"/>
  <c r="AA665" i="7"/>
  <c r="AA664" i="7"/>
  <c r="AA663" i="7"/>
  <c r="AA662" i="7"/>
  <c r="AA661" i="7"/>
  <c r="AA660" i="7"/>
  <c r="AA659" i="7"/>
  <c r="AA658" i="7"/>
  <c r="AA657" i="7"/>
  <c r="AA656" i="7"/>
  <c r="AA655" i="7"/>
  <c r="AA654" i="7"/>
  <c r="AA653" i="7"/>
  <c r="AA652" i="7"/>
  <c r="AA651" i="7"/>
  <c r="AA650" i="7"/>
  <c r="AA649" i="7"/>
  <c r="AA648" i="7"/>
  <c r="AA647" i="7"/>
  <c r="AA646" i="7"/>
  <c r="AA645" i="7"/>
  <c r="AA644" i="7"/>
  <c r="AA643" i="7"/>
  <c r="AA642" i="7"/>
  <c r="AA641" i="7"/>
  <c r="AA640" i="7"/>
  <c r="AA639" i="7"/>
  <c r="AA638" i="7"/>
  <c r="AA637" i="7"/>
  <c r="AA636" i="7"/>
  <c r="AA635" i="7"/>
  <c r="AA634" i="7"/>
  <c r="AA633" i="7"/>
  <c r="AA632" i="7"/>
  <c r="AA631" i="7"/>
  <c r="AA630" i="7"/>
  <c r="AA629" i="7"/>
  <c r="AA628" i="7"/>
  <c r="AA627" i="7"/>
  <c r="AA626" i="7"/>
  <c r="AA625" i="7"/>
  <c r="AA624" i="7"/>
  <c r="AA623" i="7"/>
  <c r="AA622" i="7"/>
  <c r="AA621" i="7"/>
  <c r="AA620" i="7"/>
  <c r="AA619" i="7"/>
  <c r="AA618" i="7"/>
  <c r="AA617" i="7"/>
  <c r="AA616" i="7"/>
  <c r="AA615" i="7"/>
  <c r="AA614" i="7"/>
  <c r="AA613" i="7"/>
  <c r="AA612" i="7"/>
  <c r="AA611" i="7"/>
  <c r="AA610" i="7"/>
  <c r="AA609" i="7"/>
  <c r="AA608" i="7"/>
  <c r="AA607" i="7"/>
  <c r="AA606" i="7"/>
  <c r="AA605" i="7"/>
  <c r="AA604" i="7"/>
  <c r="AA603" i="7"/>
  <c r="AA602" i="7"/>
  <c r="AA601" i="7"/>
  <c r="AA600" i="7"/>
  <c r="AA599" i="7"/>
  <c r="AA598" i="7"/>
  <c r="AA597" i="7"/>
  <c r="AA596" i="7"/>
  <c r="AA595" i="7"/>
  <c r="AA594" i="7"/>
  <c r="AA593" i="7"/>
  <c r="AA592" i="7"/>
  <c r="AA591" i="7"/>
  <c r="AA590" i="7"/>
  <c r="AA589" i="7"/>
  <c r="AA588" i="7"/>
  <c r="AA587" i="7"/>
  <c r="AA586" i="7"/>
  <c r="AA585" i="7"/>
  <c r="AA584" i="7"/>
  <c r="AA583" i="7"/>
  <c r="AA582" i="7"/>
  <c r="AA581" i="7"/>
  <c r="AA580" i="7"/>
  <c r="AA579" i="7"/>
  <c r="AA578" i="7"/>
  <c r="AA577" i="7"/>
  <c r="AA576" i="7"/>
  <c r="AA575" i="7"/>
  <c r="AA574" i="7"/>
  <c r="AA573" i="7"/>
  <c r="AA572" i="7"/>
  <c r="AA571" i="7"/>
  <c r="AA570" i="7"/>
  <c r="AA569" i="7"/>
  <c r="AA568" i="7"/>
  <c r="AA567" i="7"/>
  <c r="AA566" i="7"/>
  <c r="AA565" i="7"/>
  <c r="AA564" i="7"/>
  <c r="AA563" i="7"/>
  <c r="AA562" i="7"/>
  <c r="AA561" i="7"/>
  <c r="AA560" i="7"/>
  <c r="AA559" i="7"/>
  <c r="AA558" i="7"/>
  <c r="AA557" i="7"/>
  <c r="AA556" i="7"/>
  <c r="AA555" i="7"/>
  <c r="AA554" i="7"/>
  <c r="AA553" i="7"/>
  <c r="AA552" i="7"/>
  <c r="AA551" i="7"/>
  <c r="AA550" i="7"/>
  <c r="AA549" i="7"/>
  <c r="AA548" i="7"/>
  <c r="AA547" i="7"/>
  <c r="AA546" i="7"/>
  <c r="AA545" i="7"/>
  <c r="AA544" i="7"/>
  <c r="AA543" i="7"/>
  <c r="AA542" i="7"/>
  <c r="AA541" i="7"/>
  <c r="AA540" i="7"/>
  <c r="AA539" i="7"/>
  <c r="AA538" i="7"/>
  <c r="AA537" i="7"/>
  <c r="AA536" i="7"/>
  <c r="AA535" i="7"/>
  <c r="AA534" i="7"/>
  <c r="AA533" i="7"/>
  <c r="AA532" i="7"/>
  <c r="AA531" i="7"/>
  <c r="AA530" i="7"/>
  <c r="AA529" i="7"/>
  <c r="AA528" i="7"/>
  <c r="AA527" i="7"/>
  <c r="AA526" i="7"/>
  <c r="AA525" i="7"/>
  <c r="AA524" i="7"/>
  <c r="AA523" i="7"/>
  <c r="AA522" i="7"/>
  <c r="AA521" i="7"/>
  <c r="AA520" i="7"/>
  <c r="AA519" i="7"/>
  <c r="AA518" i="7"/>
  <c r="AA517" i="7"/>
  <c r="AA516" i="7"/>
  <c r="AA515" i="7"/>
  <c r="AA514" i="7"/>
  <c r="AA513" i="7"/>
  <c r="AA512" i="7"/>
  <c r="AA511" i="7"/>
  <c r="AA510" i="7"/>
  <c r="AA509" i="7"/>
  <c r="AA508" i="7"/>
  <c r="AA507" i="7"/>
  <c r="AA506" i="7"/>
  <c r="AA505" i="7"/>
  <c r="AA504" i="7"/>
  <c r="AA503" i="7"/>
  <c r="AA502" i="7"/>
  <c r="AA501" i="7"/>
  <c r="AA500" i="7"/>
  <c r="AA499" i="7"/>
  <c r="AA498" i="7"/>
  <c r="AA497" i="7"/>
  <c r="AA496" i="7"/>
  <c r="AA495" i="7"/>
  <c r="AA494" i="7"/>
  <c r="AA493" i="7"/>
  <c r="AA492" i="7"/>
  <c r="AA491" i="7"/>
  <c r="AA490" i="7"/>
  <c r="AA489" i="7"/>
  <c r="AA488" i="7"/>
  <c r="AA487" i="7"/>
  <c r="AA486" i="7"/>
  <c r="AA485" i="7"/>
  <c r="AA484" i="7"/>
  <c r="AA483" i="7"/>
  <c r="AA482" i="7"/>
  <c r="AA481" i="7"/>
  <c r="AA480" i="7"/>
  <c r="AA479" i="7"/>
  <c r="AA478" i="7"/>
  <c r="AA477" i="7"/>
  <c r="AA476" i="7"/>
  <c r="AA475" i="7"/>
  <c r="AA474" i="7"/>
  <c r="AA473" i="7"/>
  <c r="AA472" i="7"/>
  <c r="AA471" i="7"/>
  <c r="AA470" i="7"/>
  <c r="AA469" i="7"/>
  <c r="AA468" i="7"/>
  <c r="AA467" i="7"/>
  <c r="AA466" i="7"/>
  <c r="AA465" i="7"/>
  <c r="AA464" i="7"/>
  <c r="AA463" i="7"/>
  <c r="AA462" i="7"/>
  <c r="AA461" i="7"/>
  <c r="AA460" i="7"/>
  <c r="AA459" i="7"/>
  <c r="AA458" i="7"/>
  <c r="AA457" i="7"/>
  <c r="AA456" i="7"/>
  <c r="AA455" i="7"/>
  <c r="AA454" i="7"/>
  <c r="AA453" i="7"/>
  <c r="AA452" i="7"/>
  <c r="AA451" i="7"/>
  <c r="AA450" i="7"/>
  <c r="AA449" i="7"/>
  <c r="AA448" i="7"/>
  <c r="AA447" i="7"/>
  <c r="AA446" i="7"/>
  <c r="AA445" i="7"/>
  <c r="AA444" i="7"/>
  <c r="AA443" i="7"/>
  <c r="AA442" i="7"/>
  <c r="AA441" i="7"/>
  <c r="AA440" i="7"/>
  <c r="AA439" i="7"/>
  <c r="AA438" i="7"/>
  <c r="AA437" i="7"/>
  <c r="AA436" i="7"/>
  <c r="AA435" i="7"/>
  <c r="AA434" i="7"/>
  <c r="AA433" i="7"/>
  <c r="AA432" i="7"/>
  <c r="AA431" i="7"/>
  <c r="AA430" i="7"/>
  <c r="AA429" i="7"/>
  <c r="AA428" i="7"/>
  <c r="AA427" i="7"/>
  <c r="AA426" i="7"/>
  <c r="AA425" i="7"/>
  <c r="AA424" i="7"/>
  <c r="AA423" i="7"/>
  <c r="AA422" i="7"/>
  <c r="AA421" i="7"/>
  <c r="AA420" i="7"/>
  <c r="AA419" i="7"/>
  <c r="AA418" i="7"/>
  <c r="AA417" i="7"/>
  <c r="AA416" i="7"/>
  <c r="AA415" i="7"/>
  <c r="AA414" i="7"/>
  <c r="AA413" i="7"/>
  <c r="AA412" i="7"/>
  <c r="AA411" i="7"/>
  <c r="AA410" i="7"/>
  <c r="AA409" i="7"/>
  <c r="AA408" i="7"/>
  <c r="AA407" i="7"/>
  <c r="AA406" i="7"/>
  <c r="AA405" i="7"/>
  <c r="AA404" i="7"/>
  <c r="AA403" i="7"/>
  <c r="AA402" i="7"/>
  <c r="AA401" i="7"/>
  <c r="AA400" i="7"/>
  <c r="AA399" i="7"/>
  <c r="AA398" i="7"/>
  <c r="AA397" i="7"/>
  <c r="AA396" i="7"/>
  <c r="AA395" i="7"/>
  <c r="AA394" i="7"/>
  <c r="AA393" i="7"/>
  <c r="AA392" i="7"/>
  <c r="AA391" i="7"/>
  <c r="AA390" i="7"/>
  <c r="AA389" i="7"/>
  <c r="AA388" i="7"/>
  <c r="AA387" i="7"/>
  <c r="AA386" i="7"/>
  <c r="AA385" i="7"/>
  <c r="AA384" i="7"/>
  <c r="AA383" i="7"/>
  <c r="AA382" i="7"/>
  <c r="AA381" i="7"/>
  <c r="AA380" i="7"/>
  <c r="AA379" i="7"/>
  <c r="AA378" i="7"/>
  <c r="AA377" i="7"/>
  <c r="AA376" i="7"/>
  <c r="AA375" i="7"/>
  <c r="AA374" i="7"/>
  <c r="AA373" i="7"/>
  <c r="AA372" i="7"/>
  <c r="AA371" i="7"/>
  <c r="AA370" i="7"/>
  <c r="AA369" i="7"/>
  <c r="AA368" i="7"/>
  <c r="AA367" i="7"/>
  <c r="AA366" i="7"/>
  <c r="AA365" i="7"/>
  <c r="AA364" i="7"/>
  <c r="AA363" i="7"/>
  <c r="AA362" i="7"/>
  <c r="AA361" i="7"/>
  <c r="AA360" i="7"/>
  <c r="AA359" i="7"/>
  <c r="AA358" i="7"/>
  <c r="AA357" i="7"/>
  <c r="AA356" i="7"/>
  <c r="AA355" i="7"/>
  <c r="AA354" i="7"/>
  <c r="AA353" i="7"/>
  <c r="AA352" i="7"/>
  <c r="AA351" i="7"/>
  <c r="AA350" i="7"/>
  <c r="AA349" i="7"/>
  <c r="AA348" i="7"/>
  <c r="AA347" i="7"/>
  <c r="AA346" i="7"/>
  <c r="AA345" i="7"/>
  <c r="AA344" i="7"/>
  <c r="AA343" i="7"/>
  <c r="AA342" i="7"/>
  <c r="AA341" i="7"/>
  <c r="AA340" i="7"/>
  <c r="AA339" i="7"/>
  <c r="AA338" i="7"/>
  <c r="AA337" i="7"/>
  <c r="AA336" i="7"/>
  <c r="AA335" i="7"/>
  <c r="AA334" i="7"/>
  <c r="AA333" i="7"/>
  <c r="AA332" i="7"/>
  <c r="AA331" i="7"/>
  <c r="AA330" i="7"/>
  <c r="AA329" i="7"/>
  <c r="AA328" i="7"/>
  <c r="AA327" i="7"/>
  <c r="AA326" i="7"/>
  <c r="AA325" i="7"/>
  <c r="AA324" i="7"/>
  <c r="AA323" i="7"/>
  <c r="AA322" i="7"/>
  <c r="AA321" i="7"/>
  <c r="AA320" i="7"/>
  <c r="AA319" i="7"/>
  <c r="AA318" i="7"/>
  <c r="AA317" i="7"/>
  <c r="AA316" i="7"/>
  <c r="AA315" i="7"/>
  <c r="AA314" i="7"/>
  <c r="AA313" i="7"/>
  <c r="AA312" i="7"/>
  <c r="AA311" i="7"/>
  <c r="AA310" i="7"/>
  <c r="AA309" i="7"/>
  <c r="AA308" i="7"/>
  <c r="AA307" i="7"/>
  <c r="AA306" i="7"/>
  <c r="AA305" i="7"/>
  <c r="AA304" i="7"/>
  <c r="AA303" i="7"/>
  <c r="AA302" i="7"/>
  <c r="AA301" i="7"/>
  <c r="AA300" i="7"/>
  <c r="AA299" i="7"/>
  <c r="AA298" i="7"/>
  <c r="AA297" i="7"/>
  <c r="AA296" i="7"/>
  <c r="AA295" i="7"/>
  <c r="AA294" i="7"/>
  <c r="AA293" i="7"/>
  <c r="AA292" i="7"/>
  <c r="AA291" i="7"/>
  <c r="AA290" i="7"/>
  <c r="AA289" i="7"/>
  <c r="AA288" i="7"/>
  <c r="AA287" i="7"/>
  <c r="AA286" i="7"/>
  <c r="AA285" i="7"/>
  <c r="AA284" i="7"/>
  <c r="AA283" i="7"/>
  <c r="AA282" i="7"/>
  <c r="AA281" i="7"/>
  <c r="AA280" i="7"/>
  <c r="AA279" i="7"/>
  <c r="AA278" i="7"/>
  <c r="AA277" i="7"/>
  <c r="AA276" i="7"/>
  <c r="AA275" i="7"/>
  <c r="AA274" i="7"/>
  <c r="AA273" i="7"/>
  <c r="AA272" i="7"/>
  <c r="AA271" i="7"/>
  <c r="AA270" i="7"/>
  <c r="AA269" i="7"/>
  <c r="AA268" i="7"/>
  <c r="AA267" i="7"/>
  <c r="AA266" i="7"/>
  <c r="AA265" i="7"/>
  <c r="AA264" i="7"/>
  <c r="AA263" i="7"/>
  <c r="AA262" i="7"/>
  <c r="AA261" i="7"/>
  <c r="AA260" i="7"/>
  <c r="AA259" i="7"/>
  <c r="AA258" i="7"/>
  <c r="AA257" i="7"/>
  <c r="AA256" i="7"/>
  <c r="AA255" i="7"/>
  <c r="AA254" i="7"/>
  <c r="AA253" i="7"/>
  <c r="AA252" i="7"/>
  <c r="AA251" i="7"/>
  <c r="AA250" i="7"/>
  <c r="AA249" i="7"/>
  <c r="AA248" i="7"/>
  <c r="AA247" i="7"/>
  <c r="AA246" i="7"/>
  <c r="AA245" i="7"/>
  <c r="AA244" i="7"/>
  <c r="AA243" i="7"/>
  <c r="AA242" i="7"/>
  <c r="AA241" i="7"/>
  <c r="AA240" i="7"/>
  <c r="AA239" i="7"/>
  <c r="AA238" i="7"/>
  <c r="AA237" i="7"/>
  <c r="AA236" i="7"/>
  <c r="AA235" i="7"/>
  <c r="AA234" i="7"/>
  <c r="AA233" i="7"/>
  <c r="AA232" i="7"/>
  <c r="AA231" i="7"/>
  <c r="AA230" i="7"/>
  <c r="AA229" i="7"/>
  <c r="AA228" i="7"/>
  <c r="AA227" i="7"/>
  <c r="AA226" i="7"/>
  <c r="AA225" i="7"/>
  <c r="AA224" i="7"/>
  <c r="AA223" i="7"/>
  <c r="AA222" i="7"/>
  <c r="AA221" i="7"/>
  <c r="AA220" i="7"/>
  <c r="AA219" i="7"/>
  <c r="AA218" i="7"/>
  <c r="AA217" i="7"/>
  <c r="AA216" i="7"/>
  <c r="AA215" i="7"/>
  <c r="AA214" i="7"/>
  <c r="AA213" i="7"/>
  <c r="AA212" i="7"/>
  <c r="AA211" i="7"/>
  <c r="AA210" i="7"/>
  <c r="AA209" i="7"/>
  <c r="AA208" i="7"/>
  <c r="AA207" i="7"/>
  <c r="AA206" i="7"/>
  <c r="AA205" i="7"/>
  <c r="AA204" i="7"/>
  <c r="AA203" i="7"/>
  <c r="AA202" i="7"/>
  <c r="AA201" i="7"/>
  <c r="AA200" i="7"/>
  <c r="AA199" i="7"/>
  <c r="AA198" i="7"/>
  <c r="AA197" i="7"/>
  <c r="AA196" i="7"/>
  <c r="AA195" i="7"/>
  <c r="AA194" i="7"/>
  <c r="AA193" i="7"/>
  <c r="AA192" i="7"/>
  <c r="AA191" i="7"/>
  <c r="AA190" i="7"/>
  <c r="AA189" i="7"/>
  <c r="AA188" i="7"/>
  <c r="AA187" i="7"/>
  <c r="AA186" i="7"/>
  <c r="AA185" i="7"/>
  <c r="AA184" i="7"/>
  <c r="AA183" i="7"/>
  <c r="AA182" i="7"/>
  <c r="AA181" i="7"/>
  <c r="AA180" i="7"/>
  <c r="AA179" i="7"/>
  <c r="AA178" i="7"/>
  <c r="AA177" i="7"/>
  <c r="AA176" i="7"/>
  <c r="AA175" i="7"/>
  <c r="AA174" i="7"/>
  <c r="AA173" i="7"/>
  <c r="AA172" i="7"/>
  <c r="AA171" i="7"/>
  <c r="AA170" i="7"/>
  <c r="AA169" i="7"/>
  <c r="AA168" i="7"/>
  <c r="AA167" i="7"/>
  <c r="AA166" i="7"/>
  <c r="AA165" i="7"/>
  <c r="AA164" i="7"/>
  <c r="AA163" i="7"/>
  <c r="AA162" i="7"/>
  <c r="AA161" i="7"/>
  <c r="AA160" i="7"/>
  <c r="AA159" i="7"/>
  <c r="AA158" i="7"/>
  <c r="AA157" i="7"/>
  <c r="AA156" i="7"/>
  <c r="AA155" i="7"/>
  <c r="AA154" i="7"/>
  <c r="AA153" i="7"/>
  <c r="AA152" i="7"/>
  <c r="AA151" i="7"/>
  <c r="AA150" i="7"/>
  <c r="AA149" i="7"/>
  <c r="AA148" i="7"/>
  <c r="AA147" i="7"/>
  <c r="AA146" i="7"/>
  <c r="AA145" i="7"/>
  <c r="AA144" i="7"/>
  <c r="AA143" i="7"/>
  <c r="AA142" i="7"/>
  <c r="AA141" i="7"/>
  <c r="AA140" i="7"/>
  <c r="AA139" i="7"/>
  <c r="AA138" i="7"/>
  <c r="AA137" i="7"/>
  <c r="AA136" i="7"/>
  <c r="AA135" i="7"/>
  <c r="AA134" i="7"/>
  <c r="AA133" i="7"/>
  <c r="AA132" i="7"/>
  <c r="AA131" i="7"/>
  <c r="AA130" i="7"/>
  <c r="AA129" i="7"/>
  <c r="AA128" i="7"/>
  <c r="AA127" i="7"/>
  <c r="AA126" i="7"/>
  <c r="AA125" i="7"/>
  <c r="AA124" i="7"/>
  <c r="AA123" i="7"/>
  <c r="AA122" i="7"/>
  <c r="AA121" i="7"/>
  <c r="AA120" i="7"/>
  <c r="AA119" i="7"/>
  <c r="AA118" i="7"/>
  <c r="AA117" i="7"/>
  <c r="AA116" i="7"/>
  <c r="AA115" i="7"/>
  <c r="AA114" i="7"/>
  <c r="AA113" i="7"/>
  <c r="AA112" i="7"/>
  <c r="AA111" i="7"/>
  <c r="AA110" i="7"/>
  <c r="AA109" i="7"/>
  <c r="AA108" i="7"/>
  <c r="AA107" i="7"/>
  <c r="AA106" i="7"/>
  <c r="AA105" i="7"/>
  <c r="AA104" i="7"/>
  <c r="AA103" i="7"/>
  <c r="AA102" i="7"/>
  <c r="AA101" i="7"/>
  <c r="AA100" i="7"/>
  <c r="AA99" i="7"/>
  <c r="AA98" i="7"/>
  <c r="AA97" i="7"/>
  <c r="AA96" i="7"/>
  <c r="AA95" i="7"/>
  <c r="AA94" i="7"/>
  <c r="AA93" i="7"/>
  <c r="AA92" i="7"/>
  <c r="AA91" i="7"/>
  <c r="AA90" i="7"/>
  <c r="AA89" i="7"/>
  <c r="AA88" i="7"/>
  <c r="AA87" i="7"/>
  <c r="AA86" i="7"/>
  <c r="AA85" i="7"/>
  <c r="AA84" i="7"/>
  <c r="AA83" i="7"/>
  <c r="AA82" i="7"/>
  <c r="AA81" i="7"/>
  <c r="AA80" i="7"/>
  <c r="AA79" i="7"/>
  <c r="AA78" i="7"/>
  <c r="AA77" i="7"/>
  <c r="AA76" i="7"/>
  <c r="AA75" i="7"/>
  <c r="AA74" i="7"/>
  <c r="AA73" i="7"/>
  <c r="AA72" i="7"/>
  <c r="AA71" i="7"/>
  <c r="AA70" i="7"/>
  <c r="AA69" i="7"/>
  <c r="AA68" i="7"/>
  <c r="AA67" i="7"/>
  <c r="AA66" i="7"/>
  <c r="AA65" i="7"/>
  <c r="AA64" i="7"/>
  <c r="AA63" i="7"/>
  <c r="AA62" i="7"/>
  <c r="AA61" i="7"/>
  <c r="AA60" i="7"/>
  <c r="AA59" i="7"/>
  <c r="AA58" i="7"/>
  <c r="AA57" i="7"/>
  <c r="AA56" i="7"/>
  <c r="AA55" i="7"/>
  <c r="AA54" i="7"/>
  <c r="AA53" i="7"/>
  <c r="AA52" i="7"/>
  <c r="AA51" i="7"/>
  <c r="AA50" i="7"/>
  <c r="AA49" i="7"/>
  <c r="AA48" i="7"/>
  <c r="AA47" i="7"/>
  <c r="AA46" i="7"/>
  <c r="AA45" i="7"/>
  <c r="AA44" i="7"/>
  <c r="AA43" i="7"/>
  <c r="AA42" i="7"/>
  <c r="AA41" i="7"/>
  <c r="AA40" i="7"/>
  <c r="AA39" i="7"/>
  <c r="AA38" i="7"/>
  <c r="AA37" i="7"/>
  <c r="AA36" i="7"/>
  <c r="AA35" i="7"/>
  <c r="AA34" i="7"/>
  <c r="AA33" i="7"/>
  <c r="AA32" i="7"/>
  <c r="AA31" i="7"/>
  <c r="AA30" i="7"/>
  <c r="AA29" i="7"/>
  <c r="AA28" i="7"/>
  <c r="AA27" i="7"/>
  <c r="AA26" i="7"/>
  <c r="AA25" i="7"/>
  <c r="AA24" i="7"/>
  <c r="AA23" i="7"/>
  <c r="AA22" i="7"/>
  <c r="AA21" i="7"/>
  <c r="AA20" i="7"/>
  <c r="AA19" i="7"/>
  <c r="AA18" i="7"/>
  <c r="AA17" i="7"/>
  <c r="AA16" i="7"/>
  <c r="AA15" i="7"/>
  <c r="AA14" i="7"/>
  <c r="AA13" i="7"/>
  <c r="AA12" i="7"/>
  <c r="AA11" i="7"/>
  <c r="AA10" i="7"/>
  <c r="AA9" i="7"/>
  <c r="AA8" i="7"/>
  <c r="AA7" i="7"/>
  <c r="AA6" i="7"/>
  <c r="AA5" i="7"/>
  <c r="AA4" i="7"/>
  <c r="AA3" i="7"/>
  <c r="AA2" i="7"/>
  <c r="B13" i="9" a="1"/>
  <c r="B13" i="9" s="1"/>
  <c r="C27" i="8" a="1"/>
  <c r="C27" i="8" s="1"/>
  <c r="D19" i="8" a="1"/>
  <c r="D19" i="8" s="1"/>
  <c r="C26" i="8" a="1"/>
  <c r="C26" i="8" s="1"/>
  <c r="C25" i="8" a="1"/>
  <c r="C25" i="8" s="1"/>
  <c r="C24" i="8" a="1"/>
  <c r="C24" i="8" s="1"/>
  <c r="C23" i="8" a="1"/>
  <c r="C23" i="8" s="1"/>
  <c r="C21" i="8" a="1"/>
  <c r="C21" i="8" s="1"/>
  <c r="C20" i="8" a="1"/>
  <c r="C20" i="8" s="1"/>
  <c r="C19" i="8" a="1"/>
  <c r="C19" i="8" s="1"/>
  <c r="C18" i="8" a="1"/>
  <c r="C18" i="8" s="1"/>
  <c r="C16" i="8" a="1"/>
  <c r="C16" i="8" s="1"/>
  <c r="C14" i="8" a="1"/>
  <c r="C14" i="8" s="1"/>
  <c r="C13" i="8" a="1"/>
  <c r="C13" i="8" s="1"/>
  <c r="C11" i="8" a="1"/>
  <c r="C11" i="8" s="1"/>
  <c r="C10" i="8" a="1"/>
  <c r="C10" i="8" s="1"/>
  <c r="C9" i="8" a="1"/>
  <c r="C9" i="8" s="1"/>
  <c r="C8" i="8" a="1"/>
  <c r="C8" i="8" s="1"/>
  <c r="H4" i="8"/>
  <c r="G2" i="8" s="1" a="1"/>
  <c r="G2" i="8" s="1"/>
  <c r="H2" i="8"/>
  <c r="E9" i="9" l="1" a="1"/>
  <c r="E9" i="9" s="1"/>
  <c r="E5" i="9"/>
  <c r="B46" i="9"/>
  <c r="H46" i="9" s="1"/>
  <c r="B45" i="9"/>
  <c r="F45" i="9" s="1"/>
  <c r="B44" i="9"/>
  <c r="K44" i="9" s="1"/>
  <c r="B43" i="9"/>
  <c r="F43" i="9" s="1"/>
  <c r="B42" i="9"/>
  <c r="D42" i="9" s="1"/>
  <c r="B41" i="9"/>
  <c r="I41" i="9" s="1"/>
  <c r="B40" i="9"/>
  <c r="D40" i="9" s="1"/>
  <c r="B39" i="9"/>
  <c r="I39" i="9" s="1"/>
  <c r="B38" i="9"/>
  <c r="K38" i="9" s="1"/>
  <c r="B37" i="9"/>
  <c r="H37" i="9" s="1"/>
  <c r="K33" i="9"/>
  <c r="J33" i="9"/>
  <c r="I33" i="9"/>
  <c r="H33" i="9"/>
  <c r="G33" i="9"/>
  <c r="F33" i="9"/>
  <c r="D33" i="9"/>
  <c r="C33" i="9"/>
  <c r="E33" i="9" s="1"/>
  <c r="K32" i="9"/>
  <c r="J32" i="9"/>
  <c r="I32" i="9"/>
  <c r="H32" i="9"/>
  <c r="G32" i="9"/>
  <c r="F32" i="9"/>
  <c r="D32" i="9"/>
  <c r="C32" i="9"/>
  <c r="E32" i="9" s="1"/>
  <c r="K31" i="9"/>
  <c r="J31" i="9"/>
  <c r="I31" i="9"/>
  <c r="H31" i="9"/>
  <c r="G31" i="9"/>
  <c r="F31" i="9"/>
  <c r="D31" i="9"/>
  <c r="C31" i="9"/>
  <c r="E31" i="9" s="1"/>
  <c r="K30" i="9"/>
  <c r="J30" i="9"/>
  <c r="I30" i="9"/>
  <c r="H30" i="9"/>
  <c r="G30" i="9"/>
  <c r="F30" i="9"/>
  <c r="D30" i="9"/>
  <c r="C30" i="9"/>
  <c r="E30" i="9" s="1"/>
  <c r="K29" i="9"/>
  <c r="J29" i="9"/>
  <c r="I29" i="9"/>
  <c r="H29" i="9"/>
  <c r="G29" i="9"/>
  <c r="F29" i="9"/>
  <c r="D29" i="9"/>
  <c r="C29" i="9"/>
  <c r="E29" i="9" s="1"/>
  <c r="K28" i="9"/>
  <c r="J28" i="9"/>
  <c r="I28" i="9"/>
  <c r="H28" i="9"/>
  <c r="G28" i="9"/>
  <c r="F28" i="9"/>
  <c r="D28" i="9"/>
  <c r="C28" i="9"/>
  <c r="E28" i="9" s="1"/>
  <c r="K27" i="9"/>
  <c r="J27" i="9"/>
  <c r="I27" i="9"/>
  <c r="H27" i="9"/>
  <c r="G27" i="9"/>
  <c r="F27" i="9"/>
  <c r="D27" i="9"/>
  <c r="C27" i="9"/>
  <c r="E27" i="9" s="1"/>
  <c r="K26" i="9"/>
  <c r="J26" i="9"/>
  <c r="I26" i="9"/>
  <c r="H26" i="9"/>
  <c r="G26" i="9"/>
  <c r="F26" i="9"/>
  <c r="D26" i="9"/>
  <c r="C26" i="9"/>
  <c r="E26" i="9" s="1"/>
  <c r="C13" i="9"/>
  <c r="K42" i="9" l="1"/>
  <c r="G43" i="9"/>
  <c r="J43" i="9"/>
  <c r="C39" i="9"/>
  <c r="E39" i="9"/>
  <c r="I45" i="9"/>
  <c r="H39" i="9"/>
  <c r="K45" i="9"/>
  <c r="J39" i="9"/>
  <c r="K39" i="9"/>
  <c r="J46" i="9"/>
  <c r="C37" i="9"/>
  <c r="G40" i="9"/>
  <c r="G37" i="9"/>
  <c r="I37" i="9"/>
  <c r="K37" i="9"/>
  <c r="E42" i="9"/>
  <c r="G42" i="9"/>
  <c r="F38" i="9"/>
  <c r="D39" i="9"/>
  <c r="F39" i="9"/>
  <c r="H45" i="9"/>
  <c r="I46" i="9"/>
  <c r="K46" i="9"/>
  <c r="D37" i="9"/>
  <c r="H40" i="9"/>
  <c r="I40" i="9"/>
  <c r="J40" i="9"/>
  <c r="K40" i="9"/>
  <c r="J37" i="9"/>
  <c r="F42" i="9"/>
  <c r="D38" i="9"/>
  <c r="H42" i="9"/>
  <c r="G38" i="9"/>
  <c r="I42" i="9"/>
  <c r="H38" i="9"/>
  <c r="H43" i="9"/>
  <c r="I43" i="9"/>
  <c r="K43" i="9"/>
  <c r="G45" i="9"/>
  <c r="G39" i="9"/>
  <c r="J45" i="9"/>
  <c r="E40" i="9"/>
  <c r="F40" i="9"/>
  <c r="F37" i="9"/>
  <c r="C38" i="9"/>
  <c r="J42" i="9"/>
  <c r="J38" i="9"/>
  <c r="E41" i="9"/>
  <c r="C46" i="9"/>
  <c r="D46" i="9"/>
  <c r="C43" i="9"/>
  <c r="E46" i="9"/>
  <c r="D43" i="9"/>
  <c r="F46" i="9"/>
  <c r="C40" i="9"/>
  <c r="E43" i="9"/>
  <c r="G46" i="9"/>
  <c r="C44" i="9"/>
  <c r="H41" i="9"/>
  <c r="J44" i="9"/>
  <c r="J41" i="9"/>
  <c r="K41" i="9"/>
  <c r="C45" i="9"/>
  <c r="I38" i="9"/>
  <c r="D44" i="9"/>
  <c r="F41" i="9"/>
  <c r="H44" i="9"/>
  <c r="G41" i="9"/>
  <c r="I44" i="9"/>
  <c r="C41" i="9"/>
  <c r="E44" i="9"/>
  <c r="D41" i="9"/>
  <c r="F44" i="9"/>
  <c r="G44" i="9"/>
  <c r="D45" i="9"/>
  <c r="C42" i="9"/>
  <c r="E45" i="9"/>
  <c r="C25" i="9"/>
  <c r="D25" i="9"/>
  <c r="F25" i="9"/>
  <c r="G25" i="9"/>
  <c r="H25" i="9"/>
  <c r="I25" i="9"/>
  <c r="J25" i="9"/>
  <c r="K25" i="9"/>
  <c r="F24" i="9"/>
  <c r="C24" i="9"/>
  <c r="D24" i="9"/>
  <c r="H24" i="9"/>
  <c r="G24" i="9"/>
  <c r="I24" i="9"/>
  <c r="J24" i="9"/>
  <c r="K24" i="9"/>
  <c r="G23" i="9"/>
  <c r="H23" i="9"/>
  <c r="I23" i="9"/>
  <c r="J23" i="9"/>
  <c r="K23" i="9"/>
  <c r="F23" i="9"/>
  <c r="C23" i="9"/>
  <c r="D23" i="9"/>
  <c r="J21" i="9"/>
  <c r="F22" i="9"/>
  <c r="G22" i="9"/>
  <c r="H22" i="9"/>
  <c r="C21" i="9"/>
  <c r="I21" i="9"/>
  <c r="F21" i="9"/>
  <c r="G21" i="9"/>
  <c r="H21" i="9"/>
  <c r="C22" i="9"/>
  <c r="D22" i="9"/>
  <c r="D21" i="9"/>
  <c r="I22" i="9"/>
  <c r="J22" i="9"/>
  <c r="K21" i="9"/>
  <c r="K22" i="9"/>
  <c r="C20" i="9"/>
  <c r="F20" i="9"/>
  <c r="G20" i="9"/>
  <c r="H20" i="9"/>
  <c r="I20" i="9"/>
  <c r="D20" i="9"/>
  <c r="J20" i="9"/>
  <c r="K20" i="9"/>
  <c r="H19" i="9"/>
  <c r="I19" i="9"/>
  <c r="G19" i="9"/>
  <c r="C19" i="9"/>
  <c r="D19" i="9"/>
  <c r="J19" i="9"/>
  <c r="K19" i="9"/>
  <c r="F19" i="9"/>
  <c r="I18" i="9"/>
  <c r="J18" i="9"/>
  <c r="C18" i="9"/>
  <c r="G18" i="9"/>
  <c r="D18" i="9"/>
  <c r="F18" i="9"/>
  <c r="H18" i="9"/>
  <c r="K18" i="9"/>
  <c r="C17" i="9"/>
  <c r="D17" i="9"/>
  <c r="H17" i="9"/>
  <c r="I17" i="9"/>
  <c r="K17" i="9"/>
  <c r="F17" i="9"/>
  <c r="J17" i="9"/>
  <c r="G17" i="9"/>
  <c r="C16" i="9"/>
  <c r="F16" i="9"/>
  <c r="G16" i="9"/>
  <c r="D16" i="9"/>
  <c r="H16" i="9"/>
  <c r="I16" i="9"/>
  <c r="J16" i="9"/>
  <c r="K16" i="9"/>
  <c r="C15" i="9"/>
  <c r="F15" i="9"/>
  <c r="J15" i="9"/>
  <c r="H15" i="9"/>
  <c r="K15" i="9"/>
  <c r="D15" i="9"/>
  <c r="G15" i="9"/>
  <c r="I15" i="9"/>
  <c r="F14" i="9"/>
  <c r="G14" i="9"/>
  <c r="H14" i="9"/>
  <c r="I14" i="9"/>
  <c r="C14" i="9"/>
  <c r="D14" i="9"/>
  <c r="J14" i="9"/>
  <c r="K14" i="9"/>
  <c r="F13" i="9"/>
  <c r="J13" i="9"/>
  <c r="G13" i="9"/>
  <c r="H13" i="9"/>
  <c r="I13" i="9"/>
  <c r="K13" i="9"/>
  <c r="D13" i="9"/>
  <c r="E13" i="9" s="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K47" i="9" l="1"/>
  <c r="E37" i="9"/>
  <c r="E38" i="9"/>
  <c r="F47" i="9"/>
  <c r="I47" i="9"/>
  <c r="J47" i="9"/>
  <c r="H47" i="9"/>
  <c r="D47" i="9"/>
  <c r="G47" i="9"/>
  <c r="C47" i="9"/>
  <c r="E25" i="9"/>
  <c r="E24" i="9"/>
  <c r="E23" i="9"/>
  <c r="E22" i="9"/>
  <c r="E20" i="9"/>
  <c r="E21" i="9"/>
  <c r="E18" i="9"/>
  <c r="E19" i="9"/>
  <c r="E17" i="9"/>
  <c r="E16" i="9"/>
  <c r="E15" i="9"/>
  <c r="E14" i="9"/>
  <c r="E47"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575C80F-43CB-4D9C-ABC6-DD8B99CE880A}" keepAlive="1" name="Query - tblAssociates" description="Connection to the 'tblAssociates' query in the workbook." type="5" refreshedVersion="8" background="1" saveData="1">
    <dbPr connection="Provider=Microsoft.Mashup.OleDb.1;Data Source=$Workbook$;Location=tblAssociates;Extended Properties=&quot;&quot;" command="SELECT * FROM [tblAssociates]"/>
  </connection>
  <connection id="2" xr16:uid="{92CE2F8E-C529-4B1D-936A-0B03AA8424D4}" keepAlive="1" name="Query - tblDocketedComments" description="Connection to the 'tblDocketedComments' query in the workbook." type="5" refreshedVersion="8" background="1" saveData="1">
    <dbPr connection="Provider=Microsoft.Mashup.OleDb.1;Data Source=$Workbook$;Location=tblDocketedComments;Extended Properties=&quot;&quot;" command="SELECT * FROM [tblDocketedCommen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<sst xmlns="http://schemas.openxmlformats.org/spreadsheetml/2006/main" count="42437" uniqueCount="5646">
  <si>
    <t>Date</t>
  </si>
  <si>
    <t>Last Name</t>
  </si>
  <si>
    <t>First Name</t>
  </si>
  <si>
    <t>City</t>
  </si>
  <si>
    <t>Zip code</t>
  </si>
  <si>
    <t>Issue / Complaint</t>
  </si>
  <si>
    <t>Docketed Consumer Comments</t>
  </si>
  <si>
    <t>Account #</t>
  </si>
  <si>
    <t>Rate Plan</t>
  </si>
  <si>
    <t>E3?</t>
  </si>
  <si>
    <t>MCP?</t>
  </si>
  <si>
    <t>Cust on MEP</t>
  </si>
  <si>
    <t>PA?</t>
  </si>
  <si>
    <t>Payoff Balance</t>
  </si>
  <si>
    <t>Team Reviewed</t>
  </si>
  <si>
    <t>Response Y(date)/N</t>
  </si>
  <si>
    <t>Last date of Account review</t>
  </si>
  <si>
    <t>Notes</t>
  </si>
  <si>
    <t>ACC Inquiry Sent to CA</t>
  </si>
  <si>
    <t>APS CA Referral</t>
  </si>
  <si>
    <t>Comments</t>
  </si>
  <si>
    <t>Include_Row</t>
  </si>
  <si>
    <t>Abidali</t>
  </si>
  <si>
    <t>Sanar</t>
  </si>
  <si>
    <t>Glendale</t>
  </si>
  <si>
    <t xml:space="preserve">Opposed </t>
  </si>
  <si>
    <t xml:space="preserve">https://images.edocket.azcc.gov/docketpdf/E000044112.pdf
</t>
  </si>
  <si>
    <t>Unable to Locate Acct</t>
  </si>
  <si>
    <t>Paulus</t>
  </si>
  <si>
    <t>Carl</t>
  </si>
  <si>
    <t>Unknown</t>
  </si>
  <si>
    <t>Opposed</t>
  </si>
  <si>
    <t>https://images.edocket.azcc.gov/docketpdf/E000044128.pdf</t>
  </si>
  <si>
    <t>Wall</t>
  </si>
  <si>
    <t>Rae</t>
  </si>
  <si>
    <t>https://images.edocket.azcc.gov/docketpdf/E000044126.pdf</t>
  </si>
  <si>
    <t>R3-47</t>
  </si>
  <si>
    <t>No</t>
  </si>
  <si>
    <t>Yes</t>
  </si>
  <si>
    <t>N</t>
  </si>
  <si>
    <t>Also filed 6/10, 6/12, 6/16</t>
  </si>
  <si>
    <t>Gwiazda</t>
  </si>
  <si>
    <t>Patricia</t>
  </si>
  <si>
    <t>Youngtown</t>
  </si>
  <si>
    <t>https://images.edocket.azcc.gov/docketpdf/E000044147.pdf</t>
  </si>
  <si>
    <t>2074850000</t>
  </si>
  <si>
    <t>RCPw/RTOUE47</t>
  </si>
  <si>
    <t>No - MEP is R3-47 ($65.13)</t>
  </si>
  <si>
    <t xml:space="preserve">MEP Annual Savings - $67.68 - Didn't Contact </t>
  </si>
  <si>
    <t>Phillips</t>
  </si>
  <si>
    <t>Crystal</t>
  </si>
  <si>
    <t xml:space="preserve">Young </t>
  </si>
  <si>
    <t>Beame</t>
  </si>
  <si>
    <t>Sndney</t>
  </si>
  <si>
    <t>Opposed/Senior/fixed income</t>
  </si>
  <si>
    <t>https://images.edocket.azcc.gov/docketpdf/E000044169.pdf</t>
  </si>
  <si>
    <t>8991140195</t>
  </si>
  <si>
    <t>R-BASICL</t>
  </si>
  <si>
    <t>No - MEP R3-47 ($192.78)</t>
  </si>
  <si>
    <t>11/03 - Customer agreed to change to their MEP</t>
  </si>
  <si>
    <t>Estimated savings $225.94/12 = $18.82 potential monthly savings on MEP</t>
  </si>
  <si>
    <t>Scoggins</t>
  </si>
  <si>
    <t>Troy</t>
  </si>
  <si>
    <t>Phoenix</t>
  </si>
  <si>
    <t>https://images.edocket.azcc.gov/docketpdf/E000044282.pdf</t>
  </si>
  <si>
    <t>Unable to locate account with name provided</t>
  </si>
  <si>
    <t>Nuccio</t>
  </si>
  <si>
    <t>Tina</t>
  </si>
  <si>
    <t>Cave Creek</t>
  </si>
  <si>
    <t>https://images.edocket.azcc.gov/docketpdf/E000044298.pdf</t>
  </si>
  <si>
    <t>Henkel</t>
  </si>
  <si>
    <t>Dean</t>
  </si>
  <si>
    <t>https://images.edocket.azcc.gov/docketpdf/E000044312.pdf</t>
  </si>
  <si>
    <t>R-XS</t>
  </si>
  <si>
    <t>Palmer</t>
  </si>
  <si>
    <t>William</t>
  </si>
  <si>
    <t>https://images.edocket.azcc.gov/docketpdf/E000044514.pdf</t>
  </si>
  <si>
    <t>Not able to locate specific account</t>
  </si>
  <si>
    <t>Paulsen</t>
  </si>
  <si>
    <t>Jodi</t>
  </si>
  <si>
    <t>7938430000</t>
  </si>
  <si>
    <t>EPR-6w/ET-1</t>
  </si>
  <si>
    <t>Not able to Compare</t>
  </si>
  <si>
    <t>Berto</t>
  </si>
  <si>
    <t>Kim &amp; Dave</t>
  </si>
  <si>
    <t>Chino Valley</t>
  </si>
  <si>
    <t>https://images.edocket.azcc.gov/docketpdf/E000044536.pdf</t>
  </si>
  <si>
    <t>Misamore</t>
  </si>
  <si>
    <t>Bruce</t>
  </si>
  <si>
    <t>Sedona</t>
  </si>
  <si>
    <t>Inactive Acct</t>
  </si>
  <si>
    <t>Shroyer</t>
  </si>
  <si>
    <t>Mary Lynne</t>
  </si>
  <si>
    <t>Sun City</t>
  </si>
  <si>
    <t>https://images.edocket.azcc.gov/docketpdf/E000044648.pdf</t>
  </si>
  <si>
    <t>Driscoll</t>
  </si>
  <si>
    <t>David &amp; Donna</t>
  </si>
  <si>
    <t>https://images.edocket.azcc.gov/docketpdf/E000044766.pdf</t>
  </si>
  <si>
    <t>6242500593</t>
  </si>
  <si>
    <t xml:space="preserve"> No - MEP R3-47($151.35)</t>
  </si>
  <si>
    <t>Prior ACC Complaint customer - Solar customer does not want to be on demand rate.</t>
  </si>
  <si>
    <t>Hix</t>
  </si>
  <si>
    <t>Debbie</t>
  </si>
  <si>
    <t>https://images.edocket.azcc.gov/docketpdf/E000044775.pdf
https://images.edocket.azcc.gov/docketpdf/E000044791.pdf</t>
  </si>
  <si>
    <t>Filed 2x on 6/16 (Thompson and Myers), Not able to locate specific account</t>
  </si>
  <si>
    <t>Montana</t>
  </si>
  <si>
    <t>Casitas</t>
  </si>
  <si>
    <t>https://images.edocket.azcc.gov/docketpdf/E000044777.pdf</t>
  </si>
  <si>
    <t>https://images.edocket.azcc.gov/docketpdf/E000044776.pdf</t>
  </si>
  <si>
    <t>Filed on 5/18 and 6/16</t>
  </si>
  <si>
    <t>Carpio</t>
  </si>
  <si>
    <t>Tania</t>
  </si>
  <si>
    <t>Surprise</t>
  </si>
  <si>
    <t>https://images.edocket.azcc.gov/docketpdf/E000044799.pdf</t>
  </si>
  <si>
    <t>Mansour</t>
  </si>
  <si>
    <t>Joe</t>
  </si>
  <si>
    <t xml:space="preserve">Neal </t>
  </si>
  <si>
    <t>Michelle</t>
  </si>
  <si>
    <t>1565756559</t>
  </si>
  <si>
    <t>Couillard</t>
  </si>
  <si>
    <t>Andre</t>
  </si>
  <si>
    <t>https://images.edocket.azcc.gov/docketpdf/E000044842.pdf</t>
  </si>
  <si>
    <t>Filed 2x on 6/18</t>
  </si>
  <si>
    <t>Witte</t>
  </si>
  <si>
    <t>Jessica</t>
  </si>
  <si>
    <t>Scottsdale</t>
  </si>
  <si>
    <t>R-BASIC</t>
  </si>
  <si>
    <t>Figueroa</t>
  </si>
  <si>
    <t>Enrique</t>
  </si>
  <si>
    <t>Gilbert</t>
  </si>
  <si>
    <t>Wheatley</t>
  </si>
  <si>
    <t>Heather</t>
  </si>
  <si>
    <t>Millbranth</t>
  </si>
  <si>
    <t>Mark</t>
  </si>
  <si>
    <t>Wilson</t>
  </si>
  <si>
    <t>John</t>
  </si>
  <si>
    <t>Carefree</t>
  </si>
  <si>
    <t>https://images.edocket.azcc.gov/docketpdf/E000044846.pdf</t>
  </si>
  <si>
    <t>Geyer</t>
  </si>
  <si>
    <t>Jared</t>
  </si>
  <si>
    <t>7528633936</t>
  </si>
  <si>
    <t xml:space="preserve">No </t>
  </si>
  <si>
    <t>No MEP R3-47 ($36.88)</t>
  </si>
  <si>
    <t>Estimated savings $37.01/12 = $3.08 potential monthly savings on MEP</t>
  </si>
  <si>
    <t>Snyder</t>
  </si>
  <si>
    <t>Steven</t>
  </si>
  <si>
    <t>4262494925</t>
  </si>
  <si>
    <t>No MEP R-XS ($110.29)</t>
  </si>
  <si>
    <t xml:space="preserve">11/03 - LM </t>
  </si>
  <si>
    <t>Estimated savings $43.66/12 = $3.63 potential monthly savings on MEP</t>
  </si>
  <si>
    <t>Buehler</t>
  </si>
  <si>
    <t>https://images.edocket.azcc.gov/docketpdf/E000044840.pdf</t>
  </si>
  <si>
    <t>Kaplan</t>
  </si>
  <si>
    <t>Wayne</t>
  </si>
  <si>
    <t>4273250000</t>
  </si>
  <si>
    <t>Delgado</t>
  </si>
  <si>
    <t>Amber</t>
  </si>
  <si>
    <t>8714231000</t>
  </si>
  <si>
    <t>Changed rate to MEP on 10/6</t>
  </si>
  <si>
    <t>Estimated savings $68.27/12 - $5.69 potential monthly savings on MEP</t>
  </si>
  <si>
    <t>Reyes</t>
  </si>
  <si>
    <t>Saporito</t>
  </si>
  <si>
    <t>Annette</t>
  </si>
  <si>
    <t>7980600000</t>
  </si>
  <si>
    <t xml:space="preserve">RTOUE47  </t>
  </si>
  <si>
    <t>No R3-47 ($439.74)</t>
  </si>
  <si>
    <t>Estimated savings $433.16/12 = $36.09 potential monthly savings on MEP</t>
  </si>
  <si>
    <t>Miller</t>
  </si>
  <si>
    <t>D</t>
  </si>
  <si>
    <t>Goodyear</t>
  </si>
  <si>
    <t>Opposed, thinks Budget billing is a scam</t>
  </si>
  <si>
    <t>https://images.edocket.azcc.gov/docketpdf/0000214768.pdf</t>
  </si>
  <si>
    <t>Gray</t>
  </si>
  <si>
    <t>Tim</t>
  </si>
  <si>
    <t>Buckeye</t>
  </si>
  <si>
    <t>https://images.edocket.azcc.gov/docketpdf/E000044863.pdf</t>
  </si>
  <si>
    <t>Garcia</t>
  </si>
  <si>
    <t>Amy</t>
  </si>
  <si>
    <t>Merlino</t>
  </si>
  <si>
    <t>Teri</t>
  </si>
  <si>
    <t>Escamilla</t>
  </si>
  <si>
    <t>Nephesh</t>
  </si>
  <si>
    <t>https://images.edocket.azcc.gov/docketpdf/E000044866.pdf</t>
  </si>
  <si>
    <t>van Dalen</t>
  </si>
  <si>
    <t>Danielle</t>
  </si>
  <si>
    <t>8025299133</t>
  </si>
  <si>
    <t>Crandall</t>
  </si>
  <si>
    <t>Rodreguez</t>
  </si>
  <si>
    <t>Alexis</t>
  </si>
  <si>
    <t>Schilling</t>
  </si>
  <si>
    <t xml:space="preserve">David  </t>
  </si>
  <si>
    <t>0799340889</t>
  </si>
  <si>
    <t>No-Mep R3-47($87.55)</t>
  </si>
  <si>
    <t>Luther</t>
  </si>
  <si>
    <t>Jonathan</t>
  </si>
  <si>
    <t>9229380000</t>
  </si>
  <si>
    <t>RTOUE47</t>
  </si>
  <si>
    <t>No-MEP R3-47($5.29)</t>
  </si>
  <si>
    <t>McKenzie</t>
  </si>
  <si>
    <t>Christine</t>
  </si>
  <si>
    <t>Porter</t>
  </si>
  <si>
    <t>Kristal</t>
  </si>
  <si>
    <t>Peoria</t>
  </si>
  <si>
    <t>7501590000</t>
  </si>
  <si>
    <t xml:space="preserve">Yes </t>
  </si>
  <si>
    <t>Fullerton</t>
  </si>
  <si>
    <t>Dale</t>
  </si>
  <si>
    <t>Gill</t>
  </si>
  <si>
    <t>Thomas</t>
  </si>
  <si>
    <t>Multiple Cust Found</t>
  </si>
  <si>
    <t>McGibbon</t>
  </si>
  <si>
    <t>Charles</t>
  </si>
  <si>
    <t>https://images.edocket.azcc.gov/docketpdf/E000044947.pdf</t>
  </si>
  <si>
    <t>4707610000</t>
  </si>
  <si>
    <t>Wolski</t>
  </si>
  <si>
    <t xml:space="preserve">Chris </t>
  </si>
  <si>
    <t>Ancha</t>
  </si>
  <si>
    <t>Bob</t>
  </si>
  <si>
    <t>https://images.edocket.azcc.gov/docketpdf/E000044979.pdf</t>
  </si>
  <si>
    <t>Sanchez</t>
  </si>
  <si>
    <t>Isabella</t>
  </si>
  <si>
    <t>https://images.edocket.azcc.gov/docketpdf/E000045059.pdf</t>
  </si>
  <si>
    <t>1164092226</t>
  </si>
  <si>
    <t>Estimated savings $42.27/12 = $3.52 potential monthly savings on MEP</t>
  </si>
  <si>
    <t>Hardy</t>
  </si>
  <si>
    <t>James</t>
  </si>
  <si>
    <t>https://images.edocket.azcc.gov/docketpdf/E000045067.pdf</t>
  </si>
  <si>
    <t>Franklin</t>
  </si>
  <si>
    <t>Jeff</t>
  </si>
  <si>
    <t>Hertzfield</t>
  </si>
  <si>
    <t>Carol</t>
  </si>
  <si>
    <t>https://images.edocket.azcc.gov/docketpdf/E000045130.pdf</t>
  </si>
  <si>
    <t>Beiser</t>
  </si>
  <si>
    <t>Antoinette</t>
  </si>
  <si>
    <t>https://images.edocket.azcc.gov/docketpdf/E000045169.pdf</t>
  </si>
  <si>
    <t>7150589750</t>
  </si>
  <si>
    <t>No MEP R3-47($267.12)</t>
  </si>
  <si>
    <t>11/03 - No answer and no voicemail</t>
  </si>
  <si>
    <t>Underwood</t>
  </si>
  <si>
    <t>Revis</t>
  </si>
  <si>
    <t>Litchfield Park</t>
  </si>
  <si>
    <t>https://images.edocket.azcc.gov/docketpdf/E000045209.pdf</t>
  </si>
  <si>
    <t>9558930000</t>
  </si>
  <si>
    <t>EPR-6w/E-12</t>
  </si>
  <si>
    <t>Info Not Avail</t>
  </si>
  <si>
    <t>Hacker</t>
  </si>
  <si>
    <t>Dennis</t>
  </si>
  <si>
    <t>Pole Attachments</t>
  </si>
  <si>
    <t>https://images.edocket.azcc.gov/docketpdf/E000045207.pdf</t>
  </si>
  <si>
    <t>7633370000</t>
  </si>
  <si>
    <t>RCPw/R3-47</t>
  </si>
  <si>
    <t>Dushoff</t>
  </si>
  <si>
    <t>Rachel</t>
  </si>
  <si>
    <t>Corrales, NM</t>
  </si>
  <si>
    <t>https://images.edocket.azcc.gov/docketpdf/E000045226.pdf</t>
  </si>
  <si>
    <t>Wiehl</t>
  </si>
  <si>
    <t>Sarah</t>
  </si>
  <si>
    <t>Opposed / Greed</t>
  </si>
  <si>
    <t>Rizzi</t>
  </si>
  <si>
    <t>https://images.edocket.azcc.gov/docketpdf/E000045267.pdf</t>
  </si>
  <si>
    <t>AMI Opt Out</t>
  </si>
  <si>
    <t>Prescott Valley</t>
  </si>
  <si>
    <t>Starr</t>
  </si>
  <si>
    <t>Valerie</t>
  </si>
  <si>
    <t>Payson</t>
  </si>
  <si>
    <t>https://images.edocket.azcc.gov/docketpdf/E000045309.pdf</t>
  </si>
  <si>
    <t>8135798464</t>
  </si>
  <si>
    <t>No MEP R3-47 ($337.28)</t>
  </si>
  <si>
    <t>Estimated savings $432.84/12 = $36.07 potential monthly savings on MEP</t>
  </si>
  <si>
    <t>Hill</t>
  </si>
  <si>
    <t>Teresa</t>
  </si>
  <si>
    <t>Senior/Fixed Income/ Data Centers</t>
  </si>
  <si>
    <t>https://images.edocket.azcc.gov/docketpdf/E000045376.pdf</t>
  </si>
  <si>
    <t>5307300000</t>
  </si>
  <si>
    <t>No MEP R-XS ($136.97)</t>
  </si>
  <si>
    <t>11/03 - Customer will callback at a more convenient time to discuss MEP</t>
  </si>
  <si>
    <t>Seabrook</t>
  </si>
  <si>
    <t>https://images.edocket.azcc.gov/docketpdf/E000045426.pdf</t>
  </si>
  <si>
    <t>3616936085</t>
  </si>
  <si>
    <t>No MEP R-BASIC ($170.13)</t>
  </si>
  <si>
    <t>Will be automatically reassigned soon</t>
  </si>
  <si>
    <t>Grube</t>
  </si>
  <si>
    <t>Get more nuclear online</t>
  </si>
  <si>
    <t>Sternberg</t>
  </si>
  <si>
    <t>Karen</t>
  </si>
  <si>
    <t>Comments are about water rates</t>
  </si>
  <si>
    <t>https://images.edocket.azcc.gov/docketpdf/E000045814.pdf</t>
  </si>
  <si>
    <t>4285810000</t>
  </si>
  <si>
    <t xml:space="preserve">R-XS </t>
  </si>
  <si>
    <t>Comments are about water rate increases</t>
  </si>
  <si>
    <t>Waterman</t>
  </si>
  <si>
    <t>Kathleen</t>
  </si>
  <si>
    <t>Coleman</t>
  </si>
  <si>
    <t>Maricopa</t>
  </si>
  <si>
    <t xml:space="preserve">Neutral </t>
  </si>
  <si>
    <t>https://images.edocket.azcc.gov/docketpdf/E000046007.pdf</t>
  </si>
  <si>
    <t>Hines</t>
  </si>
  <si>
    <t>Rohna</t>
  </si>
  <si>
    <t>https://images.edocket.azcc.gov/docketpdf/E000046100.pdf</t>
  </si>
  <si>
    <t>9376851000</t>
  </si>
  <si>
    <t>No MEP R-XS($77.28)</t>
  </si>
  <si>
    <t>Lovato</t>
  </si>
  <si>
    <t>Tiffany</t>
  </si>
  <si>
    <t>https://images.edocket.azcc.gov/docketpdf/E000046155.pdf</t>
  </si>
  <si>
    <t>DeLano</t>
  </si>
  <si>
    <t>opposed</t>
  </si>
  <si>
    <t>King</t>
  </si>
  <si>
    <t>Debra</t>
  </si>
  <si>
    <t>Wray</t>
  </si>
  <si>
    <t>Brett</t>
  </si>
  <si>
    <t>Form letter</t>
  </si>
  <si>
    <t>Read</t>
  </si>
  <si>
    <t>David</t>
  </si>
  <si>
    <t xml:space="preserve">Peoria </t>
  </si>
  <si>
    <t>First</t>
  </si>
  <si>
    <t>Lakisha</t>
  </si>
  <si>
    <t>Huynh</t>
  </si>
  <si>
    <t>Nam</t>
  </si>
  <si>
    <t xml:space="preserve">Walker </t>
  </si>
  <si>
    <t>Simmons</t>
  </si>
  <si>
    <t>Jennifer</t>
  </si>
  <si>
    <t>2882986476</t>
  </si>
  <si>
    <t>No MEP R3-47 ($61.45)</t>
  </si>
  <si>
    <t>Wood</t>
  </si>
  <si>
    <t>Ethan</t>
  </si>
  <si>
    <t>Keller</t>
  </si>
  <si>
    <t>7692260000</t>
  </si>
  <si>
    <t>Vint</t>
  </si>
  <si>
    <t>Shannon</t>
  </si>
  <si>
    <t>Corey</t>
  </si>
  <si>
    <t>6584830202</t>
  </si>
  <si>
    <t>No MEP R3-47 ($1,048.14)</t>
  </si>
  <si>
    <t xml:space="preserve">10/02 - LM </t>
  </si>
  <si>
    <t>Alexander</t>
  </si>
  <si>
    <t>Jacob</t>
  </si>
  <si>
    <t>Poe</t>
  </si>
  <si>
    <t>Leighton</t>
  </si>
  <si>
    <t>5855923100</t>
  </si>
  <si>
    <t>No MEP RTOUE47($74.06)</t>
  </si>
  <si>
    <t>Charapata</t>
  </si>
  <si>
    <t>Maxwell</t>
  </si>
  <si>
    <t>No-MEP R3-47(23.66)</t>
  </si>
  <si>
    <t>Lafond</t>
  </si>
  <si>
    <t>Ciara</t>
  </si>
  <si>
    <t>7245245699</t>
  </si>
  <si>
    <t>O'Gorman</t>
  </si>
  <si>
    <t>Erin</t>
  </si>
  <si>
    <t>644019886</t>
  </si>
  <si>
    <t>No-MEP R3-47($141.01)</t>
  </si>
  <si>
    <t>Lara</t>
  </si>
  <si>
    <t>Gerardo</t>
  </si>
  <si>
    <t>6799425771</t>
  </si>
  <si>
    <t>No MEP R3-47(249.30)</t>
  </si>
  <si>
    <t>10/02 - LM - COR initiated rate change to MEP on 10/23</t>
  </si>
  <si>
    <t>Howell</t>
  </si>
  <si>
    <t>Chris</t>
  </si>
  <si>
    <t>6635023227</t>
  </si>
  <si>
    <t>No MEP R3-47($2.91)</t>
  </si>
  <si>
    <t>Torres</t>
  </si>
  <si>
    <t>Kyle</t>
  </si>
  <si>
    <t>9505905227</t>
  </si>
  <si>
    <t>No MEP R3-47($18.99)</t>
  </si>
  <si>
    <t>Tighe</t>
  </si>
  <si>
    <t>Paul</t>
  </si>
  <si>
    <t>9937021000</t>
  </si>
  <si>
    <t>Ward</t>
  </si>
  <si>
    <t>7949496672</t>
  </si>
  <si>
    <t>Anderson</t>
  </si>
  <si>
    <t>Nash</t>
  </si>
  <si>
    <t>Destiny</t>
  </si>
  <si>
    <t>Chandler</t>
  </si>
  <si>
    <t>8712521000</t>
  </si>
  <si>
    <t>Wilkymacky</t>
  </si>
  <si>
    <t>Abby</t>
  </si>
  <si>
    <t>2584149193</t>
  </si>
  <si>
    <t>Melendez</t>
  </si>
  <si>
    <t>Jose</t>
  </si>
  <si>
    <t>3811821000</t>
  </si>
  <si>
    <t>No MEP R3-47 ($128.91)</t>
  </si>
  <si>
    <t>Crosbie</t>
  </si>
  <si>
    <t>0814350000</t>
  </si>
  <si>
    <t>Kong</t>
  </si>
  <si>
    <t>Joseph</t>
  </si>
  <si>
    <t>Tolinos</t>
  </si>
  <si>
    <t>Jacinta</t>
  </si>
  <si>
    <t>0050340630 </t>
  </si>
  <si>
    <t>Findley</t>
  </si>
  <si>
    <t>Moses</t>
  </si>
  <si>
    <t>7949331000</t>
  </si>
  <si>
    <t>Frozen Rate</t>
  </si>
  <si>
    <t>COR has spoken to CX several times in the last few weeks and been advised of assitance options and extended PA</t>
  </si>
  <si>
    <t>Schmidt</t>
  </si>
  <si>
    <t>Bryan</t>
  </si>
  <si>
    <t>4676231000</t>
  </si>
  <si>
    <t>Bernardi</t>
  </si>
  <si>
    <t>Patrick</t>
  </si>
  <si>
    <t xml:space="preserve">Prescott  </t>
  </si>
  <si>
    <t>6570141000</t>
  </si>
  <si>
    <t>Scharroo</t>
  </si>
  <si>
    <t>George</t>
  </si>
  <si>
    <t>6924836428</t>
  </si>
  <si>
    <t>Not eligible yet (needs 3 months)</t>
  </si>
  <si>
    <t>Nava</t>
  </si>
  <si>
    <t>Alfredo</t>
  </si>
  <si>
    <t>1717959515</t>
  </si>
  <si>
    <t>No MEP-R3-47($66.86)</t>
  </si>
  <si>
    <t>Hay</t>
  </si>
  <si>
    <t>Leanne</t>
  </si>
  <si>
    <t>1147845609</t>
  </si>
  <si>
    <t>No MEP R3-47($261.63)</t>
  </si>
  <si>
    <t>Harmon</t>
  </si>
  <si>
    <t>Austin</t>
  </si>
  <si>
    <t>Arizona City</t>
  </si>
  <si>
    <t>9462295527</t>
  </si>
  <si>
    <t>No MAEP R-BASIC($56.50)</t>
  </si>
  <si>
    <t>Mangerie</t>
  </si>
  <si>
    <t>Chelsea</t>
  </si>
  <si>
    <t>7850451000</t>
  </si>
  <si>
    <t>EPR-6w/ET-2</t>
  </si>
  <si>
    <t>Flores</t>
  </si>
  <si>
    <t>Ashley</t>
  </si>
  <si>
    <t>Farr</t>
  </si>
  <si>
    <t>Amanda</t>
  </si>
  <si>
    <t>No MEP R3-47(463.60)</t>
  </si>
  <si>
    <t>Healey</t>
  </si>
  <si>
    <t>Patrizia</t>
  </si>
  <si>
    <t>Mateos</t>
  </si>
  <si>
    <t>Melissa</t>
  </si>
  <si>
    <t>El Mirage</t>
  </si>
  <si>
    <t>Strauss</t>
  </si>
  <si>
    <t xml:space="preserve">N </t>
  </si>
  <si>
    <t>Campbell</t>
  </si>
  <si>
    <t>Bauman</t>
  </si>
  <si>
    <t>Raymie</t>
  </si>
  <si>
    <t>Bradley</t>
  </si>
  <si>
    <t>9091172317</t>
  </si>
  <si>
    <t>Frazier</t>
  </si>
  <si>
    <t>Brandon</t>
  </si>
  <si>
    <t>73064220000</t>
  </si>
  <si>
    <t>Hale</t>
  </si>
  <si>
    <t>Catherine</t>
  </si>
  <si>
    <t>3411891368</t>
  </si>
  <si>
    <t>Norton</t>
  </si>
  <si>
    <t>Colin</t>
  </si>
  <si>
    <t>4659820000</t>
  </si>
  <si>
    <t>No-MEP R3-47($453.80)</t>
  </si>
  <si>
    <t xml:space="preserve">10/2 Spoke with customer and provided information regarding MEP. He wanted to review the details online. Also provided the information is available on his bill each month. Offered our number if he had any questions. </t>
  </si>
  <si>
    <t>Rogers</t>
  </si>
  <si>
    <t>Wittmann</t>
  </si>
  <si>
    <t>Lindsey</t>
  </si>
  <si>
    <t>26172433356</t>
  </si>
  <si>
    <t>Herrmann</t>
  </si>
  <si>
    <t>Jeremiah</t>
  </si>
  <si>
    <t>Koduri</t>
  </si>
  <si>
    <t>Divya</t>
  </si>
  <si>
    <t>4242991952</t>
  </si>
  <si>
    <t>Cody</t>
  </si>
  <si>
    <t>2773271262</t>
  </si>
  <si>
    <t>Lyngaas</t>
  </si>
  <si>
    <t>Owen</t>
  </si>
  <si>
    <t>2371502355</t>
  </si>
  <si>
    <t>Peluso</t>
  </si>
  <si>
    <t>4056801020</t>
  </si>
  <si>
    <t>Scaminaci</t>
  </si>
  <si>
    <t>Todd</t>
  </si>
  <si>
    <t>6322573684</t>
  </si>
  <si>
    <t>Edgar</t>
  </si>
  <si>
    <t>Bailey</t>
  </si>
  <si>
    <t>Isaiah</t>
  </si>
  <si>
    <t>6460103590</t>
  </si>
  <si>
    <t>Nadolski</t>
  </si>
  <si>
    <t>Andrew</t>
  </si>
  <si>
    <t>4452990070</t>
  </si>
  <si>
    <t>Hernandex</t>
  </si>
  <si>
    <t>Aldo</t>
  </si>
  <si>
    <t>Vargo</t>
  </si>
  <si>
    <t xml:space="preserve">Daniel </t>
  </si>
  <si>
    <t xml:space="preserve">8999251000 </t>
  </si>
  <si>
    <t>Harding</t>
  </si>
  <si>
    <t>Anthony</t>
  </si>
  <si>
    <t>Wasserman</t>
  </si>
  <si>
    <t>Michael</t>
  </si>
  <si>
    <t>4048489946</t>
  </si>
  <si>
    <t>No MEP R3-47($123.47)</t>
  </si>
  <si>
    <t>10/9 - Left VM</t>
  </si>
  <si>
    <t>O'Toole</t>
  </si>
  <si>
    <t>Dan</t>
  </si>
  <si>
    <t>Nicosia</t>
  </si>
  <si>
    <t>Marcella</t>
  </si>
  <si>
    <t>1750915214</t>
  </si>
  <si>
    <t>Assaraf</t>
  </si>
  <si>
    <t>Sandy</t>
  </si>
  <si>
    <t>4133921000</t>
  </si>
  <si>
    <t>Roudette</t>
  </si>
  <si>
    <t>6230194725</t>
  </si>
  <si>
    <t>Assistance?</t>
  </si>
  <si>
    <t>Knorr</t>
  </si>
  <si>
    <t>Tyler</t>
  </si>
  <si>
    <t>Jones-Weinert</t>
  </si>
  <si>
    <t>Esho</t>
  </si>
  <si>
    <t>https://images.edocket.azcc.gov/docketpdf/0000215113.pdf</t>
  </si>
  <si>
    <t>2806465032</t>
  </si>
  <si>
    <t>Shuck</t>
  </si>
  <si>
    <t>Ken</t>
  </si>
  <si>
    <t>Flagstaff</t>
  </si>
  <si>
    <t>Would be a hardship</t>
  </si>
  <si>
    <t>https://images.edocket.azcc.gov/docketpdf/E000046190.pdf</t>
  </si>
  <si>
    <t>4871279597</t>
  </si>
  <si>
    <t>Gardner</t>
  </si>
  <si>
    <t>Karece</t>
  </si>
  <si>
    <t>4436732938</t>
  </si>
  <si>
    <t>No MEP R3-47($216.65)</t>
  </si>
  <si>
    <t>10/2 - Left VM</t>
  </si>
  <si>
    <t>Hampton</t>
  </si>
  <si>
    <t>5172470768</t>
  </si>
  <si>
    <t>Premjee</t>
  </si>
  <si>
    <t>Jayesh</t>
  </si>
  <si>
    <t>Financial burden</t>
  </si>
  <si>
    <t>4073651000</t>
  </si>
  <si>
    <t>No MEP R3-47($176.22)</t>
  </si>
  <si>
    <t>Spoke w/customer- he will think about it and either call back or change online</t>
  </si>
  <si>
    <t>Soledad</t>
  </si>
  <si>
    <t>Ramon</t>
  </si>
  <si>
    <t>Avondale</t>
  </si>
  <si>
    <t>6354570000</t>
  </si>
  <si>
    <t>Spanish preference customer</t>
  </si>
  <si>
    <t>Ramirez</t>
  </si>
  <si>
    <t>Apodaca</t>
  </si>
  <si>
    <t>Simpson</t>
  </si>
  <si>
    <t>Adam</t>
  </si>
  <si>
    <t>1541553890</t>
  </si>
  <si>
    <t>Marr</t>
  </si>
  <si>
    <t>Michaela</t>
  </si>
  <si>
    <t>9149301000</t>
  </si>
  <si>
    <t>Hatch</t>
  </si>
  <si>
    <t>Geoffrey</t>
  </si>
  <si>
    <t>8789670000</t>
  </si>
  <si>
    <t>Sutton</t>
  </si>
  <si>
    <t>Terry</t>
  </si>
  <si>
    <t>Casa Grande</t>
  </si>
  <si>
    <t>4665180000</t>
  </si>
  <si>
    <t>R-2</t>
  </si>
  <si>
    <t>Klein</t>
  </si>
  <si>
    <t>Christian</t>
  </si>
  <si>
    <t>9867756348</t>
  </si>
  <si>
    <t>Skinner</t>
  </si>
  <si>
    <t>Edward</t>
  </si>
  <si>
    <t>Desert</t>
  </si>
  <si>
    <t>Christopher</t>
  </si>
  <si>
    <t>Becker</t>
  </si>
  <si>
    <t>Nicholas</t>
  </si>
  <si>
    <t>4619651000</t>
  </si>
  <si>
    <t>Shoop</t>
  </si>
  <si>
    <t>Jordan</t>
  </si>
  <si>
    <t>0066499647</t>
  </si>
  <si>
    <t>Reta</t>
  </si>
  <si>
    <t>Nikki</t>
  </si>
  <si>
    <t>Bednarz</t>
  </si>
  <si>
    <t>Taylor</t>
  </si>
  <si>
    <t>4983424677</t>
  </si>
  <si>
    <t>No MEP R3-47($129.92)</t>
  </si>
  <si>
    <t>Left VM 10/03/2025</t>
  </si>
  <si>
    <t>Kovar</t>
  </si>
  <si>
    <t>No rate hikes</t>
  </si>
  <si>
    <t>5273951000</t>
  </si>
  <si>
    <t>Lamb</t>
  </si>
  <si>
    <t>2204984346</t>
  </si>
  <si>
    <t>Edwards</t>
  </si>
  <si>
    <t>Dylan</t>
  </si>
  <si>
    <t>Munuswamy</t>
  </si>
  <si>
    <t>Dinesh</t>
  </si>
  <si>
    <t>5930390000</t>
  </si>
  <si>
    <t>Mandloi</t>
  </si>
  <si>
    <t>Anurag</t>
  </si>
  <si>
    <t>1742331189</t>
  </si>
  <si>
    <t>Kelly</t>
  </si>
  <si>
    <t>9268845654</t>
  </si>
  <si>
    <t>Sahoo</t>
  </si>
  <si>
    <t>Prakash</t>
  </si>
  <si>
    <t>Does not support</t>
  </si>
  <si>
    <t>5872670000</t>
  </si>
  <si>
    <t>Lichtner</t>
  </si>
  <si>
    <t>1567963536</t>
  </si>
  <si>
    <t>No MEP R3-47($45.27)</t>
  </si>
  <si>
    <t>Linnane</t>
  </si>
  <si>
    <t>Betsy</t>
  </si>
  <si>
    <t>Pela</t>
  </si>
  <si>
    <t>Allison</t>
  </si>
  <si>
    <t>Punishing solar customers</t>
  </si>
  <si>
    <t>7770645738</t>
  </si>
  <si>
    <t>Elliston</t>
  </si>
  <si>
    <t>Juanita</t>
  </si>
  <si>
    <t>2931588244</t>
  </si>
  <si>
    <t>Kroytoro</t>
  </si>
  <si>
    <t>Eli</t>
  </si>
  <si>
    <t>5428778750</t>
  </si>
  <si>
    <t>McCallum</t>
  </si>
  <si>
    <t>Robert</t>
  </si>
  <si>
    <t xml:space="preserve">Cannot afford/retired </t>
  </si>
  <si>
    <t>9593560000</t>
  </si>
  <si>
    <t>Kontryn</t>
  </si>
  <si>
    <t xml:space="preserve">Sara </t>
  </si>
  <si>
    <t>3405320000</t>
  </si>
  <si>
    <t>No MEP R3-47($91.81)</t>
  </si>
  <si>
    <t>Petersen</t>
  </si>
  <si>
    <t>Bergstrom</t>
  </si>
  <si>
    <t>Shailey</t>
  </si>
  <si>
    <t>Apt electric bill is as high as her parent home in Tucson</t>
  </si>
  <si>
    <t>7477798096</t>
  </si>
  <si>
    <t>No MEP R-BASIC(170.69)</t>
  </si>
  <si>
    <t>Left VM 10/03/2025 - Will be automatically reassigned to Tier 2 soon</t>
  </si>
  <si>
    <t>Richard</t>
  </si>
  <si>
    <t>2605161000</t>
  </si>
  <si>
    <t>No Multiple SAs not on MEP</t>
  </si>
  <si>
    <t>Weaver</t>
  </si>
  <si>
    <t>Make data centers pay more not people who are struggling</t>
  </si>
  <si>
    <t>9938175305</t>
  </si>
  <si>
    <t>Gutierrez</t>
  </si>
  <si>
    <t>Francisco</t>
  </si>
  <si>
    <t>Yuma</t>
  </si>
  <si>
    <t>1560131000</t>
  </si>
  <si>
    <t>No MEP R3-47($92.74)</t>
  </si>
  <si>
    <t>Unable to leave VM- Mailbox full 10/03/25</t>
  </si>
  <si>
    <t>Buros</t>
  </si>
  <si>
    <t>Nicole</t>
  </si>
  <si>
    <t>Ramakrishnan</t>
  </si>
  <si>
    <t>Shyam Sundar</t>
  </si>
  <si>
    <t>Unnecessary financial strain</t>
  </si>
  <si>
    <t>9679340000</t>
  </si>
  <si>
    <t>Vandiver</t>
  </si>
  <si>
    <t>Kaneshea</t>
  </si>
  <si>
    <t>Already having a hard time affording electric bill</t>
  </si>
  <si>
    <t>5347487924</t>
  </si>
  <si>
    <t>Martin-Pinon</t>
  </si>
  <si>
    <t>Olivia</t>
  </si>
  <si>
    <t>Tempe</t>
  </si>
  <si>
    <t>Fajardo</t>
  </si>
  <si>
    <t>9687504618</t>
  </si>
  <si>
    <t>Mohapatra</t>
  </si>
  <si>
    <t>Sangram</t>
  </si>
  <si>
    <t>4557041000</t>
  </si>
  <si>
    <t>No MEP R3-47($197.05)</t>
  </si>
  <si>
    <t>Purohit</t>
  </si>
  <si>
    <t>Amit Kumar</t>
  </si>
  <si>
    <t>3105621000</t>
  </si>
  <si>
    <t>Valenzuela</t>
  </si>
  <si>
    <t>Elena</t>
  </si>
  <si>
    <t>Theis</t>
  </si>
  <si>
    <t>Madison</t>
  </si>
  <si>
    <t>49371600000</t>
  </si>
  <si>
    <t>Lee</t>
  </si>
  <si>
    <t>Have to choose between lights and groceries</t>
  </si>
  <si>
    <t>Davis</t>
  </si>
  <si>
    <t>Lance</t>
  </si>
  <si>
    <t>Hupka</t>
  </si>
  <si>
    <t>Tanner</t>
  </si>
  <si>
    <t>8701977261</t>
  </si>
  <si>
    <t>Lopez</t>
  </si>
  <si>
    <t>Brian</t>
  </si>
  <si>
    <t>Somerton</t>
  </si>
  <si>
    <t>Monopoly</t>
  </si>
  <si>
    <t>Chacon</t>
  </si>
  <si>
    <t>Luis</t>
  </si>
  <si>
    <t>Dims</t>
  </si>
  <si>
    <t xml:space="preserve">Cannot afford </t>
  </si>
  <si>
    <t>Coudriet</t>
  </si>
  <si>
    <t>Lise</t>
  </si>
  <si>
    <t xml:space="preserve">Will cause hardships </t>
  </si>
  <si>
    <t>5411325149</t>
  </si>
  <si>
    <t>No MEP R3-47(755.73)</t>
  </si>
  <si>
    <r>
      <t xml:space="preserve">Left VM 10/03/2025 - Initiated rate change to MEP on 10/10 </t>
    </r>
    <r>
      <rPr>
        <sz val="9"/>
        <color rgb="FFFF0000"/>
        <rFont val="Arial Nova Cond"/>
        <family val="2"/>
      </rPr>
      <t>- MAY NEED MORE ASSISTANCE</t>
    </r>
  </si>
  <si>
    <t>Murillo</t>
  </si>
  <si>
    <t>Deep</t>
  </si>
  <si>
    <t>Varun</t>
  </si>
  <si>
    <t>4664521000</t>
  </si>
  <si>
    <t>Skidmore</t>
  </si>
  <si>
    <t>Marie</t>
  </si>
  <si>
    <t>Not affordable</t>
  </si>
  <si>
    <t>1037080000</t>
  </si>
  <si>
    <t>Floyd</t>
  </si>
  <si>
    <t>Casey</t>
  </si>
  <si>
    <t>7246270000</t>
  </si>
  <si>
    <t>Chandrasekaran</t>
  </si>
  <si>
    <t>Vamsikrishna</t>
  </si>
  <si>
    <t>Families struggling/APS strong profits</t>
  </si>
  <si>
    <t>Jaime</t>
  </si>
  <si>
    <t>Johnson</t>
  </si>
  <si>
    <t>Rion</t>
  </si>
  <si>
    <t>Medeiros</t>
  </si>
  <si>
    <t>Morganstien</t>
  </si>
  <si>
    <t>Alan</t>
  </si>
  <si>
    <t>Citizens carrying cost of demand driven by data centers</t>
  </si>
  <si>
    <t xml:space="preserve">Gurram </t>
  </si>
  <si>
    <t>Tanooj Kumar Reddy</t>
  </si>
  <si>
    <t>7001761000</t>
  </si>
  <si>
    <t>No MEP R3-47($194.29)</t>
  </si>
  <si>
    <t>Vogt</t>
  </si>
  <si>
    <t>Gary</t>
  </si>
  <si>
    <t>Sun City West</t>
  </si>
  <si>
    <t>APS profits high/fixed income, will strain budget</t>
  </si>
  <si>
    <t>7345723859</t>
  </si>
  <si>
    <t>Edens</t>
  </si>
  <si>
    <t>Colleen</t>
  </si>
  <si>
    <t>Fixed income/don't raise it much</t>
  </si>
  <si>
    <t>McKnight</t>
  </si>
  <si>
    <t>Joshua</t>
  </si>
  <si>
    <t>Heck</t>
  </si>
  <si>
    <t>Traci</t>
  </si>
  <si>
    <t>Paying $100s for house at 80 degrees</t>
  </si>
  <si>
    <t>9712385989</t>
  </si>
  <si>
    <t>Karna</t>
  </si>
  <si>
    <t>Easton</t>
  </si>
  <si>
    <t>Greedy / inflation outpaces income increases</t>
  </si>
  <si>
    <t>Dhamotharan</t>
  </si>
  <si>
    <t>Madhavan</t>
  </si>
  <si>
    <t>6558990000</t>
  </si>
  <si>
    <t>Champion</t>
  </si>
  <si>
    <t>Vicki</t>
  </si>
  <si>
    <t>APS charges more than SRP</t>
  </si>
  <si>
    <t>Multiple Accounts</t>
  </si>
  <si>
    <t>RTOUE47//ET-2 W/EPR6</t>
  </si>
  <si>
    <t>No MEP R3-47 ($127.42)</t>
  </si>
  <si>
    <t xml:space="preserve">Ty </t>
  </si>
  <si>
    <t>8773518025</t>
  </si>
  <si>
    <t>filed 2x on this day</t>
  </si>
  <si>
    <t>Willett</t>
  </si>
  <si>
    <t>5425180000</t>
  </si>
  <si>
    <t>Navarrette</t>
  </si>
  <si>
    <t>Adriana</t>
  </si>
  <si>
    <t>Schwartz</t>
  </si>
  <si>
    <t>Doesn't deserve another rate increase</t>
  </si>
  <si>
    <t>0726041000</t>
  </si>
  <si>
    <t>Nance</t>
  </si>
  <si>
    <t>Stacy</t>
  </si>
  <si>
    <t>No more increases, already paycheck to paycheck</t>
  </si>
  <si>
    <t>2439620000</t>
  </si>
  <si>
    <t>Beatty</t>
  </si>
  <si>
    <t>Cottonwood</t>
  </si>
  <si>
    <t>Unacceptable financial burden</t>
  </si>
  <si>
    <t>0217135178</t>
  </si>
  <si>
    <t>Embrey</t>
  </si>
  <si>
    <t xml:space="preserve">Fixed income </t>
  </si>
  <si>
    <t>0110711000</t>
  </si>
  <si>
    <t>Oakley</t>
  </si>
  <si>
    <t>Abraham</t>
  </si>
  <si>
    <t>8799324553</t>
  </si>
  <si>
    <t>Grow</t>
  </si>
  <si>
    <t>Scott</t>
  </si>
  <si>
    <t>Bill has gone up every year</t>
  </si>
  <si>
    <t>0072923417</t>
  </si>
  <si>
    <t>Sillivan</t>
  </si>
  <si>
    <t>Negatively impact ability to pay bills</t>
  </si>
  <si>
    <t>Satawa</t>
  </si>
  <si>
    <t>6591717645</t>
  </si>
  <si>
    <t>Portillo</t>
  </si>
  <si>
    <t>Jesus</t>
  </si>
  <si>
    <t>Messner</t>
  </si>
  <si>
    <t>Matthew</t>
  </si>
  <si>
    <t>Data centers shouldn't be residents cross to bear</t>
  </si>
  <si>
    <t>7297283438</t>
  </si>
  <si>
    <t>Megan</t>
  </si>
  <si>
    <t>Barely afford it now</t>
  </si>
  <si>
    <t>Crowley</t>
  </si>
  <si>
    <t>Kendell</t>
  </si>
  <si>
    <t>5849875191</t>
  </si>
  <si>
    <t>N o MEP R-XS(136.68)</t>
  </si>
  <si>
    <t>Left VM 10/03/2025 - Initiated rate change on 10/19</t>
  </si>
  <si>
    <t>Wasylenko</t>
  </si>
  <si>
    <t>Emily</t>
  </si>
  <si>
    <t>8720343919</t>
  </si>
  <si>
    <t>Pernatozzi</t>
  </si>
  <si>
    <t>Lauren</t>
  </si>
  <si>
    <t xml:space="preserve">Data centers </t>
  </si>
  <si>
    <t>7849027455</t>
  </si>
  <si>
    <t>Hansen</t>
  </si>
  <si>
    <t>4225001000</t>
  </si>
  <si>
    <t>Millwee</t>
  </si>
  <si>
    <t>Elizabeth</t>
  </si>
  <si>
    <t>9240700000 </t>
  </si>
  <si>
    <t>Corona</t>
  </si>
  <si>
    <t>Samuel</t>
  </si>
  <si>
    <t>Reynnaud</t>
  </si>
  <si>
    <t xml:space="preserve">Gordon </t>
  </si>
  <si>
    <t>Martinez Valdez</t>
  </si>
  <si>
    <t>Diana</t>
  </si>
  <si>
    <t>Stop the rising prices</t>
  </si>
  <si>
    <t>Salameh</t>
  </si>
  <si>
    <t>Samira</t>
  </si>
  <si>
    <t>3462131000</t>
  </si>
  <si>
    <t>Carter</t>
  </si>
  <si>
    <t>Katie</t>
  </si>
  <si>
    <t>Huge burden /  limited income</t>
  </si>
  <si>
    <t>Kotagiri</t>
  </si>
  <si>
    <t>Sanjay</t>
  </si>
  <si>
    <t>4826470000 </t>
  </si>
  <si>
    <t>Kanch</t>
  </si>
  <si>
    <t>Abhi</t>
  </si>
  <si>
    <t>Benchwick</t>
  </si>
  <si>
    <t>Outrageous</t>
  </si>
  <si>
    <t xml:space="preserve">9797240000 </t>
  </si>
  <si>
    <t>Amoroso</t>
  </si>
  <si>
    <t>Terri</t>
  </si>
  <si>
    <t>4949150000 </t>
  </si>
  <si>
    <t>Berumen</t>
  </si>
  <si>
    <t>Justice</t>
  </si>
  <si>
    <t xml:space="preserve">Outraged </t>
  </si>
  <si>
    <t>7700448567 </t>
  </si>
  <si>
    <t>Michaud</t>
  </si>
  <si>
    <t>Nada</t>
  </si>
  <si>
    <t>Stop increasing rates</t>
  </si>
  <si>
    <t>Wellen</t>
  </si>
  <si>
    <t>Bev</t>
  </si>
  <si>
    <t>No more rate hikes</t>
  </si>
  <si>
    <t>6608972636 </t>
  </si>
  <si>
    <t>Brutinel</t>
  </si>
  <si>
    <t>Shea</t>
  </si>
  <si>
    <t>Prescott</t>
  </si>
  <si>
    <t>5797101000 </t>
  </si>
  <si>
    <t>Lipfert</t>
  </si>
  <si>
    <t xml:space="preserve">	9798231000</t>
  </si>
  <si>
    <t>Hozian</t>
  </si>
  <si>
    <t>Cathy</t>
  </si>
  <si>
    <t>APS is greedy and evil</t>
  </si>
  <si>
    <t xml:space="preserve">5733698031 </t>
  </si>
  <si>
    <t>Hendrickson</t>
  </si>
  <si>
    <t>Ria</t>
  </si>
  <si>
    <t xml:space="preserve">1391416918 </t>
  </si>
  <si>
    <t>Romanek</t>
  </si>
  <si>
    <t>5257583600 </t>
  </si>
  <si>
    <t>No MEP RTOUE ($45.35)</t>
  </si>
  <si>
    <t>Eddy</t>
  </si>
  <si>
    <t>Kaylah</t>
  </si>
  <si>
    <t>Selvaraj</t>
  </si>
  <si>
    <t>2484289538 </t>
  </si>
  <si>
    <t>LaFevre</t>
  </si>
  <si>
    <t>Ryan</t>
  </si>
  <si>
    <t>2318631000 </t>
  </si>
  <si>
    <t>Patel</t>
  </si>
  <si>
    <t>Kevin</t>
  </si>
  <si>
    <t>2287263111 </t>
  </si>
  <si>
    <t>No MEP R3-47($402.81)</t>
  </si>
  <si>
    <t>Johnston</t>
  </si>
  <si>
    <t>Kendra</t>
  </si>
  <si>
    <t>4330169654 </t>
  </si>
  <si>
    <t>Antonio</t>
  </si>
  <si>
    <t>7809411352 </t>
  </si>
  <si>
    <t>Gross</t>
  </si>
  <si>
    <t>Cindy</t>
  </si>
  <si>
    <t>1901940000 </t>
  </si>
  <si>
    <t>Gomez</t>
  </si>
  <si>
    <t>Amias</t>
  </si>
  <si>
    <t>Dubner</t>
  </si>
  <si>
    <t>Daren</t>
  </si>
  <si>
    <t>Struggling to pay bills &amp; to find renters willing to pay rates</t>
  </si>
  <si>
    <t>2344543728 </t>
  </si>
  <si>
    <t>Schroeder</t>
  </si>
  <si>
    <t>People are suffering financially</t>
  </si>
  <si>
    <t xml:space="preserve">4014511000 </t>
  </si>
  <si>
    <t>No MEP R3-47 ($369.17)</t>
  </si>
  <si>
    <t>COR made rate change on 9/18</t>
  </si>
  <si>
    <t>De Fina</t>
  </si>
  <si>
    <t>Ellana</t>
  </si>
  <si>
    <t>4400568112 </t>
  </si>
  <si>
    <t>No MEP R3-47($43.55)</t>
  </si>
  <si>
    <t xml:space="preserve">Hays </t>
  </si>
  <si>
    <t>Timoth</t>
  </si>
  <si>
    <t>0337770119 </t>
  </si>
  <si>
    <t>Ana</t>
  </si>
  <si>
    <t>Making it harder for middle class</t>
  </si>
  <si>
    <t>1084589454 </t>
  </si>
  <si>
    <t>Messmer</t>
  </si>
  <si>
    <t>Widow on limited income</t>
  </si>
  <si>
    <t xml:space="preserve">5131511000 </t>
  </si>
  <si>
    <t>No MEP R3-47($87.48)</t>
  </si>
  <si>
    <t>Harmes</t>
  </si>
  <si>
    <t>Kim</t>
  </si>
  <si>
    <t>Fixed income and august bill was $588</t>
  </si>
  <si>
    <t>8809578171 </t>
  </si>
  <si>
    <t>Crane</t>
  </si>
  <si>
    <t>Frank</t>
  </si>
  <si>
    <t>Anthem</t>
  </si>
  <si>
    <t>0138600000 </t>
  </si>
  <si>
    <t>No MEP RTOUE47($28.13)</t>
  </si>
  <si>
    <t>McReynolds</t>
  </si>
  <si>
    <t>9851454126 </t>
  </si>
  <si>
    <t>No MEP R3-47($158.60)</t>
  </si>
  <si>
    <t>Meraz</t>
  </si>
  <si>
    <t>Victor</t>
  </si>
  <si>
    <t>Already expensive enough</t>
  </si>
  <si>
    <t>Repaka</t>
  </si>
  <si>
    <t>Veerraju</t>
  </si>
  <si>
    <t>7113636850 </t>
  </si>
  <si>
    <t>No MEP R3-47($18.51)</t>
  </si>
  <si>
    <t>Rood</t>
  </si>
  <si>
    <t>Families struggling</t>
  </si>
  <si>
    <t>8707818706 </t>
  </si>
  <si>
    <t>Garrick</t>
  </si>
  <si>
    <t>Jacqueline</t>
  </si>
  <si>
    <t xml:space="preserve">6218364523 </t>
  </si>
  <si>
    <t>Zack</t>
  </si>
  <si>
    <t>Priess</t>
  </si>
  <si>
    <t>Felipe</t>
  </si>
  <si>
    <t>0014802989 </t>
  </si>
  <si>
    <t>Meyer</t>
  </si>
  <si>
    <t>Randell</t>
  </si>
  <si>
    <t>Opposed to FRM</t>
  </si>
  <si>
    <t>8729590000 </t>
  </si>
  <si>
    <t>Wetch</t>
  </si>
  <si>
    <t>Kristine</t>
  </si>
  <si>
    <t>Cannot afford if the rates go higher</t>
  </si>
  <si>
    <t>Farmer</t>
  </si>
  <si>
    <t>Eric</t>
  </si>
  <si>
    <t>5144511000 </t>
  </si>
  <si>
    <t>Deleon</t>
  </si>
  <si>
    <t>Doneen</t>
  </si>
  <si>
    <t>4233804978 </t>
  </si>
  <si>
    <t>Zuniga</t>
  </si>
  <si>
    <t>Dante</t>
  </si>
  <si>
    <t xml:space="preserve">3352572159 </t>
  </si>
  <si>
    <t>Hoffman</t>
  </si>
  <si>
    <t>Rebecca</t>
  </si>
  <si>
    <t>Bambulum</t>
  </si>
  <si>
    <t>Grace</t>
  </si>
  <si>
    <t>Globe</t>
  </si>
  <si>
    <t>3487507055 </t>
  </si>
  <si>
    <t>No MEP R-BASIC ($102.86)</t>
  </si>
  <si>
    <t>Gonzalez</t>
  </si>
  <si>
    <t>Kadence</t>
  </si>
  <si>
    <t>1028298226 </t>
  </si>
  <si>
    <t>No MEP R3-47($36.09)</t>
  </si>
  <si>
    <t>Brown</t>
  </si>
  <si>
    <t>Theodore</t>
  </si>
  <si>
    <t>3000474278 </t>
  </si>
  <si>
    <t>No MEP R-BASIC ($49.11)</t>
  </si>
  <si>
    <t>Cherukumilli</t>
  </si>
  <si>
    <t>Kameswar Naveen</t>
  </si>
  <si>
    <t>9689247354 </t>
  </si>
  <si>
    <t>Clasby</t>
  </si>
  <si>
    <t>Brendan</t>
  </si>
  <si>
    <t>4535728753 </t>
  </si>
  <si>
    <t>Roy</t>
  </si>
  <si>
    <t>Jackson</t>
  </si>
  <si>
    <t>6477491967 </t>
  </si>
  <si>
    <t>Pranesh</t>
  </si>
  <si>
    <t>Vinay</t>
  </si>
  <si>
    <t xml:space="preserve">0487982450 </t>
  </si>
  <si>
    <t>No MEP R-BASIC ($95.94)</t>
  </si>
  <si>
    <t>Cunico</t>
  </si>
  <si>
    <t>Shayla</t>
  </si>
  <si>
    <t>1080436652 </t>
  </si>
  <si>
    <t>Castre</t>
  </si>
  <si>
    <t>9868570000 </t>
  </si>
  <si>
    <t>No MEP R3-47($63.87)</t>
  </si>
  <si>
    <t>Jade</t>
  </si>
  <si>
    <t>9812684449 </t>
  </si>
  <si>
    <t>Rumery</t>
  </si>
  <si>
    <t>Ashlee</t>
  </si>
  <si>
    <t>7263223413 </t>
  </si>
  <si>
    <t>No MEP R3-47($20.52)</t>
  </si>
  <si>
    <t>Tobey</t>
  </si>
  <si>
    <t>5323810000 </t>
  </si>
  <si>
    <t>Patino</t>
  </si>
  <si>
    <t>Sean</t>
  </si>
  <si>
    <t>6377618578 </t>
  </si>
  <si>
    <t>Pugliese</t>
  </si>
  <si>
    <t>Jeffrey</t>
  </si>
  <si>
    <t>5100177684 </t>
  </si>
  <si>
    <t>Kolli</t>
  </si>
  <si>
    <t>Raquel</t>
  </si>
  <si>
    <t>Too high</t>
  </si>
  <si>
    <t>McChesney</t>
  </si>
  <si>
    <t>Unneeded money grab</t>
  </si>
  <si>
    <t>2213731000 </t>
  </si>
  <si>
    <t>7194070000 </t>
  </si>
  <si>
    <t>Rall</t>
  </si>
  <si>
    <t>Draeque</t>
  </si>
  <si>
    <t>3556070925 </t>
  </si>
  <si>
    <t>No MEP R-XS($104.50)</t>
  </si>
  <si>
    <t>Left VM 10/03/2025 - Will be automatically reassigned to Tier 1 soon</t>
  </si>
  <si>
    <t>Dandasi</t>
  </si>
  <si>
    <t>9646530000 </t>
  </si>
  <si>
    <t>Fargher</t>
  </si>
  <si>
    <t>9467621419 </t>
  </si>
  <si>
    <t>No MEP R-XS ($126.43)</t>
  </si>
  <si>
    <t>Will be automatically reassigned to Tier 1 soon</t>
  </si>
  <si>
    <t>Sutinen</t>
  </si>
  <si>
    <t>Family struggling to make ends meet</t>
  </si>
  <si>
    <t>4222480000 </t>
  </si>
  <si>
    <t>8800511000 </t>
  </si>
  <si>
    <t>Fix</t>
  </si>
  <si>
    <t>Cunningham</t>
  </si>
  <si>
    <t>Barbara</t>
  </si>
  <si>
    <t>Too much</t>
  </si>
  <si>
    <t>6965120000 </t>
  </si>
  <si>
    <t>Rakesh</t>
  </si>
  <si>
    <t>4144330000 </t>
  </si>
  <si>
    <t>Priya</t>
  </si>
  <si>
    <t>Vishnu</t>
  </si>
  <si>
    <t>Renberg</t>
  </si>
  <si>
    <t>7638863637 </t>
  </si>
  <si>
    <t>Pannila</t>
  </si>
  <si>
    <t>Samudi</t>
  </si>
  <si>
    <t>Stop being greedy</t>
  </si>
  <si>
    <t>8212166884 </t>
  </si>
  <si>
    <t>No MEP R-XS ($22.77)</t>
  </si>
  <si>
    <t xml:space="preserve">Angelsante </t>
  </si>
  <si>
    <t>Didier</t>
  </si>
  <si>
    <t>Laurel</t>
  </si>
  <si>
    <t>9811726626 </t>
  </si>
  <si>
    <t>Solar Partner Program</t>
  </si>
  <si>
    <t>Ranganathan</t>
  </si>
  <si>
    <t>Vengadesh</t>
  </si>
  <si>
    <t>2143830000 </t>
  </si>
  <si>
    <t>S</t>
  </si>
  <si>
    <t>Ben</t>
  </si>
  <si>
    <t xml:space="preserve">3322263490 </t>
  </si>
  <si>
    <t>Czyzewicz</t>
  </si>
  <si>
    <t>Savannah</t>
  </si>
  <si>
    <t>9099805696 </t>
  </si>
  <si>
    <t>Freeman</t>
  </si>
  <si>
    <t>Branden</t>
  </si>
  <si>
    <t xml:space="preserve">Breining </t>
  </si>
  <si>
    <t>7750680041 </t>
  </si>
  <si>
    <t>No MEP R-BASIC($196.33)</t>
  </si>
  <si>
    <t>Number not in service</t>
  </si>
  <si>
    <t>Rajkaran</t>
  </si>
  <si>
    <t>Rupesh</t>
  </si>
  <si>
    <t>7639960000 </t>
  </si>
  <si>
    <t>No MEP R-XS(19.31)</t>
  </si>
  <si>
    <t>2 SAs on account should be automatically reassigned to Tier 1 soon</t>
  </si>
  <si>
    <t>9798231000 </t>
  </si>
  <si>
    <t>Caldwell</t>
  </si>
  <si>
    <t>4834742574 </t>
  </si>
  <si>
    <t>Ollerton</t>
  </si>
  <si>
    <t>Senior / Fixed Income</t>
  </si>
  <si>
    <t>3713921000 </t>
  </si>
  <si>
    <t>Ohare</t>
  </si>
  <si>
    <t>Nukala</t>
  </si>
  <si>
    <t>Vijay</t>
  </si>
  <si>
    <t>8169892620 </t>
  </si>
  <si>
    <t>REV47</t>
  </si>
  <si>
    <t>Virigineni</t>
  </si>
  <si>
    <t>Udayakumar</t>
  </si>
  <si>
    <t>0539435347 </t>
  </si>
  <si>
    <t>Carrillo</t>
  </si>
  <si>
    <t>5702540000 </t>
  </si>
  <si>
    <t>Schmoldt</t>
  </si>
  <si>
    <t>Lia</t>
  </si>
  <si>
    <t>2813530000 </t>
  </si>
  <si>
    <t>Reber</t>
  </si>
  <si>
    <t>Brad</t>
  </si>
  <si>
    <t>4260226461 </t>
  </si>
  <si>
    <t>Sarocka</t>
  </si>
  <si>
    <t>Doninique</t>
  </si>
  <si>
    <t>Fountain Hills</t>
  </si>
  <si>
    <t>Greedy companies</t>
  </si>
  <si>
    <t>Osteen</t>
  </si>
  <si>
    <t>7175791215 </t>
  </si>
  <si>
    <t>No MEP R3-47($174.04)</t>
  </si>
  <si>
    <t xml:space="preserve">OBC 10/06/2025 COR declined changing to MEP </t>
  </si>
  <si>
    <t xml:space="preserve">Small </t>
  </si>
  <si>
    <t>Senior / everything is too much money</t>
  </si>
  <si>
    <t>4884885514 </t>
  </si>
  <si>
    <t>Swinson</t>
  </si>
  <si>
    <t>Tony</t>
  </si>
  <si>
    <t>6673831000 </t>
  </si>
  <si>
    <t>Kote</t>
  </si>
  <si>
    <t>Raghavendra</t>
  </si>
  <si>
    <t>7999643303 </t>
  </si>
  <si>
    <t>Chakka</t>
  </si>
  <si>
    <t>Sriramulu</t>
  </si>
  <si>
    <t>5909021014 </t>
  </si>
  <si>
    <t>No MEP R3-47(105.89)</t>
  </si>
  <si>
    <t>Left VM 10/06/2025// COR CB AND STATED HE WILL THINK ABOUT CHANGING PLANS</t>
  </si>
  <si>
    <t>Vasanthakumar</t>
  </si>
  <si>
    <t>Amar</t>
  </si>
  <si>
    <t>1040821177 </t>
  </si>
  <si>
    <t>Stopped services 10/27</t>
  </si>
  <si>
    <t>Nunez</t>
  </si>
  <si>
    <t>Maria</t>
  </si>
  <si>
    <t>6593130000 </t>
  </si>
  <si>
    <t>Calcaterra</t>
  </si>
  <si>
    <t>Drew</t>
  </si>
  <si>
    <t>3151454631 </t>
  </si>
  <si>
    <t>Jenkins</t>
  </si>
  <si>
    <t>Camille</t>
  </si>
  <si>
    <t>Spend more on electricity than food</t>
  </si>
  <si>
    <t>5982620000 </t>
  </si>
  <si>
    <t>Lawler</t>
  </si>
  <si>
    <t>Donna</t>
  </si>
  <si>
    <t>9823890000 </t>
  </si>
  <si>
    <t>Huskey</t>
  </si>
  <si>
    <t>Raymond</t>
  </si>
  <si>
    <t>Peter</t>
  </si>
  <si>
    <t>5408340000 </t>
  </si>
  <si>
    <t>Ikeler</t>
  </si>
  <si>
    <t>5195558690 </t>
  </si>
  <si>
    <t>No MEP R-BASIC ($40.75)</t>
  </si>
  <si>
    <t>Samuels</t>
  </si>
  <si>
    <t>Shaun</t>
  </si>
  <si>
    <t>8384335318 </t>
  </si>
  <si>
    <t>No MEP RTOUE ($2.35)</t>
  </si>
  <si>
    <t>Bahoura</t>
  </si>
  <si>
    <t>Jayne</t>
  </si>
  <si>
    <t>Bolanos</t>
  </si>
  <si>
    <t>Irene</t>
  </si>
  <si>
    <t>Have to choose between eating every day or paying bills</t>
  </si>
  <si>
    <t>Zagoryanu</t>
  </si>
  <si>
    <t>Marius</t>
  </si>
  <si>
    <t>4708815097 </t>
  </si>
  <si>
    <t>Phan</t>
  </si>
  <si>
    <t>Detrimental to many households</t>
  </si>
  <si>
    <t>Porchia</t>
  </si>
  <si>
    <t>Dominic</t>
  </si>
  <si>
    <t>Josh</t>
  </si>
  <si>
    <t>Niles</t>
  </si>
  <si>
    <t>Romero</t>
  </si>
  <si>
    <t>Cristobal</t>
  </si>
  <si>
    <t>3555354916 </t>
  </si>
  <si>
    <t>Chokkalingam</t>
  </si>
  <si>
    <t>Sankar</t>
  </si>
  <si>
    <t>Already paying huge amount</t>
  </si>
  <si>
    <t>1516066562 </t>
  </si>
  <si>
    <t>Khandelwal</t>
  </si>
  <si>
    <t>Vivek</t>
  </si>
  <si>
    <t>2602229474 </t>
  </si>
  <si>
    <t>Swanson</t>
  </si>
  <si>
    <t>Zachary</t>
  </si>
  <si>
    <t>4830007876 </t>
  </si>
  <si>
    <t>Vallinayagam</t>
  </si>
  <si>
    <t>Subramanian</t>
  </si>
  <si>
    <t>9391573388 </t>
  </si>
  <si>
    <t>Vivekananthan</t>
  </si>
  <si>
    <t>Amarnath</t>
  </si>
  <si>
    <t>Smith</t>
  </si>
  <si>
    <t>Greedy</t>
  </si>
  <si>
    <t>Nelson</t>
  </si>
  <si>
    <t>Opposed, struggling</t>
  </si>
  <si>
    <t>1731130049</t>
  </si>
  <si>
    <t>Trudell</t>
  </si>
  <si>
    <t>Stephanie</t>
  </si>
  <si>
    <t>No rate increase</t>
  </si>
  <si>
    <t>Scarano</t>
  </si>
  <si>
    <t>Nick</t>
  </si>
  <si>
    <t>5498445656 </t>
  </si>
  <si>
    <t>Shaikh</t>
  </si>
  <si>
    <t>Mohammed</t>
  </si>
  <si>
    <t>Ali</t>
  </si>
  <si>
    <t>Hawkins</t>
  </si>
  <si>
    <t>Sabrina</t>
  </si>
  <si>
    <t>Punishing residential property owners</t>
  </si>
  <si>
    <t>Brahmecha</t>
  </si>
  <si>
    <t>Swapnil</t>
  </si>
  <si>
    <t>Ponnoli</t>
  </si>
  <si>
    <t>Rukmini</t>
  </si>
  <si>
    <t>Opposed to rate increase</t>
  </si>
  <si>
    <t>8225159115 </t>
  </si>
  <si>
    <t>No MEP R3-47(226.25)</t>
  </si>
  <si>
    <t>Decided to change to R3-47</t>
  </si>
  <si>
    <t>Terwadkar</t>
  </si>
  <si>
    <t>Aniket</t>
  </si>
  <si>
    <t>4160660000 </t>
  </si>
  <si>
    <t>Thangavelu</t>
  </si>
  <si>
    <t>Nandha</t>
  </si>
  <si>
    <t>6149005878 </t>
  </si>
  <si>
    <t>Ruiz</t>
  </si>
  <si>
    <t>Berenice</t>
  </si>
  <si>
    <t>Negatively impact customers</t>
  </si>
  <si>
    <t>9366820000 </t>
  </si>
  <si>
    <t>No MEP R3-47 ($17.24)</t>
  </si>
  <si>
    <t>Ravikumar</t>
  </si>
  <si>
    <t>Vinoth Kumar</t>
  </si>
  <si>
    <t>Already suffering from job loss and tariff impact</t>
  </si>
  <si>
    <t>1735662106 </t>
  </si>
  <si>
    <t>No MEP R3-47(220.87)</t>
  </si>
  <si>
    <t>10/06/2025 Left VM, cor  conf he wants to change plans, reviewed other resources- e3,crisis,liheap,project share</t>
  </si>
  <si>
    <t>Dlugosz</t>
  </si>
  <si>
    <t>A</t>
  </si>
  <si>
    <t>Ganesan</t>
  </si>
  <si>
    <t>Mithu</t>
  </si>
  <si>
    <t>7495690000 </t>
  </si>
  <si>
    <t>No MEP R3-47($10.65)</t>
  </si>
  <si>
    <t>J</t>
  </si>
  <si>
    <t>Ramu</t>
  </si>
  <si>
    <t>No comment</t>
  </si>
  <si>
    <t xml:space="preserve">Martinez  </t>
  </si>
  <si>
    <t>Hardship</t>
  </si>
  <si>
    <t>1165327687 </t>
  </si>
  <si>
    <t>Syed</t>
  </si>
  <si>
    <t>Meherudding</t>
  </si>
  <si>
    <t>Jimenez</t>
  </si>
  <si>
    <t>Arilene</t>
  </si>
  <si>
    <t>4057601000 </t>
  </si>
  <si>
    <t>Singth</t>
  </si>
  <si>
    <t>Gaurav</t>
  </si>
  <si>
    <t>Robinson</t>
  </si>
  <si>
    <t>4421402302 </t>
  </si>
  <si>
    <t>Arfa</t>
  </si>
  <si>
    <t>Douglas</t>
  </si>
  <si>
    <t>Against any rate hike</t>
  </si>
  <si>
    <t>6442661000 </t>
  </si>
  <si>
    <t>Kalkowsli</t>
  </si>
  <si>
    <t>Chambers</t>
  </si>
  <si>
    <t>Dedra</t>
  </si>
  <si>
    <t>Waddell</t>
  </si>
  <si>
    <t>Greedy monopoly</t>
  </si>
  <si>
    <t>9399510000 </t>
  </si>
  <si>
    <t>4029770000 </t>
  </si>
  <si>
    <t>Kalra</t>
  </si>
  <si>
    <t>Kamini</t>
  </si>
  <si>
    <t>Faulkner</t>
  </si>
  <si>
    <t>Retired/Fixed income</t>
  </si>
  <si>
    <t>8289821000 </t>
  </si>
  <si>
    <t>Stephenson Nunes</t>
  </si>
  <si>
    <t>Heidi</t>
  </si>
  <si>
    <t>Households can't afford this</t>
  </si>
  <si>
    <t>4197620114 </t>
  </si>
  <si>
    <t>No MEP R3-47($104.12)</t>
  </si>
  <si>
    <t>10/06/2025 Left Vm</t>
  </si>
  <si>
    <t>Babcock</t>
  </si>
  <si>
    <t>Kristen</t>
  </si>
  <si>
    <t>5575896939 </t>
  </si>
  <si>
    <t>Welch</t>
  </si>
  <si>
    <t>Arthur</t>
  </si>
  <si>
    <t>Commercial users in data space should take on increase</t>
  </si>
  <si>
    <t>3482449172 </t>
  </si>
  <si>
    <t>Langdon</t>
  </si>
  <si>
    <t>Jamie</t>
  </si>
  <si>
    <t>7095896229 </t>
  </si>
  <si>
    <t>No MEP R3-47 (50.52</t>
  </si>
  <si>
    <t>Requiested rate change online 11/1</t>
  </si>
  <si>
    <t>Damm-O'Donnell</t>
  </si>
  <si>
    <t>Suzanne</t>
  </si>
  <si>
    <t>Cather</t>
  </si>
  <si>
    <t>6996682837 </t>
  </si>
  <si>
    <t>No MEP R3-47($163.02)</t>
  </si>
  <si>
    <t>10/06/2025Left VM -COR initiated rate change online 10/6</t>
  </si>
  <si>
    <t>Pfeil</t>
  </si>
  <si>
    <t>Carole</t>
  </si>
  <si>
    <t>Beyond what is affordable</t>
  </si>
  <si>
    <t>8783763808 </t>
  </si>
  <si>
    <t>Walsh</t>
  </si>
  <si>
    <t>Richell</t>
  </si>
  <si>
    <t>4613459862 </t>
  </si>
  <si>
    <t>No MEP R3-47($98.19)</t>
  </si>
  <si>
    <t>10/06/2025 Left VM</t>
  </si>
  <si>
    <t>Dicerni</t>
  </si>
  <si>
    <t>Nguyen</t>
  </si>
  <si>
    <t>Minh</t>
  </si>
  <si>
    <t>8501883965 </t>
  </si>
  <si>
    <t>Nacim</t>
  </si>
  <si>
    <t>3248157690 </t>
  </si>
  <si>
    <t>No MEP R3-47($184.81)</t>
  </si>
  <si>
    <t>8215139884 </t>
  </si>
  <si>
    <t>No MEP R3-47($80.80)</t>
  </si>
  <si>
    <t>Valencia</t>
  </si>
  <si>
    <t>5372451122 </t>
  </si>
  <si>
    <t>No MEP R-BASIC ($11.26)</t>
  </si>
  <si>
    <t>Junior</t>
  </si>
  <si>
    <t>Barton</t>
  </si>
  <si>
    <t>Bill $700 a month with AC at 83 right now</t>
  </si>
  <si>
    <t>3204790000 </t>
  </si>
  <si>
    <t>Filed ACC complaint regarding unbundled charges in 2021</t>
  </si>
  <si>
    <t>Obe</t>
  </si>
  <si>
    <t>Tirupati</t>
  </si>
  <si>
    <t>Kiran</t>
  </si>
  <si>
    <t>Maleno</t>
  </si>
  <si>
    <t>Ysbeck</t>
  </si>
  <si>
    <t>Katherine</t>
  </si>
  <si>
    <t>It is hard enough right now</t>
  </si>
  <si>
    <t>6591101000 </t>
  </si>
  <si>
    <t>Barnes</t>
  </si>
  <si>
    <t xml:space="preserve">Need to manage their costs </t>
  </si>
  <si>
    <t>7295561000 </t>
  </si>
  <si>
    <t>Sawant</t>
  </si>
  <si>
    <t>Ajay</t>
  </si>
  <si>
    <t>6697601000 </t>
  </si>
  <si>
    <t>Dautia</t>
  </si>
  <si>
    <t>Lark</t>
  </si>
  <si>
    <t>Can't afford high electric bills</t>
  </si>
  <si>
    <t>Samora</t>
  </si>
  <si>
    <t>8065380000 </t>
  </si>
  <si>
    <t>Layne</t>
  </si>
  <si>
    <t>Monopoly, break up company</t>
  </si>
  <si>
    <t>5257261000 </t>
  </si>
  <si>
    <t>Degado</t>
  </si>
  <si>
    <t>Bill is already high enough</t>
  </si>
  <si>
    <t>1461856288 </t>
  </si>
  <si>
    <t>Edala</t>
  </si>
  <si>
    <t>Suneel</t>
  </si>
  <si>
    <t>Bonnett</t>
  </si>
  <si>
    <t>9378830912 </t>
  </si>
  <si>
    <t>Ebel</t>
  </si>
  <si>
    <t>Lawrence</t>
  </si>
  <si>
    <t>5843594786 </t>
  </si>
  <si>
    <t>No MEP R3-47($216.68)</t>
  </si>
  <si>
    <t>Cor will review comp tool online and decide later</t>
  </si>
  <si>
    <t>Covarrubias</t>
  </si>
  <si>
    <t>Natalia</t>
  </si>
  <si>
    <t>San Luis</t>
  </si>
  <si>
    <t>Murphy</t>
  </si>
  <si>
    <t xml:space="preserve">Charles </t>
  </si>
  <si>
    <t>Wickenburg</t>
  </si>
  <si>
    <t>7667970000 </t>
  </si>
  <si>
    <t>Merkle</t>
  </si>
  <si>
    <t>Fielder</t>
  </si>
  <si>
    <t>Veronica</t>
  </si>
  <si>
    <t>6947951000 </t>
  </si>
  <si>
    <t>E3 questions?</t>
  </si>
  <si>
    <t>Habrouck</t>
  </si>
  <si>
    <t>Candace</t>
  </si>
  <si>
    <t>Robyn</t>
  </si>
  <si>
    <t>3660458784 </t>
  </si>
  <si>
    <t>No MEP R-BASIC ($33.40)</t>
  </si>
  <si>
    <t>Wells</t>
  </si>
  <si>
    <t>Bill already too high</t>
  </si>
  <si>
    <t>0519511958 </t>
  </si>
  <si>
    <t>Huston</t>
  </si>
  <si>
    <t>9840231734 </t>
  </si>
  <si>
    <t>10/3 requested rate change to REV</t>
  </si>
  <si>
    <t>Sobarzo</t>
  </si>
  <si>
    <t>April</t>
  </si>
  <si>
    <t>Moinet</t>
  </si>
  <si>
    <t>Alyssa</t>
  </si>
  <si>
    <t>Opposed (page 288)</t>
  </si>
  <si>
    <t>6393049300 </t>
  </si>
  <si>
    <t>MacPherson</t>
  </si>
  <si>
    <t>Denis</t>
  </si>
  <si>
    <t>5751430000 </t>
  </si>
  <si>
    <t>https://images.edocket.azcc.gov/docketpdf/E000046204.pdf</t>
  </si>
  <si>
    <t>4222480000</t>
  </si>
  <si>
    <t xml:space="preserve">Z </t>
  </si>
  <si>
    <t>Stebe</t>
  </si>
  <si>
    <t>Osorio</t>
  </si>
  <si>
    <t>Juan E &amp; Helen</t>
  </si>
  <si>
    <t>Retired/Hurt Financially</t>
  </si>
  <si>
    <t>2964440000</t>
  </si>
  <si>
    <t>Gregersen</t>
  </si>
  <si>
    <t>3208550000</t>
  </si>
  <si>
    <t>Hileman</t>
  </si>
  <si>
    <t>4748252186</t>
  </si>
  <si>
    <t>Townsend</t>
  </si>
  <si>
    <t>Shawna</t>
  </si>
  <si>
    <t>6860890000</t>
  </si>
  <si>
    <t>Darfus</t>
  </si>
  <si>
    <t xml:space="preserve">Doug </t>
  </si>
  <si>
    <t>Strain on family</t>
  </si>
  <si>
    <t>5790100875</t>
  </si>
  <si>
    <t>Whitney</t>
  </si>
  <si>
    <t>7818070439</t>
  </si>
  <si>
    <t>Berkowitz</t>
  </si>
  <si>
    <t>Lynn</t>
  </si>
  <si>
    <t>Haslett</t>
  </si>
  <si>
    <t>7464750000</t>
  </si>
  <si>
    <t>Pamela</t>
  </si>
  <si>
    <t>6497921796</t>
  </si>
  <si>
    <t>Sanders</t>
  </si>
  <si>
    <t>Cagle</t>
  </si>
  <si>
    <t>5132068013</t>
  </si>
  <si>
    <t>Duell</t>
  </si>
  <si>
    <t>3455401000</t>
  </si>
  <si>
    <t>Roberts</t>
  </si>
  <si>
    <t>Aria</t>
  </si>
  <si>
    <t>7983231354</t>
  </si>
  <si>
    <t>Schuit</t>
  </si>
  <si>
    <t>2243371013</t>
  </si>
  <si>
    <t>Zinn</t>
  </si>
  <si>
    <t>Extortion/Monopoly</t>
  </si>
  <si>
    <t>9340408913</t>
  </si>
  <si>
    <t>Zick-Heath</t>
  </si>
  <si>
    <t>Kathy</t>
  </si>
  <si>
    <t>Wolfe</t>
  </si>
  <si>
    <t>Phillip</t>
  </si>
  <si>
    <t>5986916429</t>
  </si>
  <si>
    <t>Losty</t>
  </si>
  <si>
    <t>Sheila</t>
  </si>
  <si>
    <t>Marz</t>
  </si>
  <si>
    <t>Illene</t>
  </si>
  <si>
    <t>Buruato</t>
  </si>
  <si>
    <t>Tolleson</t>
  </si>
  <si>
    <t>Fajaddo</t>
  </si>
  <si>
    <t>B</t>
  </si>
  <si>
    <t>Noelle</t>
  </si>
  <si>
    <t>Kukkapalli</t>
  </si>
  <si>
    <t>Vasu</t>
  </si>
  <si>
    <t>9875751000</t>
  </si>
  <si>
    <t>N MEP TOU-E ($165.17)</t>
  </si>
  <si>
    <t xml:space="preserve">COR switched to suggest RTOUE47 </t>
  </si>
  <si>
    <t>Sangeetha</t>
  </si>
  <si>
    <t>4425211190</t>
  </si>
  <si>
    <t>Jaiswal</t>
  </si>
  <si>
    <t>Karishma</t>
  </si>
  <si>
    <t>Gottipati</t>
  </si>
  <si>
    <t>Srinivasa</t>
  </si>
  <si>
    <t>6079940000</t>
  </si>
  <si>
    <t>No MEP R3-47 ($295.59)</t>
  </si>
  <si>
    <t>Penny</t>
  </si>
  <si>
    <t>Leigh</t>
  </si>
  <si>
    <t>4878430000</t>
  </si>
  <si>
    <t>Krishnamoorthy</t>
  </si>
  <si>
    <t>Prabhu</t>
  </si>
  <si>
    <t>Kilcup</t>
  </si>
  <si>
    <t>Myckenzie</t>
  </si>
  <si>
    <t>Koripella</t>
  </si>
  <si>
    <t>Ravi</t>
  </si>
  <si>
    <t>5835127577</t>
  </si>
  <si>
    <t>Kuppuswamy</t>
  </si>
  <si>
    <t>Balaji</t>
  </si>
  <si>
    <t>9757441000</t>
  </si>
  <si>
    <t>Not available yet</t>
  </si>
  <si>
    <t>COR requested rate change to R3-47 on 10/1</t>
  </si>
  <si>
    <t>Reddy</t>
  </si>
  <si>
    <t>Pavan</t>
  </si>
  <si>
    <t>Ziller</t>
  </si>
  <si>
    <t>7502531000</t>
  </si>
  <si>
    <t>No MEP R3-47 ($90.87)</t>
  </si>
  <si>
    <t>Rajasekharan</t>
  </si>
  <si>
    <t>Girish</t>
  </si>
  <si>
    <t>Rajan</t>
  </si>
  <si>
    <t>6050230000</t>
  </si>
  <si>
    <t>NA</t>
  </si>
  <si>
    <t>MEP does not appear on bill due to 'flagged for irregular usage' - Ashley is looking into it.</t>
  </si>
  <si>
    <t>Vanos</t>
  </si>
  <si>
    <t>Kimberly</t>
  </si>
  <si>
    <t>5719941000</t>
  </si>
  <si>
    <t>Arrowsmith</t>
  </si>
  <si>
    <t>Kelsey</t>
  </si>
  <si>
    <t>0987457107</t>
  </si>
  <si>
    <t>No MEP R3-47 ($701.02)</t>
  </si>
  <si>
    <t>10/6 Left VM</t>
  </si>
  <si>
    <t>Hina</t>
  </si>
  <si>
    <t>Yadav</t>
  </si>
  <si>
    <t>Ashish</t>
  </si>
  <si>
    <t>3043741000</t>
  </si>
  <si>
    <t>Ahmad</t>
  </si>
  <si>
    <t>Ammara</t>
  </si>
  <si>
    <t>1316621000</t>
  </si>
  <si>
    <t>No MEP R3-47 ($55.98)</t>
  </si>
  <si>
    <t>Chinta</t>
  </si>
  <si>
    <t>Bhavanishankar</t>
  </si>
  <si>
    <t>7992160000</t>
  </si>
  <si>
    <t>Rauschkolb</t>
  </si>
  <si>
    <t>4026025798</t>
  </si>
  <si>
    <t>No MEP R3-47 ($30.33)</t>
  </si>
  <si>
    <t>Justin</t>
  </si>
  <si>
    <t>6379311000</t>
  </si>
  <si>
    <t>Fugiel</t>
  </si>
  <si>
    <t>Kirsten</t>
  </si>
  <si>
    <t>0843128737</t>
  </si>
  <si>
    <t>Brower</t>
  </si>
  <si>
    <t>Randall</t>
  </si>
  <si>
    <t>3675324926</t>
  </si>
  <si>
    <t>Willems</t>
  </si>
  <si>
    <t>3143419434</t>
  </si>
  <si>
    <t>Shivachalianda Vijayakumar</t>
  </si>
  <si>
    <t>Pooja Ponnamma</t>
  </si>
  <si>
    <t>Panda</t>
  </si>
  <si>
    <t>Nishnu Prasad</t>
  </si>
  <si>
    <t>Anna</t>
  </si>
  <si>
    <t>Pradeep</t>
  </si>
  <si>
    <t>2624811000</t>
  </si>
  <si>
    <t>Albrecht</t>
  </si>
  <si>
    <t>Rivarde</t>
  </si>
  <si>
    <t>Renee</t>
  </si>
  <si>
    <t>4290041000</t>
  </si>
  <si>
    <t>Beierle</t>
  </si>
  <si>
    <t>Vladut</t>
  </si>
  <si>
    <t xml:space="preserve">White </t>
  </si>
  <si>
    <t>0187524477</t>
  </si>
  <si>
    <t>Vidyasahar</t>
  </si>
  <si>
    <t>Prasad</t>
  </si>
  <si>
    <t>Boersma</t>
  </si>
  <si>
    <t>Patti</t>
  </si>
  <si>
    <t>6966001000</t>
  </si>
  <si>
    <t>Arpaia</t>
  </si>
  <si>
    <t>Mary</t>
  </si>
  <si>
    <t>1842320000</t>
  </si>
  <si>
    <t>No MEP R3-47 ($165.42)</t>
  </si>
  <si>
    <t>Pandit</t>
  </si>
  <si>
    <t>Najaraj</t>
  </si>
  <si>
    <t>4348840000</t>
  </si>
  <si>
    <t>Erra</t>
  </si>
  <si>
    <t>Mohan</t>
  </si>
  <si>
    <t>3553261000</t>
  </si>
  <si>
    <t>No MEP R3-47 ($86.44)</t>
  </si>
  <si>
    <t>Mallory</t>
  </si>
  <si>
    <t>Evan</t>
  </si>
  <si>
    <t>1080850989</t>
  </si>
  <si>
    <t>RCPw/R-2</t>
  </si>
  <si>
    <t>Stanley</t>
  </si>
  <si>
    <t>Alesia</t>
  </si>
  <si>
    <t>5784101000</t>
  </si>
  <si>
    <t>No MEP R3-47 ($159.25)</t>
  </si>
  <si>
    <t>Kuri</t>
  </si>
  <si>
    <t>8302625379</t>
  </si>
  <si>
    <t>Gonuguntla</t>
  </si>
  <si>
    <t>Gopinath</t>
  </si>
  <si>
    <t>Mahato</t>
  </si>
  <si>
    <t>Partha</t>
  </si>
  <si>
    <t>0364421000</t>
  </si>
  <si>
    <t>Klug</t>
  </si>
  <si>
    <t>Cameron</t>
  </si>
  <si>
    <t>2046439451</t>
  </si>
  <si>
    <t>Cuadras</t>
  </si>
  <si>
    <t>JoVon</t>
  </si>
  <si>
    <t>3862538912</t>
  </si>
  <si>
    <t>No MEP R3-47 ($348.67)</t>
  </si>
  <si>
    <t>10/6 Spoke with customer, he's interested to learn more and wanted to review his online account. Offered our phone number if he'd like to discuss it further.</t>
  </si>
  <si>
    <t>Monteleone</t>
  </si>
  <si>
    <t>Opposed/will cause hardships</t>
  </si>
  <si>
    <t>0974119043</t>
  </si>
  <si>
    <t>N MEP R3-47 ($273.17)</t>
  </si>
  <si>
    <t>Moosman</t>
  </si>
  <si>
    <t>Louis-Jacques</t>
  </si>
  <si>
    <t>Melanie</t>
  </si>
  <si>
    <t>Pahuja</t>
  </si>
  <si>
    <t>Himanshu</t>
  </si>
  <si>
    <t>8849042993</t>
  </si>
  <si>
    <t>No MEP R3-47 ($461.51)</t>
  </si>
  <si>
    <t>Bedadala</t>
  </si>
  <si>
    <t>Harinatha</t>
  </si>
  <si>
    <t>1275245123</t>
  </si>
  <si>
    <t>Clow</t>
  </si>
  <si>
    <t>4095200000</t>
  </si>
  <si>
    <t>No MEP R3-47 ($517.20)</t>
  </si>
  <si>
    <t>10/6 Tried to leave VM - mailbox full, 11/12 tried again and number is not in service</t>
  </si>
  <si>
    <t>Chintalapuri</t>
  </si>
  <si>
    <t>0616290000 </t>
  </si>
  <si>
    <t>RCPw/REV47</t>
  </si>
  <si>
    <t xml:space="preserve">Ram </t>
  </si>
  <si>
    <t>Ajit Kumar</t>
  </si>
  <si>
    <t>2174790000 </t>
  </si>
  <si>
    <t>Jaycox</t>
  </si>
  <si>
    <t>Sharon</t>
  </si>
  <si>
    <t>Opposed/Households struggling</t>
  </si>
  <si>
    <t>1040090000 </t>
  </si>
  <si>
    <t>Noriega</t>
  </si>
  <si>
    <t>Mario</t>
  </si>
  <si>
    <t>Opposed/pure greed</t>
  </si>
  <si>
    <t>2426870000 </t>
  </si>
  <si>
    <t>Hogan</t>
  </si>
  <si>
    <t>7393110000 </t>
  </si>
  <si>
    <t>Sonnentag</t>
  </si>
  <si>
    <t xml:space="preserve">Shawn </t>
  </si>
  <si>
    <t>Peeples Valley</t>
  </si>
  <si>
    <t>1130640000 </t>
  </si>
  <si>
    <t>Stenzel</t>
  </si>
  <si>
    <t>LeRoy</t>
  </si>
  <si>
    <t>4161750000 </t>
  </si>
  <si>
    <t>Ellis</t>
  </si>
  <si>
    <t>Strongly against</t>
  </si>
  <si>
    <t>McDonale</t>
  </si>
  <si>
    <t>Ellyn</t>
  </si>
  <si>
    <t>Form Letter</t>
  </si>
  <si>
    <t>Neukom</t>
  </si>
  <si>
    <t xml:space="preserve">David </t>
  </si>
  <si>
    <t xml:space="preserve">Senior/Fixed Income </t>
  </si>
  <si>
    <t>9230683411 </t>
  </si>
  <si>
    <t>No MEP R3-47($173.42)</t>
  </si>
  <si>
    <t>Niehaus</t>
  </si>
  <si>
    <t>8465277693 </t>
  </si>
  <si>
    <t>No MEP R3-47($281.20)</t>
  </si>
  <si>
    <t>Carlson</t>
  </si>
  <si>
    <t>Lorri</t>
  </si>
  <si>
    <t>2414554339 </t>
  </si>
  <si>
    <t>Sather</t>
  </si>
  <si>
    <t>Vance</t>
  </si>
  <si>
    <t>6810195712 </t>
  </si>
  <si>
    <t>Prather</t>
  </si>
  <si>
    <t>0800411000 </t>
  </si>
  <si>
    <t>Maldonado</t>
  </si>
  <si>
    <t>Sebastian</t>
  </si>
  <si>
    <t>7131023762 </t>
  </si>
  <si>
    <t>No MEP R-BASIC($219.04)</t>
  </si>
  <si>
    <t>Sidney</t>
  </si>
  <si>
    <t>1733200000 </t>
  </si>
  <si>
    <t>R-2 SOLAR PARTNER</t>
  </si>
  <si>
    <t>Benkert</t>
  </si>
  <si>
    <t>Jess</t>
  </si>
  <si>
    <t>9697522299 </t>
  </si>
  <si>
    <t>Lukson</t>
  </si>
  <si>
    <t>Fred &amp; Carolyn</t>
  </si>
  <si>
    <t>1405160798</t>
  </si>
  <si>
    <t>Williams</t>
  </si>
  <si>
    <t>Nichole</t>
  </si>
  <si>
    <t>4130294914</t>
  </si>
  <si>
    <t>Y</t>
  </si>
  <si>
    <t>Malladi</t>
  </si>
  <si>
    <t>Ravindranath</t>
  </si>
  <si>
    <t>9555640000</t>
  </si>
  <si>
    <t>Padurang</t>
  </si>
  <si>
    <t>Sainath</t>
  </si>
  <si>
    <t>Falkenberg</t>
  </si>
  <si>
    <t>https://images.edocket.azcc.gov/docketpdf/E000046206.pdf</t>
  </si>
  <si>
    <t>6512865567 </t>
  </si>
  <si>
    <t>Bucklin</t>
  </si>
  <si>
    <t>Kathryn</t>
  </si>
  <si>
    <t>6910890000 </t>
  </si>
  <si>
    <t>8043001000 </t>
  </si>
  <si>
    <t>Nordhaugen</t>
  </si>
  <si>
    <t>Kristian</t>
  </si>
  <si>
    <t>3995860000 </t>
  </si>
  <si>
    <t>No MEP R3-47($65.32)</t>
  </si>
  <si>
    <t>Tridle</t>
  </si>
  <si>
    <t>Opposed/fixed income</t>
  </si>
  <si>
    <t>7251710000 </t>
  </si>
  <si>
    <t>Nathaniel</t>
  </si>
  <si>
    <t>Adler</t>
  </si>
  <si>
    <t>Outlandish/Opposed</t>
  </si>
  <si>
    <t>1346040000 </t>
  </si>
  <si>
    <t>Hollander</t>
  </si>
  <si>
    <t>4329109684 </t>
  </si>
  <si>
    <t>No MEP R3-47($10.54)</t>
  </si>
  <si>
    <t>Granado</t>
  </si>
  <si>
    <t>Isabel</t>
  </si>
  <si>
    <t>Eloy</t>
  </si>
  <si>
    <t>Horta</t>
  </si>
  <si>
    <t>Emilio</t>
  </si>
  <si>
    <t>8400273014 </t>
  </si>
  <si>
    <t>Tremblay</t>
  </si>
  <si>
    <t>No MEP R-XS ($209.15)</t>
  </si>
  <si>
    <t xml:space="preserve">10/10 - Spoke to customer about MEP - will review online before deciding to switch </t>
  </si>
  <si>
    <t>Skiff</t>
  </si>
  <si>
    <t>Alaura</t>
  </si>
  <si>
    <t>Opposed, just had a rate increase</t>
  </si>
  <si>
    <t>4420690000 </t>
  </si>
  <si>
    <t>Bates</t>
  </si>
  <si>
    <t>DeFilippo</t>
  </si>
  <si>
    <t>Michele</t>
  </si>
  <si>
    <t>Householder</t>
  </si>
  <si>
    <t>Too high of an increase</t>
  </si>
  <si>
    <t>1367611000 </t>
  </si>
  <si>
    <t>No MEP R-BASIC($60.78)</t>
  </si>
  <si>
    <t>Macias</t>
  </si>
  <si>
    <t>Alicia</t>
  </si>
  <si>
    <t>Rates high enough</t>
  </si>
  <si>
    <t>Cyr</t>
  </si>
  <si>
    <t>Malachi</t>
  </si>
  <si>
    <t>Krogmann</t>
  </si>
  <si>
    <t>Rachael</t>
  </si>
  <si>
    <t>2508401000 </t>
  </si>
  <si>
    <t>4048489946 </t>
  </si>
  <si>
    <t>Marvella</t>
  </si>
  <si>
    <t>5865680000 </t>
  </si>
  <si>
    <t>Springer</t>
  </si>
  <si>
    <t>5145361000 </t>
  </si>
  <si>
    <t>Gillihan</t>
  </si>
  <si>
    <t>Julie</t>
  </si>
  <si>
    <t>2236812917 </t>
  </si>
  <si>
    <t>Frances</t>
  </si>
  <si>
    <t>3472511000 </t>
  </si>
  <si>
    <t>Srinivasan</t>
  </si>
  <si>
    <t>Karthikeyan</t>
  </si>
  <si>
    <t>5649900000 </t>
  </si>
  <si>
    <t>No MEP R3-47($156.54)</t>
  </si>
  <si>
    <t>10/9 - Account  has already been changed to MEP before call was made</t>
  </si>
  <si>
    <t>Powers</t>
  </si>
  <si>
    <t>Fox</t>
  </si>
  <si>
    <t>Noah</t>
  </si>
  <si>
    <t>5729136090 </t>
  </si>
  <si>
    <t>Ahern</t>
  </si>
  <si>
    <t>Devin</t>
  </si>
  <si>
    <t>4235588313 </t>
  </si>
  <si>
    <t>Parsons</t>
  </si>
  <si>
    <t>2531312124 </t>
  </si>
  <si>
    <t>Gervasio</t>
  </si>
  <si>
    <t>Pedro</t>
  </si>
  <si>
    <t>1657964605 </t>
  </si>
  <si>
    <t>Aboud</t>
  </si>
  <si>
    <t>7283731000 </t>
  </si>
  <si>
    <t>Pederson</t>
  </si>
  <si>
    <t>Halie</t>
  </si>
  <si>
    <t xml:space="preserve">1772154718 </t>
  </si>
  <si>
    <t>Swift</t>
  </si>
  <si>
    <t>Bill</t>
  </si>
  <si>
    <t>Stinson</t>
  </si>
  <si>
    <t>5106490000 </t>
  </si>
  <si>
    <t>Assistance</t>
  </si>
  <si>
    <t>Bishop</t>
  </si>
  <si>
    <t>Rebert</t>
  </si>
  <si>
    <t xml:space="preserve">9474035507 </t>
  </si>
  <si>
    <t>No MEP R-XS( $250.58)</t>
  </si>
  <si>
    <t>Gram</t>
  </si>
  <si>
    <t xml:space="preserve">7135590000 </t>
  </si>
  <si>
    <t>Multiple SAs</t>
  </si>
  <si>
    <t>Marshall</t>
  </si>
  <si>
    <t>Allen</t>
  </si>
  <si>
    <t xml:space="preserve">4997806847 </t>
  </si>
  <si>
    <t>No MEP R3-47($36.70)</t>
  </si>
  <si>
    <t>Liddell</t>
  </si>
  <si>
    <t>Lianne</t>
  </si>
  <si>
    <t xml:space="preserve">3244078434 </t>
  </si>
  <si>
    <t>Vestl</t>
  </si>
  <si>
    <t xml:space="preserve">Sun City </t>
  </si>
  <si>
    <t>Rees</t>
  </si>
  <si>
    <t xml:space="preserve">8166327537 </t>
  </si>
  <si>
    <t>Vestal</t>
  </si>
  <si>
    <t xml:space="preserve">4308401000 </t>
  </si>
  <si>
    <t>Opposed, usage is not high, it is normal in AZ extreme climate</t>
  </si>
  <si>
    <t xml:space="preserve">2166343167 </t>
  </si>
  <si>
    <t>No MEP R3-47 ($888.73)</t>
  </si>
  <si>
    <t>Coble</t>
  </si>
  <si>
    <t>https://images.edocket.azcc.gov/docketpdf/E000046198.pdf</t>
  </si>
  <si>
    <t>Wallace</t>
  </si>
  <si>
    <t>Raetta</t>
  </si>
  <si>
    <t>https://images.edocket.azcc.gov/docketpdf/E000046196.pdf</t>
  </si>
  <si>
    <t>Moore</t>
  </si>
  <si>
    <t>Mike</t>
  </si>
  <si>
    <t>Alvarez</t>
  </si>
  <si>
    <t>Melody</t>
  </si>
  <si>
    <t>Woehl</t>
  </si>
  <si>
    <t>Timothy</t>
  </si>
  <si>
    <t>No MEP R3-47(630.50)</t>
  </si>
  <si>
    <t>Belt</t>
  </si>
  <si>
    <t>Steve</t>
  </si>
  <si>
    <t>Beall</t>
  </si>
  <si>
    <t>Gus</t>
  </si>
  <si>
    <t>Also filed this notice https://images.edocket.azcc.gov/docketpdf/E000046202.pdf</t>
  </si>
  <si>
    <t>McLeod</t>
  </si>
  <si>
    <t>Hereford</t>
  </si>
  <si>
    <t>Manning</t>
  </si>
  <si>
    <t>https://images.edocket.azcc.gov/docketpdf/E000046212.pdf</t>
  </si>
  <si>
    <t>Mannella</t>
  </si>
  <si>
    <t>https://images.edocket.azcc.gov/docketpdf/E000046230.pdf</t>
  </si>
  <si>
    <t>Monaco</t>
  </si>
  <si>
    <t>Carpenter</t>
  </si>
  <si>
    <t>Bonny</t>
  </si>
  <si>
    <t>Out of hand</t>
  </si>
  <si>
    <t xml:space="preserve">0040730000 </t>
  </si>
  <si>
    <t>Delaney</t>
  </si>
  <si>
    <t xml:space="preserve">0555026441 </t>
  </si>
  <si>
    <t>No MEP R-BASIC(110.71)</t>
  </si>
  <si>
    <t>10/06/2025 left VM</t>
  </si>
  <si>
    <t>Price</t>
  </si>
  <si>
    <t xml:space="preserve">5372102528 </t>
  </si>
  <si>
    <t>No MEP R-BASIC(31.45)</t>
  </si>
  <si>
    <t>Votypka</t>
  </si>
  <si>
    <t>Lindsay</t>
  </si>
  <si>
    <t xml:space="preserve">3305713016 </t>
  </si>
  <si>
    <t>No MEP R-BASIC($19.26)</t>
  </si>
  <si>
    <t>Glanzer</t>
  </si>
  <si>
    <t>Addison</t>
  </si>
  <si>
    <t>Facing financial hardship</t>
  </si>
  <si>
    <t xml:space="preserve">8801331688 </t>
  </si>
  <si>
    <t>Sundarachar</t>
  </si>
  <si>
    <t>Hema</t>
  </si>
  <si>
    <t>1687826451</t>
  </si>
  <si>
    <t>No MEP R3-47(3.29)</t>
  </si>
  <si>
    <t>Stecker</t>
  </si>
  <si>
    <t>Stacey</t>
  </si>
  <si>
    <t xml:space="preserve">0185829085 </t>
  </si>
  <si>
    <t xml:space="preserve">6640329915 </t>
  </si>
  <si>
    <t>Shank</t>
  </si>
  <si>
    <t>Judd</t>
  </si>
  <si>
    <t>Short</t>
  </si>
  <si>
    <t>Gregory</t>
  </si>
  <si>
    <t xml:space="preserve">8993658310 </t>
  </si>
  <si>
    <t>Kom</t>
  </si>
  <si>
    <t>Venu</t>
  </si>
  <si>
    <t>Flam</t>
  </si>
  <si>
    <t>Sara</t>
  </si>
  <si>
    <t xml:space="preserve">2550279335 </t>
  </si>
  <si>
    <t>Laszczak</t>
  </si>
  <si>
    <t xml:space="preserve">5718650660 </t>
  </si>
  <si>
    <t>No R-XS($56.43)</t>
  </si>
  <si>
    <t>Lewis</t>
  </si>
  <si>
    <t>Blocker</t>
  </si>
  <si>
    <t xml:space="preserve">9800380431 </t>
  </si>
  <si>
    <t>No MEP R3-47(439.76)</t>
  </si>
  <si>
    <t>COR will review with his wife before changing the rate plan - 11/3 Customer initiated rate change</t>
  </si>
  <si>
    <t>Kwon</t>
  </si>
  <si>
    <t xml:space="preserve">3505331000 </t>
  </si>
  <si>
    <t>Sacrison</t>
  </si>
  <si>
    <t>3207210000 </t>
  </si>
  <si>
    <t>No MEP R3-47($221.11)</t>
  </si>
  <si>
    <t>Edalski</t>
  </si>
  <si>
    <t>Hernandez</t>
  </si>
  <si>
    <t xml:space="preserve">Monopoly,  </t>
  </si>
  <si>
    <t xml:space="preserve">7114611000 </t>
  </si>
  <si>
    <t>Pierce</t>
  </si>
  <si>
    <t>Coleen</t>
  </si>
  <si>
    <t xml:space="preserve">2942450000 </t>
  </si>
  <si>
    <t>Sedillo</t>
  </si>
  <si>
    <t>0998552497</t>
  </si>
  <si>
    <t>NO MEP R-BASICL ($75.86)</t>
  </si>
  <si>
    <t>Joe Anthony</t>
  </si>
  <si>
    <t>1440430000 </t>
  </si>
  <si>
    <t>Roe</t>
  </si>
  <si>
    <t xml:space="preserve">4490163832 </t>
  </si>
  <si>
    <t>Richey</t>
  </si>
  <si>
    <t>Getting ridiculous</t>
  </si>
  <si>
    <t xml:space="preserve">1880001294 </t>
  </si>
  <si>
    <t>Esman</t>
  </si>
  <si>
    <t>Dava</t>
  </si>
  <si>
    <t>Unfair and discriminatory</t>
  </si>
  <si>
    <t xml:space="preserve">8806340000 </t>
  </si>
  <si>
    <t xml:space="preserve">He </t>
  </si>
  <si>
    <t>Luke</t>
  </si>
  <si>
    <t xml:space="preserve">7096364439 </t>
  </si>
  <si>
    <t>Duensing</t>
  </si>
  <si>
    <t xml:space="preserve">0002746863 </t>
  </si>
  <si>
    <t>Naik</t>
  </si>
  <si>
    <t>Pradad</t>
  </si>
  <si>
    <t>Day</t>
  </si>
  <si>
    <t>Ravyn</t>
  </si>
  <si>
    <t xml:space="preserve">2122958371 </t>
  </si>
  <si>
    <t>Larry</t>
  </si>
  <si>
    <t xml:space="preserve">5769060000 </t>
  </si>
  <si>
    <t>Mahony</t>
  </si>
  <si>
    <t>Monica</t>
  </si>
  <si>
    <t xml:space="preserve">5214610000 </t>
  </si>
  <si>
    <t>Jara</t>
  </si>
  <si>
    <t>Briney</t>
  </si>
  <si>
    <t>Dave</t>
  </si>
  <si>
    <t xml:space="preserve">9294235852 </t>
  </si>
  <si>
    <t>Daniel</t>
  </si>
  <si>
    <t xml:space="preserve">9660984623 </t>
  </si>
  <si>
    <t>No MEP R3-47($82.55)</t>
  </si>
  <si>
    <t>Nabity</t>
  </si>
  <si>
    <t>Mariah</t>
  </si>
  <si>
    <t xml:space="preserve">0887574779 </t>
  </si>
  <si>
    <t xml:space="preserve">5278430000 </t>
  </si>
  <si>
    <t>No MEP R-XS ($43.07)</t>
  </si>
  <si>
    <t>Lund</t>
  </si>
  <si>
    <t>Jason</t>
  </si>
  <si>
    <t xml:space="preserve">3884451846 </t>
  </si>
  <si>
    <t>Scheigert</t>
  </si>
  <si>
    <t xml:space="preserve">9575044862 </t>
  </si>
  <si>
    <t>Turner-Warren</t>
  </si>
  <si>
    <t>Tenneh</t>
  </si>
  <si>
    <t>0362190628 </t>
  </si>
  <si>
    <t>Zeman</t>
  </si>
  <si>
    <t>Cher</t>
  </si>
  <si>
    <t>9651100000 </t>
  </si>
  <si>
    <t>Scheele</t>
  </si>
  <si>
    <t xml:space="preserve">5622315139 </t>
  </si>
  <si>
    <t>Geiger</t>
  </si>
  <si>
    <t xml:space="preserve">6031103650 </t>
  </si>
  <si>
    <t>McGehean</t>
  </si>
  <si>
    <t xml:space="preserve">Singh </t>
  </si>
  <si>
    <t>Soni</t>
  </si>
  <si>
    <t>Too high already, opposed</t>
  </si>
  <si>
    <t xml:space="preserve">7532070000 </t>
  </si>
  <si>
    <t>Lyell</t>
  </si>
  <si>
    <t>Kasha</t>
  </si>
  <si>
    <t>Insane increase</t>
  </si>
  <si>
    <t>Pratik</t>
  </si>
  <si>
    <t>Rahul</t>
  </si>
  <si>
    <t xml:space="preserve">5526300000 </t>
  </si>
  <si>
    <t>Bodempudi</t>
  </si>
  <si>
    <t>Vinod</t>
  </si>
  <si>
    <t xml:space="preserve">8251801000 </t>
  </si>
  <si>
    <t>Corianne</t>
  </si>
  <si>
    <t xml:space="preserve">3135361000 </t>
  </si>
  <si>
    <t>Syring</t>
  </si>
  <si>
    <t>Lani</t>
  </si>
  <si>
    <t xml:space="preserve">5579377804 </t>
  </si>
  <si>
    <t>Van Marter</t>
  </si>
  <si>
    <t xml:space="preserve">0869170000 </t>
  </si>
  <si>
    <t>Gulotta</t>
  </si>
  <si>
    <t xml:space="preserve">4875496471 </t>
  </si>
  <si>
    <t>Caballero Sosa</t>
  </si>
  <si>
    <t>Gabriel</t>
  </si>
  <si>
    <t xml:space="preserve">4100903949 </t>
  </si>
  <si>
    <t>Harrison</t>
  </si>
  <si>
    <t>Chelsie</t>
  </si>
  <si>
    <t>Detrimental to our financial stability</t>
  </si>
  <si>
    <t xml:space="preserve">6747966884 </t>
  </si>
  <si>
    <t>C</t>
  </si>
  <si>
    <t>Casas</t>
  </si>
  <si>
    <t>Nidya</t>
  </si>
  <si>
    <t>Disabled veteran on fixed income</t>
  </si>
  <si>
    <t>Berry</t>
  </si>
  <si>
    <t>Mason</t>
  </si>
  <si>
    <t>No MEP R3-47 ($90.56)</t>
  </si>
  <si>
    <t>Bartley</t>
  </si>
  <si>
    <t>Leslie</t>
  </si>
  <si>
    <t xml:space="preserve">Unfair  </t>
  </si>
  <si>
    <t xml:space="preserve">9756846766 </t>
  </si>
  <si>
    <t>Lawson</t>
  </si>
  <si>
    <t xml:space="preserve">3718280000 </t>
  </si>
  <si>
    <t>Ficarra</t>
  </si>
  <si>
    <t xml:space="preserve">2290331000 </t>
  </si>
  <si>
    <t>No MEP R-XS ($58.00)</t>
  </si>
  <si>
    <t>Ramos</t>
  </si>
  <si>
    <t xml:space="preserve">4333270000 </t>
  </si>
  <si>
    <t>No MEP R3-47($230.57)</t>
  </si>
  <si>
    <t>Spanish CX Team Lead attempted to call customer with number on file, number is no longer in service</t>
  </si>
  <si>
    <t>Ismail</t>
  </si>
  <si>
    <t>Zakaria</t>
  </si>
  <si>
    <t>Quain-Kollar</t>
  </si>
  <si>
    <t xml:space="preserve">2216771581 </t>
  </si>
  <si>
    <t>R3-47//R-XS</t>
  </si>
  <si>
    <t>Carson</t>
  </si>
  <si>
    <t>Loren</t>
  </si>
  <si>
    <t>Opposed, already paying grid access</t>
  </si>
  <si>
    <t xml:space="preserve">9214141000 </t>
  </si>
  <si>
    <t>Hanel</t>
  </si>
  <si>
    <t>Beverly</t>
  </si>
  <si>
    <t>Data centers pay less that residential</t>
  </si>
  <si>
    <t xml:space="preserve">4328013004 </t>
  </si>
  <si>
    <t>Cross</t>
  </si>
  <si>
    <t xml:space="preserve">4789794091 </t>
  </si>
  <si>
    <t>No MEP R3-47($32.46)</t>
  </si>
  <si>
    <t>Hermida</t>
  </si>
  <si>
    <t>Anne</t>
  </si>
  <si>
    <t xml:space="preserve">8551601000 </t>
  </si>
  <si>
    <t>Matelski</t>
  </si>
  <si>
    <t xml:space="preserve">5582530000 </t>
  </si>
  <si>
    <t>No MEP R3-47($149.40)</t>
  </si>
  <si>
    <t>Brooksby</t>
  </si>
  <si>
    <t>Impossible to keep up with</t>
  </si>
  <si>
    <t xml:space="preserve">4220132529 </t>
  </si>
  <si>
    <t>Humphrey</t>
  </si>
  <si>
    <t>Talon</t>
  </si>
  <si>
    <t xml:space="preserve">5703576714 </t>
  </si>
  <si>
    <t xml:space="preserve">0448028030 </t>
  </si>
  <si>
    <t>Erickson</t>
  </si>
  <si>
    <t>Caitlin</t>
  </si>
  <si>
    <t>Mesa</t>
  </si>
  <si>
    <t>Scallorns</t>
  </si>
  <si>
    <t>Melodie</t>
  </si>
  <si>
    <t xml:space="preserve">5780730097 </t>
  </si>
  <si>
    <t>Hoffa</t>
  </si>
  <si>
    <t>Geoffery</t>
  </si>
  <si>
    <t xml:space="preserve">8651110000 </t>
  </si>
  <si>
    <t>Testo</t>
  </si>
  <si>
    <t xml:space="preserve">2697623904 </t>
  </si>
  <si>
    <t>No MEP R-XS ($49.64)</t>
  </si>
  <si>
    <t>McAdams</t>
  </si>
  <si>
    <t>Levi</t>
  </si>
  <si>
    <t xml:space="preserve">0086465467 </t>
  </si>
  <si>
    <t>Brunetti</t>
  </si>
  <si>
    <t>Unfair</t>
  </si>
  <si>
    <t xml:space="preserve">7036097429 </t>
  </si>
  <si>
    <t>No MEP R-BASIC($187.87)</t>
  </si>
  <si>
    <t>10/06/2025 Number is not in service - Initiated rate change on 10/17</t>
  </si>
  <si>
    <t>Court</t>
  </si>
  <si>
    <t>Charge companies running massive data centers instead</t>
  </si>
  <si>
    <t xml:space="preserve">9890161000 </t>
  </si>
  <si>
    <t>Pera</t>
  </si>
  <si>
    <t>Natalie</t>
  </si>
  <si>
    <t xml:space="preserve">0947385737 </t>
  </si>
  <si>
    <t>No MEP R3-47 ($108.13)</t>
  </si>
  <si>
    <t>Rate change already in place as of 9/18</t>
  </si>
  <si>
    <t>Stroup</t>
  </si>
  <si>
    <t xml:space="preserve">9738604563 </t>
  </si>
  <si>
    <t>Fortson</t>
  </si>
  <si>
    <t xml:space="preserve">6892964511 </t>
  </si>
  <si>
    <t>Walker</t>
  </si>
  <si>
    <t>Clint</t>
  </si>
  <si>
    <t xml:space="preserve">8233981790 </t>
  </si>
  <si>
    <t>Glass</t>
  </si>
  <si>
    <t>Louis</t>
  </si>
  <si>
    <t xml:space="preserve">7482519669 </t>
  </si>
  <si>
    <t>Beltz</t>
  </si>
  <si>
    <t>Sherri</t>
  </si>
  <si>
    <t>Strongly opposed</t>
  </si>
  <si>
    <t xml:space="preserve">4321958928 </t>
  </si>
  <si>
    <t>Sies</t>
  </si>
  <si>
    <t>Negative impact on our household</t>
  </si>
  <si>
    <t xml:space="preserve">9277734775 </t>
  </si>
  <si>
    <t>Fatima</t>
  </si>
  <si>
    <t xml:space="preserve">5786437888 </t>
  </si>
  <si>
    <t xml:space="preserve">3530497128 </t>
  </si>
  <si>
    <t>Out of line</t>
  </si>
  <si>
    <t>Unjustified, unethical and unnecessary</t>
  </si>
  <si>
    <t>Pennington</t>
  </si>
  <si>
    <t>Maurice</t>
  </si>
  <si>
    <t xml:space="preserve">0240641000 </t>
  </si>
  <si>
    <t>Devarapu</t>
  </si>
  <si>
    <t>Kondal</t>
  </si>
  <si>
    <t xml:space="preserve">1560882175 </t>
  </si>
  <si>
    <t>Kennedy</t>
  </si>
  <si>
    <t xml:space="preserve">0189241000 </t>
  </si>
  <si>
    <t>No MEP R-XS ($287.81)</t>
  </si>
  <si>
    <t>COR initiated rate change on 11/2</t>
  </si>
  <si>
    <t>Spicola</t>
  </si>
  <si>
    <t>Opposed, will worsen financial stress</t>
  </si>
  <si>
    <t xml:space="preserve">2815878027 </t>
  </si>
  <si>
    <t>Enough with the rate hikes</t>
  </si>
  <si>
    <t>5976850000</t>
  </si>
  <si>
    <t>No MEP R3-47($271.50)</t>
  </si>
  <si>
    <t>COR will check aps.com comp tool and potentially change plans there</t>
  </si>
  <si>
    <t>Anbakagan</t>
  </si>
  <si>
    <t>Dharmaraja</t>
  </si>
  <si>
    <t>Maheshwari</t>
  </si>
  <si>
    <t>Vishal</t>
  </si>
  <si>
    <t xml:space="preserve">0208180000 </t>
  </si>
  <si>
    <t>Abitz</t>
  </si>
  <si>
    <t>Enough is enough</t>
  </si>
  <si>
    <t xml:space="preserve">9504901000 </t>
  </si>
  <si>
    <t>No MEP R3-47($426.81)</t>
  </si>
  <si>
    <t>10/6/2025 left vm</t>
  </si>
  <si>
    <t>Chaffin</t>
  </si>
  <si>
    <t>Dustin</t>
  </si>
  <si>
    <t>Not a good economic decision</t>
  </si>
  <si>
    <t xml:space="preserve">8950883553 </t>
  </si>
  <si>
    <t>Henderson</t>
  </si>
  <si>
    <t xml:space="preserve">9467156300 </t>
  </si>
  <si>
    <t>No MEP R-BASIC($140.27)</t>
  </si>
  <si>
    <t xml:space="preserve">Cor will review w/aps comp tool online and decided </t>
  </si>
  <si>
    <t>Feldman</t>
  </si>
  <si>
    <t>Opposed, abusing their power</t>
  </si>
  <si>
    <t xml:space="preserve">6677040000 </t>
  </si>
  <si>
    <t>Siddavatam</t>
  </si>
  <si>
    <t>Govardhan Reddy</t>
  </si>
  <si>
    <t xml:space="preserve">1876163520 </t>
  </si>
  <si>
    <t>No MEP R3-47($305.79)</t>
  </si>
  <si>
    <t>COR will think about it and potentially change plans if he decides to he will cb</t>
  </si>
  <si>
    <t>Zohn</t>
  </si>
  <si>
    <t>Not good</t>
  </si>
  <si>
    <t xml:space="preserve">0901196121 </t>
  </si>
  <si>
    <t>No MEP R-XS($38.65)</t>
  </si>
  <si>
    <t>Welsch</t>
  </si>
  <si>
    <t>1714040979 </t>
  </si>
  <si>
    <t>Hanshew</t>
  </si>
  <si>
    <t xml:space="preserve">3106790000 </t>
  </si>
  <si>
    <t>Royster</t>
  </si>
  <si>
    <t>Aaron</t>
  </si>
  <si>
    <t xml:space="preserve">0363441000 </t>
  </si>
  <si>
    <t>No MEP R3-47 ($130.61)</t>
  </si>
  <si>
    <t>10/06/2025 left vm</t>
  </si>
  <si>
    <t>German</t>
  </si>
  <si>
    <t xml:space="preserve">8098420000 </t>
  </si>
  <si>
    <t>Reynolds</t>
  </si>
  <si>
    <t>Opposed, discourages solar</t>
  </si>
  <si>
    <t xml:space="preserve">0225558656 </t>
  </si>
  <si>
    <t>Gorman</t>
  </si>
  <si>
    <t xml:space="preserve">3472796278 </t>
  </si>
  <si>
    <t>Macagni</t>
  </si>
  <si>
    <t xml:space="preserve">9986232210 </t>
  </si>
  <si>
    <t>No MEP R3-47($392.95)</t>
  </si>
  <si>
    <t>Killingsworth</t>
  </si>
  <si>
    <t>Ellen</t>
  </si>
  <si>
    <t xml:space="preserve">3240422325 </t>
  </si>
  <si>
    <t>Blue</t>
  </si>
  <si>
    <t>No MEP R-BASIC(149.26)</t>
  </si>
  <si>
    <t>Cor will discuss with his partner about rate change - 10/17 RATE CHANGE ONLINE</t>
  </si>
  <si>
    <t>Ionova</t>
  </si>
  <si>
    <t>Cynthia</t>
  </si>
  <si>
    <t>Saraniero</t>
  </si>
  <si>
    <t>8493970000 </t>
  </si>
  <si>
    <t>Daniels</t>
  </si>
  <si>
    <t xml:space="preserve">7248154783 </t>
  </si>
  <si>
    <t>Heiser</t>
  </si>
  <si>
    <t>Morgan</t>
  </si>
  <si>
    <t xml:space="preserve">4586872061 </t>
  </si>
  <si>
    <t>No MEP R-XS($171.24)</t>
  </si>
  <si>
    <t>Michels</t>
  </si>
  <si>
    <t>Aleshia</t>
  </si>
  <si>
    <t>Mayer</t>
  </si>
  <si>
    <t xml:space="preserve">1975660000 </t>
  </si>
  <si>
    <t>Phipps</t>
  </si>
  <si>
    <t>Opposed, out of control</t>
  </si>
  <si>
    <t xml:space="preserve">5137610000 </t>
  </si>
  <si>
    <t>No MEP R3-47($1.24)</t>
  </si>
  <si>
    <t>Claire</t>
  </si>
  <si>
    <t>Albers</t>
  </si>
  <si>
    <t xml:space="preserve">Ann </t>
  </si>
  <si>
    <t xml:space="preserve">2398680000 </t>
  </si>
  <si>
    <t>Montes</t>
  </si>
  <si>
    <t>Velazquez</t>
  </si>
  <si>
    <t>Torri</t>
  </si>
  <si>
    <t>Calvert</t>
  </si>
  <si>
    <t>Tess</t>
  </si>
  <si>
    <t>Barely afford now</t>
  </si>
  <si>
    <t>9093518390 </t>
  </si>
  <si>
    <t>No MEP R3-47(517.75)</t>
  </si>
  <si>
    <t>COR will think about potentially changing to MEP- cor is upset at potentiall rate changes in the future - 10/15 COR MADE RATE CHANGE ONLINE</t>
  </si>
  <si>
    <t>Rick</t>
  </si>
  <si>
    <t>Hurd</t>
  </si>
  <si>
    <t>Middle class are suffering enough</t>
  </si>
  <si>
    <t>8365380635 </t>
  </si>
  <si>
    <t>Li</t>
  </si>
  <si>
    <t>Duo</t>
  </si>
  <si>
    <t xml:space="preserve">2557440000 </t>
  </si>
  <si>
    <t>Pereluka</t>
  </si>
  <si>
    <t>Vasyl</t>
  </si>
  <si>
    <t>not interested in paying more</t>
  </si>
  <si>
    <t xml:space="preserve">6098358533 </t>
  </si>
  <si>
    <t>Wagner</t>
  </si>
  <si>
    <t xml:space="preserve">2160086156 </t>
  </si>
  <si>
    <t>10/9 changed rate to REV</t>
  </si>
  <si>
    <t>Jordon</t>
  </si>
  <si>
    <t xml:space="preserve">5161972296 </t>
  </si>
  <si>
    <t>No MEP R3-47($694.71)</t>
  </si>
  <si>
    <t>Hanson</t>
  </si>
  <si>
    <t>Opposed, APS runs a monopoly</t>
  </si>
  <si>
    <t>Long</t>
  </si>
  <si>
    <t>Dana</t>
  </si>
  <si>
    <t xml:space="preserve">8133906758 </t>
  </si>
  <si>
    <t xml:space="preserve">6062541000 </t>
  </si>
  <si>
    <t>Duncan</t>
  </si>
  <si>
    <t xml:space="preserve">4386253597 </t>
  </si>
  <si>
    <t>No call, will be reassigned next month but total energy usage might keep COR on Tier 2</t>
  </si>
  <si>
    <t>Sommer</t>
  </si>
  <si>
    <t>Bryce</t>
  </si>
  <si>
    <t>Horrible policy</t>
  </si>
  <si>
    <t xml:space="preserve">6017698985 </t>
  </si>
  <si>
    <t>No MEP R-XS(125.13)</t>
  </si>
  <si>
    <t>Increase outpaces inflation</t>
  </si>
  <si>
    <t xml:space="preserve">8168993129 </t>
  </si>
  <si>
    <t>Kaples</t>
  </si>
  <si>
    <t>Kameron</t>
  </si>
  <si>
    <t>Coolidge</t>
  </si>
  <si>
    <t>APS is predatory</t>
  </si>
  <si>
    <t xml:space="preserve">8830066687 </t>
  </si>
  <si>
    <t>Duffy</t>
  </si>
  <si>
    <t>Dewey</t>
  </si>
  <si>
    <t xml:space="preserve">5377231000 </t>
  </si>
  <si>
    <t>Opposed, unjust and wrong</t>
  </si>
  <si>
    <t xml:space="preserve">6228956660 </t>
  </si>
  <si>
    <t>No MEP R3-47(145.00)</t>
  </si>
  <si>
    <t>COR will check aps.com comp tool and potentially change plans there - MADE A RATE CHANGE ON 10/7</t>
  </si>
  <si>
    <t>Chrico</t>
  </si>
  <si>
    <t>Matt</t>
  </si>
  <si>
    <t>opposed, too greedy</t>
  </si>
  <si>
    <t>Keehn</t>
  </si>
  <si>
    <t xml:space="preserve">0980512306 </t>
  </si>
  <si>
    <t>Pham</t>
  </si>
  <si>
    <t>Opposed (included news story of indoor heat deaths)</t>
  </si>
  <si>
    <t xml:space="preserve">9746250000 </t>
  </si>
  <si>
    <t>No MEP R-BASIC($135.72)</t>
  </si>
  <si>
    <t>Should automatically be reassigned soon</t>
  </si>
  <si>
    <t>Stefan</t>
  </si>
  <si>
    <t xml:space="preserve">4022467820 </t>
  </si>
  <si>
    <t>No MEP R-BASIC ($0.57)</t>
  </si>
  <si>
    <t>Ruth</t>
  </si>
  <si>
    <t>Unnecessary</t>
  </si>
  <si>
    <t>https://docket.images.azcc.gov/E000046235.pdf</t>
  </si>
  <si>
    <t xml:space="preserve">2800620000 </t>
  </si>
  <si>
    <t>Willits</t>
  </si>
  <si>
    <t xml:space="preserve">3957802541 </t>
  </si>
  <si>
    <t>Grassi</t>
  </si>
  <si>
    <t>Benjamin</t>
  </si>
  <si>
    <t xml:space="preserve">0747358204 </t>
  </si>
  <si>
    <t xml:space="preserve">4860597868 </t>
  </si>
  <si>
    <t>Herrin</t>
  </si>
  <si>
    <t xml:space="preserve">Dani </t>
  </si>
  <si>
    <t xml:space="preserve">8125471475 </t>
  </si>
  <si>
    <t>Bandy</t>
  </si>
  <si>
    <t xml:space="preserve">7247493303 </t>
  </si>
  <si>
    <t>Rascon</t>
  </si>
  <si>
    <t>Diego</t>
  </si>
  <si>
    <t xml:space="preserve">3852813845 </t>
  </si>
  <si>
    <t>De Simone</t>
  </si>
  <si>
    <t xml:space="preserve">7042751772 </t>
  </si>
  <si>
    <t>No MEP R-BASIC($60.32)</t>
  </si>
  <si>
    <t>Jerome</t>
  </si>
  <si>
    <t xml:space="preserve">2698642394 </t>
  </si>
  <si>
    <t>Mongini</t>
  </si>
  <si>
    <t>Joey</t>
  </si>
  <si>
    <t xml:space="preserve">0871451000 </t>
  </si>
  <si>
    <t>Frey</t>
  </si>
  <si>
    <t xml:space="preserve">8085100837 </t>
  </si>
  <si>
    <t>Siegel</t>
  </si>
  <si>
    <t xml:space="preserve">6040546107 </t>
  </si>
  <si>
    <t>Harjeet</t>
  </si>
  <si>
    <t xml:space="preserve">1459950257 </t>
  </si>
  <si>
    <t>Hepler</t>
  </si>
  <si>
    <t>Cassie</t>
  </si>
  <si>
    <t>Klemm</t>
  </si>
  <si>
    <t>Unacceptable and wrong</t>
  </si>
  <si>
    <t>2445041000 </t>
  </si>
  <si>
    <t>Mesch</t>
  </si>
  <si>
    <t xml:space="preserve">Strongly against </t>
  </si>
  <si>
    <t xml:space="preserve">0126527094 </t>
  </si>
  <si>
    <t>McWilliams</t>
  </si>
  <si>
    <t>Jesse</t>
  </si>
  <si>
    <t xml:space="preserve">4096651000 </t>
  </si>
  <si>
    <t>No MEP R3-47($631.55)</t>
  </si>
  <si>
    <t>11/10 Left VM regarding MEP</t>
  </si>
  <si>
    <t>Quine</t>
  </si>
  <si>
    <t>3920858144</t>
  </si>
  <si>
    <t>Montano</t>
  </si>
  <si>
    <t>Sierra</t>
  </si>
  <si>
    <t>Wadsworth</t>
  </si>
  <si>
    <t>Bowen</t>
  </si>
  <si>
    <t>Sunsarae</t>
  </si>
  <si>
    <t xml:space="preserve">8764120000 </t>
  </si>
  <si>
    <t>Irwin</t>
  </si>
  <si>
    <t xml:space="preserve">1567183764 </t>
  </si>
  <si>
    <t>DeMelo</t>
  </si>
  <si>
    <t>Marc</t>
  </si>
  <si>
    <t>Blatant gouging</t>
  </si>
  <si>
    <t>6206172265</t>
  </si>
  <si>
    <t>Bryant</t>
  </si>
  <si>
    <t>Shelby</t>
  </si>
  <si>
    <t>Opposed, unfair burden on families and seniors</t>
  </si>
  <si>
    <t xml:space="preserve">4300170000 </t>
  </si>
  <si>
    <t>No MEP R3-47(28.19)</t>
  </si>
  <si>
    <t>Sidebottom</t>
  </si>
  <si>
    <t xml:space="preserve">3300419615 </t>
  </si>
  <si>
    <t>Perelman</t>
  </si>
  <si>
    <t>Increase will be very onerous for those on fixed income</t>
  </si>
  <si>
    <t xml:space="preserve">5127241787 </t>
  </si>
  <si>
    <t>No MEP R-BSIC(32.84)</t>
  </si>
  <si>
    <t>McKinney</t>
  </si>
  <si>
    <t xml:space="preserve">3567250984 </t>
  </si>
  <si>
    <t>Vontran</t>
  </si>
  <si>
    <t>Brady</t>
  </si>
  <si>
    <t xml:space="preserve">7298780000 </t>
  </si>
  <si>
    <t>Ingraham</t>
  </si>
  <si>
    <t xml:space="preserve">4409132093 </t>
  </si>
  <si>
    <t>Briden</t>
  </si>
  <si>
    <t>Increase will break many fixed income seniors</t>
  </si>
  <si>
    <t>6085118737 </t>
  </si>
  <si>
    <t>Leal</t>
  </si>
  <si>
    <t xml:space="preserve">4864054917 </t>
  </si>
  <si>
    <t>No MEP RTOUE47($18.11)</t>
  </si>
  <si>
    <t>Lakshmipathy</t>
  </si>
  <si>
    <t>Arunkumar</t>
  </si>
  <si>
    <t xml:space="preserve">0228851000 </t>
  </si>
  <si>
    <t>No MEP R3-47($52.51)</t>
  </si>
  <si>
    <t>Filed 2x on this day</t>
  </si>
  <si>
    <t>Lengowski</t>
  </si>
  <si>
    <t>7209213637 </t>
  </si>
  <si>
    <t>Greenfield</t>
  </si>
  <si>
    <t>Ronald</t>
  </si>
  <si>
    <t xml:space="preserve">0020521000 </t>
  </si>
  <si>
    <t>V</t>
  </si>
  <si>
    <t>Duclos</t>
  </si>
  <si>
    <t xml:space="preserve">7447867552 </t>
  </si>
  <si>
    <t>Santoyo</t>
  </si>
  <si>
    <t xml:space="preserve">0356005964 </t>
  </si>
  <si>
    <t>No MEP R3-47($153.61)</t>
  </si>
  <si>
    <r>
      <t xml:space="preserve">COR will remain on current serv plan, </t>
    </r>
    <r>
      <rPr>
        <sz val="9"/>
        <color rgb="FFFF0000"/>
        <rFont val="Arial Nova Cond"/>
        <family val="2"/>
      </rPr>
      <t>Assistance?</t>
    </r>
  </si>
  <si>
    <t>Guerin</t>
  </si>
  <si>
    <t>Ajo</t>
  </si>
  <si>
    <t xml:space="preserve">7898944772 </t>
  </si>
  <si>
    <t>Kevin Jr</t>
  </si>
  <si>
    <t>Bello</t>
  </si>
  <si>
    <t>Ridiculously high</t>
  </si>
  <si>
    <t>0849482490</t>
  </si>
  <si>
    <t>Copeland</t>
  </si>
  <si>
    <t>Joen</t>
  </si>
  <si>
    <t xml:space="preserve">7370951000 </t>
  </si>
  <si>
    <t>No MEP R3-47(498.46)</t>
  </si>
  <si>
    <t>COR conf she wanted to change to R3-47Rate changed per request</t>
  </si>
  <si>
    <t>Fransen</t>
  </si>
  <si>
    <t xml:space="preserve">4650100233 </t>
  </si>
  <si>
    <t>Alba</t>
  </si>
  <si>
    <t xml:space="preserve">2090761111 </t>
  </si>
  <si>
    <t>Willer</t>
  </si>
  <si>
    <t>can't afford</t>
  </si>
  <si>
    <t xml:space="preserve">7675631000 </t>
  </si>
  <si>
    <t xml:space="preserve">9779470098 </t>
  </si>
  <si>
    <t>Rothen</t>
  </si>
  <si>
    <t xml:space="preserve">6229785331 </t>
  </si>
  <si>
    <t>Ling</t>
  </si>
  <si>
    <t>Against rate hike</t>
  </si>
  <si>
    <t xml:space="preserve">1794260000 </t>
  </si>
  <si>
    <t>Alcantar</t>
  </si>
  <si>
    <t>Outrageously greedy</t>
  </si>
  <si>
    <t>Callahan</t>
  </si>
  <si>
    <t>Kurtis</t>
  </si>
  <si>
    <t>Bate</t>
  </si>
  <si>
    <t>Noel</t>
  </si>
  <si>
    <t xml:space="preserve">7776290000 </t>
  </si>
  <si>
    <t xml:space="preserve">Lim </t>
  </si>
  <si>
    <t>Jaclyn</t>
  </si>
  <si>
    <t>0342680000 </t>
  </si>
  <si>
    <t>Mroczek</t>
  </si>
  <si>
    <t>Rayanne</t>
  </si>
  <si>
    <t>Bisbee</t>
  </si>
  <si>
    <t xml:space="preserve">6833563852 </t>
  </si>
  <si>
    <t>M</t>
  </si>
  <si>
    <t xml:space="preserve">Karthik </t>
  </si>
  <si>
    <t>Bracken</t>
  </si>
  <si>
    <t xml:space="preserve">5604121000 </t>
  </si>
  <si>
    <t>No MEP R3-47($150.38)</t>
  </si>
  <si>
    <t>Not interested in changing plans</t>
  </si>
  <si>
    <t>Linda</t>
  </si>
  <si>
    <t>Cannot afford</t>
  </si>
  <si>
    <t>3856949221 </t>
  </si>
  <si>
    <t>Hull</t>
  </si>
  <si>
    <t xml:space="preserve">7671960000 </t>
  </si>
  <si>
    <t>3604131000 </t>
  </si>
  <si>
    <t>No MEP R3-47($352.39)</t>
  </si>
  <si>
    <t>10/07/2025 left VM</t>
  </si>
  <si>
    <t xml:space="preserve">3846098682 </t>
  </si>
  <si>
    <t>Granato</t>
  </si>
  <si>
    <t>2720371841 </t>
  </si>
  <si>
    <t>No MEP R-XS($118.46)</t>
  </si>
  <si>
    <t>Fanning</t>
  </si>
  <si>
    <t>Ace</t>
  </si>
  <si>
    <t>Already unreasonably high</t>
  </si>
  <si>
    <t>Lagana</t>
  </si>
  <si>
    <t>Eugene</t>
  </si>
  <si>
    <t>Parrish</t>
  </si>
  <si>
    <t>Irresponsible</t>
  </si>
  <si>
    <t xml:space="preserve">5983450000 </t>
  </si>
  <si>
    <t>No MEP R-XS(127.55)</t>
  </si>
  <si>
    <t>Zamenick</t>
  </si>
  <si>
    <t xml:space="preserve">6393740000 </t>
  </si>
  <si>
    <t xml:space="preserve">1164092226 </t>
  </si>
  <si>
    <t>English</t>
  </si>
  <si>
    <t>Fiona</t>
  </si>
  <si>
    <t>Standridge</t>
  </si>
  <si>
    <t>Misty</t>
  </si>
  <si>
    <t>Good</t>
  </si>
  <si>
    <t>Travis</t>
  </si>
  <si>
    <t>2356371197</t>
  </si>
  <si>
    <t>McKeever</t>
  </si>
  <si>
    <t>This is insanity</t>
  </si>
  <si>
    <t xml:space="preserve">0510900360 </t>
  </si>
  <si>
    <t>Vega</t>
  </si>
  <si>
    <t>Macario</t>
  </si>
  <si>
    <t xml:space="preserve">6346280696 </t>
  </si>
  <si>
    <t>Enriquez</t>
  </si>
  <si>
    <t>Edith</t>
  </si>
  <si>
    <t>Opposed, if approved implement meaningful assistance programs</t>
  </si>
  <si>
    <t>Talamantez</t>
  </si>
  <si>
    <t>6276745354</t>
  </si>
  <si>
    <t>Gayed</t>
  </si>
  <si>
    <t>Manal</t>
  </si>
  <si>
    <t>Unbearable financial burden</t>
  </si>
  <si>
    <t>5730448493 </t>
  </si>
  <si>
    <t>Rayepudi</t>
  </si>
  <si>
    <t>Vamseekrishna</t>
  </si>
  <si>
    <t>7866236989 </t>
  </si>
  <si>
    <t>Dinnerstein</t>
  </si>
  <si>
    <t>Already astronomical</t>
  </si>
  <si>
    <t xml:space="preserve">3128248912 </t>
  </si>
  <si>
    <t>No MEP R3-47(675.81)</t>
  </si>
  <si>
    <t>COR will remain on current serv plan</t>
  </si>
  <si>
    <t>Feehery</t>
  </si>
  <si>
    <t>Lorraine</t>
  </si>
  <si>
    <t>Unjust and greedy money grab</t>
  </si>
  <si>
    <t xml:space="preserve">9775140000 </t>
  </si>
  <si>
    <t>Vidal</t>
  </si>
  <si>
    <t>Chanel</t>
  </si>
  <si>
    <t xml:space="preserve">2655378250 </t>
  </si>
  <si>
    <t>No MEP R3-47($70.31)</t>
  </si>
  <si>
    <t>F</t>
  </si>
  <si>
    <t>L</t>
  </si>
  <si>
    <t>Unfair and unjustified</t>
  </si>
  <si>
    <t>Searles</t>
  </si>
  <si>
    <t>Ian</t>
  </si>
  <si>
    <t>Penaloza</t>
  </si>
  <si>
    <t>Reyna</t>
  </si>
  <si>
    <t xml:space="preserve">1908399537 </t>
  </si>
  <si>
    <t>Rose</t>
  </si>
  <si>
    <t xml:space="preserve">7791021977 </t>
  </si>
  <si>
    <t>Wright</t>
  </si>
  <si>
    <t>9065406549 </t>
  </si>
  <si>
    <t>-</t>
  </si>
  <si>
    <t>Armenta</t>
  </si>
  <si>
    <t>Xavier</t>
  </si>
  <si>
    <t xml:space="preserve">2649331000 </t>
  </si>
  <si>
    <t>No MEP R3-47(860.51)</t>
  </si>
  <si>
    <t xml:space="preserve">CPR changed to MEP </t>
  </si>
  <si>
    <t>Agostini-Walesch</t>
  </si>
  <si>
    <t>Erika</t>
  </si>
  <si>
    <t>6128271693 </t>
  </si>
  <si>
    <t xml:space="preserve">Kovacs </t>
  </si>
  <si>
    <t>Beyond reason, outrageous request</t>
  </si>
  <si>
    <t xml:space="preserve">4218400000 </t>
  </si>
  <si>
    <t>Movich</t>
  </si>
  <si>
    <t>Trudy</t>
  </si>
  <si>
    <t>Rimrock</t>
  </si>
  <si>
    <t>info not redacted</t>
  </si>
  <si>
    <t>Gaber</t>
  </si>
  <si>
    <t>https://docket.images.azcc.gov/E000046266.pdf</t>
  </si>
  <si>
    <t>Borror</t>
  </si>
  <si>
    <t>Keep it affordable</t>
  </si>
  <si>
    <t xml:space="preserve">0460101000 </t>
  </si>
  <si>
    <t>Horne</t>
  </si>
  <si>
    <t xml:space="preserve">8598239302 </t>
  </si>
  <si>
    <t>No MEP R3-47($84.78)</t>
  </si>
  <si>
    <t>Ferguson</t>
  </si>
  <si>
    <t xml:space="preserve">5554267371 </t>
  </si>
  <si>
    <t>Cobb</t>
  </si>
  <si>
    <t>People are already hurting</t>
  </si>
  <si>
    <t xml:space="preserve">4656135575 </t>
  </si>
  <si>
    <t>Laskey</t>
  </si>
  <si>
    <t>Mary Ann</t>
  </si>
  <si>
    <t>inappropriate burden</t>
  </si>
  <si>
    <t>Pray</t>
  </si>
  <si>
    <t>Lisa</t>
  </si>
  <si>
    <t>Object to charging residential customer for the power needs of AI &amp; IT</t>
  </si>
  <si>
    <t xml:space="preserve">7871459753 </t>
  </si>
  <si>
    <t xml:space="preserve">Scheid </t>
  </si>
  <si>
    <t>Opposed, need oversight on their contractors</t>
  </si>
  <si>
    <t xml:space="preserve">8270011000 </t>
  </si>
  <si>
    <t>Burt</t>
  </si>
  <si>
    <t>On the backs of struggling seniors statewide</t>
  </si>
  <si>
    <t xml:space="preserve">0949968967 </t>
  </si>
  <si>
    <t>Vanity</t>
  </si>
  <si>
    <t>Dakota</t>
  </si>
  <si>
    <t>Toma</t>
  </si>
  <si>
    <t>Ramiz</t>
  </si>
  <si>
    <t xml:space="preserve">5463797477 </t>
  </si>
  <si>
    <t>Hochgraver</t>
  </si>
  <si>
    <t>Jeremy</t>
  </si>
  <si>
    <t xml:space="preserve">5485214420 </t>
  </si>
  <si>
    <t>No MEP R3-47($285.34)</t>
  </si>
  <si>
    <t>11/03 - LM</t>
  </si>
  <si>
    <t>Escarcega-Lopez</t>
  </si>
  <si>
    <t>Nathalie</t>
  </si>
  <si>
    <t>Misner</t>
  </si>
  <si>
    <t xml:space="preserve">8372996858 </t>
  </si>
  <si>
    <t>Gilliland</t>
  </si>
  <si>
    <t>Clark</t>
  </si>
  <si>
    <t>They are in a class action suit, we do not want to foot this bill</t>
  </si>
  <si>
    <t xml:space="preserve">0915272757 </t>
  </si>
  <si>
    <t>Such drastic rates</t>
  </si>
  <si>
    <t>Franovich</t>
  </si>
  <si>
    <t xml:space="preserve">Ridiculous </t>
  </si>
  <si>
    <t xml:space="preserve">1939300000 </t>
  </si>
  <si>
    <t>Jeyabal</t>
  </si>
  <si>
    <t>Cholan</t>
  </si>
  <si>
    <t>Rosenberger</t>
  </si>
  <si>
    <t>Absolutely insane</t>
  </si>
  <si>
    <t xml:space="preserve">3664029144 </t>
  </si>
  <si>
    <t>Simone</t>
  </si>
  <si>
    <t>Do the right thing, deny the rate increase</t>
  </si>
  <si>
    <t xml:space="preserve">9414462931 </t>
  </si>
  <si>
    <t>No MEP R3-47(35.30)</t>
  </si>
  <si>
    <t>Mora</t>
  </si>
  <si>
    <t xml:space="preserve">2321911932 </t>
  </si>
  <si>
    <t>Nathanael</t>
  </si>
  <si>
    <t>9282570000 </t>
  </si>
  <si>
    <t>7961900940 </t>
  </si>
  <si>
    <t>Altiveros</t>
  </si>
  <si>
    <t>Armand</t>
  </si>
  <si>
    <t xml:space="preserve">2205290521 </t>
  </si>
  <si>
    <t>Roman</t>
  </si>
  <si>
    <t>Florence</t>
  </si>
  <si>
    <t>Retired, cannot afford this</t>
  </si>
  <si>
    <t xml:space="preserve">8573211000 </t>
  </si>
  <si>
    <t>Hooker</t>
  </si>
  <si>
    <t xml:space="preserve">6799540000 </t>
  </si>
  <si>
    <t>Bihms</t>
  </si>
  <si>
    <t xml:space="preserve">2372410000 </t>
  </si>
  <si>
    <t>Cotton</t>
  </si>
  <si>
    <t>Opposed to outrageous request</t>
  </si>
  <si>
    <t xml:space="preserve">3850123644 </t>
  </si>
  <si>
    <t>No MEP TOUE($139.14)</t>
  </si>
  <si>
    <t>10/15 Left VM</t>
  </si>
  <si>
    <t>Hayter</t>
  </si>
  <si>
    <t xml:space="preserve">2801777569 </t>
  </si>
  <si>
    <t>Pydimarry</t>
  </si>
  <si>
    <t>Srinivascharandeepak</t>
  </si>
  <si>
    <t xml:space="preserve">8157321000 </t>
  </si>
  <si>
    <t>N MEP R3-47($240.90)</t>
  </si>
  <si>
    <t>Rhodes</t>
  </si>
  <si>
    <t xml:space="preserve">6916550547 </t>
  </si>
  <si>
    <t>Coltom</t>
  </si>
  <si>
    <t>Janene</t>
  </si>
  <si>
    <t xml:space="preserve">7488840436 </t>
  </si>
  <si>
    <t>Behling</t>
  </si>
  <si>
    <t>Newton</t>
  </si>
  <si>
    <t>Laura</t>
  </si>
  <si>
    <t xml:space="preserve">1636279128 </t>
  </si>
  <si>
    <t>No MEP R3-47($65.26)</t>
  </si>
  <si>
    <t>Meiergerd</t>
  </si>
  <si>
    <t>Celeste</t>
  </si>
  <si>
    <t xml:space="preserve">2874030000 </t>
  </si>
  <si>
    <t>No MEP R3-47($92.94)</t>
  </si>
  <si>
    <t>Families have to make difficult choices</t>
  </si>
  <si>
    <t xml:space="preserve">6154479450 </t>
  </si>
  <si>
    <t>No MEP R-BASIC($175.71)</t>
  </si>
  <si>
    <t>Based on average monthly energy usage, COR will likely remain on Tier 3 next month during rate reassignment. No call made. As of 11/3 COR is just under average monthly usage limit and should be automatically reassigned to Tier 2</t>
  </si>
  <si>
    <t>Lanier</t>
  </si>
  <si>
    <t>Daija</t>
  </si>
  <si>
    <t>Lowrance</t>
  </si>
  <si>
    <t>Hardee</t>
  </si>
  <si>
    <t xml:space="preserve">4789087884 </t>
  </si>
  <si>
    <t xml:space="preserve">9045311000 </t>
  </si>
  <si>
    <t>Deltoro</t>
  </si>
  <si>
    <t xml:space="preserve">9336980000 </t>
  </si>
  <si>
    <t>No MEP R3-47($253.38)</t>
  </si>
  <si>
    <t>10/9 Left VM</t>
  </si>
  <si>
    <t>Lanchbury</t>
  </si>
  <si>
    <t>Hunter</t>
  </si>
  <si>
    <t xml:space="preserve">4051995898 </t>
  </si>
  <si>
    <t>Ivan</t>
  </si>
  <si>
    <t xml:space="preserve">1333897739 </t>
  </si>
  <si>
    <t>Jaeger</t>
  </si>
  <si>
    <t xml:space="preserve">3727344076 </t>
  </si>
  <si>
    <t>Young</t>
  </si>
  <si>
    <t xml:space="preserve">8964410000 </t>
  </si>
  <si>
    <t>Sellers</t>
  </si>
  <si>
    <t>Clements</t>
  </si>
  <si>
    <t xml:space="preserve">7013259359 </t>
  </si>
  <si>
    <t>Fredy</t>
  </si>
  <si>
    <t>Jender</t>
  </si>
  <si>
    <t xml:space="preserve">7972989951 </t>
  </si>
  <si>
    <t>No MEP R-XS ($47.79)</t>
  </si>
  <si>
    <t>Paynter</t>
  </si>
  <si>
    <t>DJ</t>
  </si>
  <si>
    <t xml:space="preserve">6898240000 </t>
  </si>
  <si>
    <t>Ferrales</t>
  </si>
  <si>
    <t>Marlenne</t>
  </si>
  <si>
    <t xml:space="preserve">6154174693 </t>
  </si>
  <si>
    <t>No MEP R-BASIC ($18.51)</t>
  </si>
  <si>
    <t>Pesala</t>
  </si>
  <si>
    <t>Harikrishna</t>
  </si>
  <si>
    <t>rake hike is not good</t>
  </si>
  <si>
    <t xml:space="preserve">6531421867 </t>
  </si>
  <si>
    <t>No MEP R3-47($83.41)</t>
  </si>
  <si>
    <t xml:space="preserve">10/9 - Spoke to COR and discussed plan options and how the R3-47 plan works. He would like to review the details online and call back if he decides to switch. </t>
  </si>
  <si>
    <t>Kachur</t>
  </si>
  <si>
    <t>Marina</t>
  </si>
  <si>
    <t xml:space="preserve">1682180000 </t>
  </si>
  <si>
    <t>Gallagher</t>
  </si>
  <si>
    <t xml:space="preserve">3126570303 </t>
  </si>
  <si>
    <t>MEP not showing on the bill "flagged irregular usage" - Ashley is checking in to it</t>
  </si>
  <si>
    <t>Juneau</t>
  </si>
  <si>
    <t xml:space="preserve">5236586269 </t>
  </si>
  <si>
    <t>Leone</t>
  </si>
  <si>
    <t xml:space="preserve">6327806553 </t>
  </si>
  <si>
    <t>Landau</t>
  </si>
  <si>
    <t xml:space="preserve">0394780000 </t>
  </si>
  <si>
    <t>Mandala</t>
  </si>
  <si>
    <t xml:space="preserve">5644842190 </t>
  </si>
  <si>
    <t>Money grab</t>
  </si>
  <si>
    <t>3998480631</t>
  </si>
  <si>
    <t>Thibodeaux-Nunez</t>
  </si>
  <si>
    <t>Robbin</t>
  </si>
  <si>
    <t>rates are high enough</t>
  </si>
  <si>
    <t>Orillie</t>
  </si>
  <si>
    <t>Case Grande</t>
  </si>
  <si>
    <t>Cost are already obscene</t>
  </si>
  <si>
    <t xml:space="preserve">0947452464 </t>
  </si>
  <si>
    <t>Kulandaivadivelu</t>
  </si>
  <si>
    <t>Rajesh</t>
  </si>
  <si>
    <t xml:space="preserve">7400931000 </t>
  </si>
  <si>
    <t>No MEP RTOUE47($181.10)</t>
  </si>
  <si>
    <t>Gunderson</t>
  </si>
  <si>
    <t>Massive financial burden on my family</t>
  </si>
  <si>
    <t xml:space="preserve">5160556053 </t>
  </si>
  <si>
    <t>McPherson</t>
  </si>
  <si>
    <t xml:space="preserve">3520685256 </t>
  </si>
  <si>
    <t>Neville</t>
  </si>
  <si>
    <t xml:space="preserve">3812550000 </t>
  </si>
  <si>
    <t>Ezrre</t>
  </si>
  <si>
    <t>2822550977</t>
  </si>
  <si>
    <t>Cafagna</t>
  </si>
  <si>
    <t>Caryn</t>
  </si>
  <si>
    <t>Cornville</t>
  </si>
  <si>
    <t>Will be burdensome on a fixed income</t>
  </si>
  <si>
    <t xml:space="preserve">6238293189 </t>
  </si>
  <si>
    <t>Weiner</t>
  </si>
  <si>
    <t xml:space="preserve">2037614704 </t>
  </si>
  <si>
    <t>Verdi</t>
  </si>
  <si>
    <t>Enough already</t>
  </si>
  <si>
    <t xml:space="preserve">5486441000 </t>
  </si>
  <si>
    <t>Duckworth</t>
  </si>
  <si>
    <t>Loyiel</t>
  </si>
  <si>
    <t xml:space="preserve">3615886354  </t>
  </si>
  <si>
    <t>Holt</t>
  </si>
  <si>
    <t>Brianna</t>
  </si>
  <si>
    <t>6597211402 </t>
  </si>
  <si>
    <t>No MEP RTOUE47($42.59)</t>
  </si>
  <si>
    <t>Prakriya</t>
  </si>
  <si>
    <t>Veena</t>
  </si>
  <si>
    <t>Unaffordable</t>
  </si>
  <si>
    <t xml:space="preserve">0574011608 </t>
  </si>
  <si>
    <t>Funk</t>
  </si>
  <si>
    <t>Cecilia</t>
  </si>
  <si>
    <t>https://docket.images.azcc.gov/E000046554.pdf</t>
  </si>
  <si>
    <t>2291912909</t>
  </si>
  <si>
    <t>Filed Twice</t>
  </si>
  <si>
    <t>Watson</t>
  </si>
  <si>
    <t>APS reports profits</t>
  </si>
  <si>
    <t>Sesha</t>
  </si>
  <si>
    <t>Arun Kumar</t>
  </si>
  <si>
    <t>9287216468 </t>
  </si>
  <si>
    <t>Rodriguez</t>
  </si>
  <si>
    <t>Angel</t>
  </si>
  <si>
    <t>Fehr</t>
  </si>
  <si>
    <t>Unreasonably high</t>
  </si>
  <si>
    <t>1637250000</t>
  </si>
  <si>
    <t>Greibesland</t>
  </si>
  <si>
    <t>Bevan</t>
  </si>
  <si>
    <t xml:space="preserve">5245451000 </t>
  </si>
  <si>
    <t>No MEP R3-47($138.04)</t>
  </si>
  <si>
    <t>Hepner</t>
  </si>
  <si>
    <t>Supports FRM</t>
  </si>
  <si>
    <t xml:space="preserve">3430450000 </t>
  </si>
  <si>
    <t>Lind</t>
  </si>
  <si>
    <t>Hart</t>
  </si>
  <si>
    <t xml:space="preserve">6046328982 </t>
  </si>
  <si>
    <t>Kosowicz</t>
  </si>
  <si>
    <t>Diane</t>
  </si>
  <si>
    <t>becoming unaffordable</t>
  </si>
  <si>
    <t>3157160000 </t>
  </si>
  <si>
    <t>McCloud</t>
  </si>
  <si>
    <t>Unchecked greed</t>
  </si>
  <si>
    <t xml:space="preserve">6846061000 </t>
  </si>
  <si>
    <t>No MEP R3-47($74.50)</t>
  </si>
  <si>
    <t>Martinez</t>
  </si>
  <si>
    <t>Evelin</t>
  </si>
  <si>
    <t>Unaffordable and unfair</t>
  </si>
  <si>
    <t xml:space="preserve">0491835909 </t>
  </si>
  <si>
    <t>Stittleburg</t>
  </si>
  <si>
    <t>Stop stealing from the poor</t>
  </si>
  <si>
    <t>Litton</t>
  </si>
  <si>
    <t>Miranda</t>
  </si>
  <si>
    <t xml:space="preserve">4757278626 </t>
  </si>
  <si>
    <t>No MEP R3-47 ($110.70)</t>
  </si>
  <si>
    <t>Too much too often</t>
  </si>
  <si>
    <t xml:space="preserve">7619340000 </t>
  </si>
  <si>
    <t>No MEP R3-47($130.18)</t>
  </si>
  <si>
    <t>10/9 - tried to call, phone number is no longer in service</t>
  </si>
  <si>
    <t>Bahrie</t>
  </si>
  <si>
    <t>Atul</t>
  </si>
  <si>
    <t xml:space="preserve">5662251000 </t>
  </si>
  <si>
    <t>No MEP R3-47($481.47)</t>
  </si>
  <si>
    <t>Pludowski</t>
  </si>
  <si>
    <t>Increase approved last year</t>
  </si>
  <si>
    <t xml:space="preserve">7397370000 </t>
  </si>
  <si>
    <t>No MRP R3-47($305.33)</t>
  </si>
  <si>
    <t xml:space="preserve">10/9 reviewed account and notes indicate he spoke to an advisor within the last several  months and specifically asked to be removed from the demand plan. </t>
  </si>
  <si>
    <t>Tucker</t>
  </si>
  <si>
    <t>against any increase</t>
  </si>
  <si>
    <t xml:space="preserve">5744736365 </t>
  </si>
  <si>
    <t>Trending over average monthly usage limit</t>
  </si>
  <si>
    <t>Washatka</t>
  </si>
  <si>
    <t xml:space="preserve">0103650000 </t>
  </si>
  <si>
    <t>Nicholson</t>
  </si>
  <si>
    <t xml:space="preserve">5391718246 </t>
  </si>
  <si>
    <t>No R3-47($76.57)</t>
  </si>
  <si>
    <t>Haynes</t>
  </si>
  <si>
    <t xml:space="preserve">0181561492 </t>
  </si>
  <si>
    <t>No R3-47($147.75)</t>
  </si>
  <si>
    <t xml:space="preserve">10/9 Spoke with Ms. Haynes regarding her MEP, R3-47. She does not want to change at this time. Advised her to monitor monthly plan comparison details. </t>
  </si>
  <si>
    <t>Bauer</t>
  </si>
  <si>
    <t>4581830000</t>
  </si>
  <si>
    <t>Zschunke</t>
  </si>
  <si>
    <t>Bonnie</t>
  </si>
  <si>
    <t>Carroll</t>
  </si>
  <si>
    <t>Can't afford higher bills</t>
  </si>
  <si>
    <t xml:space="preserve">6157060000 </t>
  </si>
  <si>
    <t>Dutta</t>
  </si>
  <si>
    <t>Samrat</t>
  </si>
  <si>
    <t>2547200000 </t>
  </si>
  <si>
    <t xml:space="preserve">Willer </t>
  </si>
  <si>
    <t>New River</t>
  </si>
  <si>
    <t xml:space="preserve">3353472148 </t>
  </si>
  <si>
    <t>Madeline</t>
  </si>
  <si>
    <t xml:space="preserve">6807568001 </t>
  </si>
  <si>
    <t>Valeev</t>
  </si>
  <si>
    <t>Margaret</t>
  </si>
  <si>
    <t>Furious</t>
  </si>
  <si>
    <t xml:space="preserve">2224828876 </t>
  </si>
  <si>
    <t>Cannochka</t>
  </si>
  <si>
    <t>Dmitrii</t>
  </si>
  <si>
    <t>Hareza</t>
  </si>
  <si>
    <t>Darla</t>
  </si>
  <si>
    <t>Stop being so greedy</t>
  </si>
  <si>
    <t xml:space="preserve">4684530000 </t>
  </si>
  <si>
    <t>9849411000 </t>
  </si>
  <si>
    <t>Sawminathan</t>
  </si>
  <si>
    <t>Balaganesan</t>
  </si>
  <si>
    <t>Sheri</t>
  </si>
  <si>
    <t>7953727588 </t>
  </si>
  <si>
    <t>Downey</t>
  </si>
  <si>
    <t xml:space="preserve">5248721000 </t>
  </si>
  <si>
    <t>Yip</t>
  </si>
  <si>
    <t>Indy</t>
  </si>
  <si>
    <t xml:space="preserve">3805928813 </t>
  </si>
  <si>
    <t>No MEP R3-47($37.53)</t>
  </si>
  <si>
    <t>Mathews Scott</t>
  </si>
  <si>
    <t xml:space="preserve">Mary </t>
  </si>
  <si>
    <t>Desert Hills</t>
  </si>
  <si>
    <t>Greed</t>
  </si>
  <si>
    <t>Handelman</t>
  </si>
  <si>
    <t xml:space="preserve">Jeff </t>
  </si>
  <si>
    <t>Opposed, gouging customers</t>
  </si>
  <si>
    <t xml:space="preserve">8715441000 </t>
  </si>
  <si>
    <t>Wollman</t>
  </si>
  <si>
    <t>Kenneth</t>
  </si>
  <si>
    <t>Ridiculous and a hardship</t>
  </si>
  <si>
    <t xml:space="preserve">2752541344 </t>
  </si>
  <si>
    <t>No MEP R3-47($88.73)</t>
  </si>
  <si>
    <t>Fulton</t>
  </si>
  <si>
    <t>Celena</t>
  </si>
  <si>
    <t>Morristown</t>
  </si>
  <si>
    <t>Lassner</t>
  </si>
  <si>
    <t xml:space="preserve">8171441100 </t>
  </si>
  <si>
    <t>No MEP R-BASIC($42.83)</t>
  </si>
  <si>
    <t>Palaniraj</t>
  </si>
  <si>
    <t>Selvakumar</t>
  </si>
  <si>
    <t xml:space="preserve">0831730979 </t>
  </si>
  <si>
    <t>Kumis</t>
  </si>
  <si>
    <t>Bessie</t>
  </si>
  <si>
    <t>Becus</t>
  </si>
  <si>
    <t>Lucie</t>
  </si>
  <si>
    <t xml:space="preserve">0179082566 </t>
  </si>
  <si>
    <t>Wesley</t>
  </si>
  <si>
    <t xml:space="preserve">1027321000 </t>
  </si>
  <si>
    <t>No MEP R3-47($419.59)</t>
  </si>
  <si>
    <t>Zausmer</t>
  </si>
  <si>
    <t xml:space="preserve">7586510000 </t>
  </si>
  <si>
    <t>10/8 Spoke with COR and discussed MEP of R3-47 - she agreed to try R3-47. Dom helped to make the rate change in C&amp;CB.</t>
  </si>
  <si>
    <t xml:space="preserve">8422252988 </t>
  </si>
  <si>
    <t>Undue burden on residential customers</t>
  </si>
  <si>
    <t>Taft</t>
  </si>
  <si>
    <t>Konrad</t>
  </si>
  <si>
    <t>Data centers coming in and nothing to with energy use</t>
  </si>
  <si>
    <t xml:space="preserve">6220501000 </t>
  </si>
  <si>
    <t>Futi</t>
  </si>
  <si>
    <t>Ruben</t>
  </si>
  <si>
    <t xml:space="preserve">0829573314 </t>
  </si>
  <si>
    <t>COR JUST STARTED SERV</t>
  </si>
  <si>
    <t>Rohit</t>
  </si>
  <si>
    <t>0119612479</t>
  </si>
  <si>
    <t>Stout</t>
  </si>
  <si>
    <t>Grand Canyon</t>
  </si>
  <si>
    <t xml:space="preserve">6942363976 </t>
  </si>
  <si>
    <t>Lenick</t>
  </si>
  <si>
    <t xml:space="preserve">3846299964 </t>
  </si>
  <si>
    <t>Lamar</t>
  </si>
  <si>
    <t xml:space="preserve">Nathan </t>
  </si>
  <si>
    <t xml:space="preserve">Merican </t>
  </si>
  <si>
    <t>Kari</t>
  </si>
  <si>
    <t>Opposed, unstainable</t>
  </si>
  <si>
    <t>Ramia</t>
  </si>
  <si>
    <t xml:space="preserve">9041804996 </t>
  </si>
  <si>
    <t>No MEP R3-47 ($9.57)</t>
  </si>
  <si>
    <t>Derek</t>
  </si>
  <si>
    <t xml:space="preserve">7925230997 </t>
  </si>
  <si>
    <t>Rivera</t>
  </si>
  <si>
    <t>Kane</t>
  </si>
  <si>
    <t xml:space="preserve">1669206811 </t>
  </si>
  <si>
    <t>No MEP RTOUE47 ($0.81)</t>
  </si>
  <si>
    <t>Sandra</t>
  </si>
  <si>
    <t xml:space="preserve">4455318107 </t>
  </si>
  <si>
    <t>Opposed, not fair</t>
  </si>
  <si>
    <t xml:space="preserve">6541680000 </t>
  </si>
  <si>
    <t>Jamison</t>
  </si>
  <si>
    <t xml:space="preserve">3242131815 </t>
  </si>
  <si>
    <t>No MEP R-BASIC($44.93)</t>
  </si>
  <si>
    <t>Energy usage barely eligible for BASIC - Might stay on BASICL at annual reassignment</t>
  </si>
  <si>
    <t>Kirby</t>
  </si>
  <si>
    <t>Corirossi</t>
  </si>
  <si>
    <t xml:space="preserve">2303209836 </t>
  </si>
  <si>
    <t>No MEP R3-47($62.68)</t>
  </si>
  <si>
    <t>Talbott</t>
  </si>
  <si>
    <t>Cut the fat</t>
  </si>
  <si>
    <t xml:space="preserve">8231151000 </t>
  </si>
  <si>
    <t>No MEP R3-47($235.10)</t>
  </si>
  <si>
    <t>10/8 Left VM</t>
  </si>
  <si>
    <t>DeBay</t>
  </si>
  <si>
    <t xml:space="preserve">Jan </t>
  </si>
  <si>
    <t>already very high</t>
  </si>
  <si>
    <t xml:space="preserve">7014080000 </t>
  </si>
  <si>
    <t>Traverso</t>
  </si>
  <si>
    <t>Luca</t>
  </si>
  <si>
    <t xml:space="preserve">2239392578 </t>
  </si>
  <si>
    <t>Reed</t>
  </si>
  <si>
    <t>Ralph</t>
  </si>
  <si>
    <t>Retired, fixed income</t>
  </si>
  <si>
    <t xml:space="preserve">2798910000 </t>
  </si>
  <si>
    <t>Magee</t>
  </si>
  <si>
    <t>9798240000 </t>
  </si>
  <si>
    <t>Non-AMI Customer</t>
  </si>
  <si>
    <t>Stumpf</t>
  </si>
  <si>
    <t>Yvette</t>
  </si>
  <si>
    <t>3006885688</t>
  </si>
  <si>
    <t>Gilmore</t>
  </si>
  <si>
    <t>0786386957</t>
  </si>
  <si>
    <t>No MEP TOUE ($420.43)</t>
  </si>
  <si>
    <t>10/08/2025 left VM</t>
  </si>
  <si>
    <t>Funke</t>
  </si>
  <si>
    <t>Carrie</t>
  </si>
  <si>
    <t>3973394094</t>
  </si>
  <si>
    <t>Kriechbaum</t>
  </si>
  <si>
    <t>Sherry</t>
  </si>
  <si>
    <t>1468123073</t>
  </si>
  <si>
    <t>Robb</t>
  </si>
  <si>
    <t>Vaughn</t>
  </si>
  <si>
    <t>Blaser</t>
  </si>
  <si>
    <t>Vujic</t>
  </si>
  <si>
    <t>Inman</t>
  </si>
  <si>
    <t>0902311000</t>
  </si>
  <si>
    <t>No MEP R3-47 ($79.77)</t>
  </si>
  <si>
    <t>Hobson</t>
  </si>
  <si>
    <t>https://docket.images.azcc.gov/E000046269.pdf</t>
  </si>
  <si>
    <t>9549931000</t>
  </si>
  <si>
    <t>No MEP R3-47 ($482.61)</t>
  </si>
  <si>
    <t>Boardman</t>
  </si>
  <si>
    <t>Julia</t>
  </si>
  <si>
    <t>5373695965</t>
  </si>
  <si>
    <t>Dara</t>
  </si>
  <si>
    <t>Krishna</t>
  </si>
  <si>
    <t>Already getting difficult to pay the bill</t>
  </si>
  <si>
    <t>5997041000</t>
  </si>
  <si>
    <t>8418910000</t>
  </si>
  <si>
    <t>Bethany</t>
  </si>
  <si>
    <t>Kaelyn</t>
  </si>
  <si>
    <t>9984188572</t>
  </si>
  <si>
    <t>Kumar</t>
  </si>
  <si>
    <t>Sumit</t>
  </si>
  <si>
    <t>7756951000</t>
  </si>
  <si>
    <t>Kalikar</t>
  </si>
  <si>
    <t>Vinayak</t>
  </si>
  <si>
    <t>3063800000</t>
  </si>
  <si>
    <t>Rushing</t>
  </si>
  <si>
    <t>Ayla</t>
  </si>
  <si>
    <t>Greedy company</t>
  </si>
  <si>
    <t>4026100541 </t>
  </si>
  <si>
    <t>No MEP R3-47 ($221.91)</t>
  </si>
  <si>
    <t>Hudgins</t>
  </si>
  <si>
    <t>Eldeen</t>
  </si>
  <si>
    <t>Opposed / submitted request to intervene</t>
  </si>
  <si>
    <t>6552151000</t>
  </si>
  <si>
    <t>Burkes</t>
  </si>
  <si>
    <t>https://docket.images.azcc.gov/E000046289.pdf</t>
  </si>
  <si>
    <t>5001808687</t>
  </si>
  <si>
    <t>Kathryne</t>
  </si>
  <si>
    <t>1247840000</t>
  </si>
  <si>
    <t>No MEP R3-47 ($161.55)</t>
  </si>
  <si>
    <t>Hollie</t>
  </si>
  <si>
    <t>7888410000</t>
  </si>
  <si>
    <t>5739710087</t>
  </si>
  <si>
    <t>Beck</t>
  </si>
  <si>
    <t>Stolarski</t>
  </si>
  <si>
    <t>7411200000</t>
  </si>
  <si>
    <t>Catie</t>
  </si>
  <si>
    <t>9763988768</t>
  </si>
  <si>
    <t>Post</t>
  </si>
  <si>
    <t>Dunn</t>
  </si>
  <si>
    <t>Rates were raised last year</t>
  </si>
  <si>
    <t>4455045278</t>
  </si>
  <si>
    <t>Bernhardt</t>
  </si>
  <si>
    <t>8069970000</t>
  </si>
  <si>
    <t>Opposed, 8% last year</t>
  </si>
  <si>
    <t>Gwen</t>
  </si>
  <si>
    <t>Hunt</t>
  </si>
  <si>
    <t>Bills are already high</t>
  </si>
  <si>
    <t xml:space="preserve">Jenni </t>
  </si>
  <si>
    <t>Kobus</t>
  </si>
  <si>
    <t>1139701000</t>
  </si>
  <si>
    <t>Benuncosa</t>
  </si>
  <si>
    <t>Emery</t>
  </si>
  <si>
    <t>7740741000</t>
  </si>
  <si>
    <t>Sosnicki</t>
  </si>
  <si>
    <t>Got 8% last year, now they want 14%</t>
  </si>
  <si>
    <t>4807360000</t>
  </si>
  <si>
    <t>Wyatt</t>
  </si>
  <si>
    <t>Kristin</t>
  </si>
  <si>
    <t>7745120000</t>
  </si>
  <si>
    <t>Coschigano</t>
  </si>
  <si>
    <t>9186920000</t>
  </si>
  <si>
    <t>Decker</t>
  </si>
  <si>
    <t>Courtland</t>
  </si>
  <si>
    <t>not fair nor financially respectful to ask for 22% increase in two years</t>
  </si>
  <si>
    <t>5805736054</t>
  </si>
  <si>
    <t>Boisvert</t>
  </si>
  <si>
    <t>4181641000</t>
  </si>
  <si>
    <t>Coronado</t>
  </si>
  <si>
    <t>Unacceptable and should not be allowed</t>
  </si>
  <si>
    <t>Grondin</t>
  </si>
  <si>
    <t>Sarah &amp; Micah</t>
  </si>
  <si>
    <t>5506921000</t>
  </si>
  <si>
    <t>Morrison</t>
  </si>
  <si>
    <t>Quandra</t>
  </si>
  <si>
    <t>3459240757</t>
  </si>
  <si>
    <t>No MEP R-BASIC ($78.14)</t>
  </si>
  <si>
    <t>Lander</t>
  </si>
  <si>
    <t>Opposed, monopoly</t>
  </si>
  <si>
    <t>1593380000</t>
  </si>
  <si>
    <t>Lane</t>
  </si>
  <si>
    <t>Genevieve</t>
  </si>
  <si>
    <t>Bezanson</t>
  </si>
  <si>
    <t>4494941000</t>
  </si>
  <si>
    <t>Katsura</t>
  </si>
  <si>
    <t>0879272556</t>
  </si>
  <si>
    <t>Filed 2x</t>
  </si>
  <si>
    <t>Boos</t>
  </si>
  <si>
    <t>Al</t>
  </si>
  <si>
    <t>egregious and possibly unaffordable by many customers</t>
  </si>
  <si>
    <t>9093670000</t>
  </si>
  <si>
    <t>Farnsworth</t>
  </si>
  <si>
    <t>0607010210</t>
  </si>
  <si>
    <t>Parr</t>
  </si>
  <si>
    <t>Joshua Roy</t>
  </si>
  <si>
    <t>5406537242</t>
  </si>
  <si>
    <t>No MEP R3-47 ($137.94)</t>
  </si>
  <si>
    <t>Orr</t>
  </si>
  <si>
    <t>Opposed, will have to move away</t>
  </si>
  <si>
    <t>Peteet</t>
  </si>
  <si>
    <t>We aren't getting any benefit from proposed increase</t>
  </si>
  <si>
    <t>https://docket.images.azcc.gov/E000046305.pdf</t>
  </si>
  <si>
    <t>Egregious, I pay approx $126 just in service charges</t>
  </si>
  <si>
    <t>7176661000</t>
  </si>
  <si>
    <t>Not in line with the current CPI</t>
  </si>
  <si>
    <t>Shaver</t>
  </si>
  <si>
    <t>4935500000</t>
  </si>
  <si>
    <t>Colon</t>
  </si>
  <si>
    <t>3940259300</t>
  </si>
  <si>
    <t>Edmondson</t>
  </si>
  <si>
    <t>Minimal increase is acceptable</t>
  </si>
  <si>
    <t>https://docket.images.azcc.gov/E000046290.pdf</t>
  </si>
  <si>
    <t>Mataraza</t>
  </si>
  <si>
    <t>When is enough, enough?</t>
  </si>
  <si>
    <t>https://docket.images.azcc.gov/E000046309.pdf</t>
  </si>
  <si>
    <t>Brumund</t>
  </si>
  <si>
    <t>Randy</t>
  </si>
  <si>
    <t>Barely have enough to cover the increase of food</t>
  </si>
  <si>
    <t>2387100000</t>
  </si>
  <si>
    <t>Malaki</t>
  </si>
  <si>
    <t>Samantha</t>
  </si>
  <si>
    <t>8027967579</t>
  </si>
  <si>
    <t>No MEP R3-47 ($84.85)</t>
  </si>
  <si>
    <t>Shah</t>
  </si>
  <si>
    <t>Raju</t>
  </si>
  <si>
    <t>1914731000</t>
  </si>
  <si>
    <t>Dermott</t>
  </si>
  <si>
    <t>Pircaro</t>
  </si>
  <si>
    <t>0029211000</t>
  </si>
  <si>
    <t>Tanika</t>
  </si>
  <si>
    <t>5458953850</t>
  </si>
  <si>
    <t>No MEP R-XS ($24.15)</t>
  </si>
  <si>
    <t>Josselyn</t>
  </si>
  <si>
    <t>https://docket.images.azcc.gov/E000046316.pdf</t>
  </si>
  <si>
    <t>4528501000</t>
  </si>
  <si>
    <t>No MEP R-XS ($117.00)</t>
  </si>
  <si>
    <t>10/8/2025 Left VM</t>
  </si>
  <si>
    <t>Ray</t>
  </si>
  <si>
    <t>Ingeborg</t>
  </si>
  <si>
    <t>6428400000</t>
  </si>
  <si>
    <t>Parker</t>
  </si>
  <si>
    <t>Opposed, small business struggling due to extreme heat waves</t>
  </si>
  <si>
    <t>Wellton</t>
  </si>
  <si>
    <t>Mikkola</t>
  </si>
  <si>
    <t>Cheryl</t>
  </si>
  <si>
    <t>Opposed, seniors, spouse has cancer, his temp is regulated for health</t>
  </si>
  <si>
    <t>https://docket.images.azcc.gov/E000046329.pdf</t>
  </si>
  <si>
    <t>9414462931</t>
  </si>
  <si>
    <t>No MEP R3-47 ($35.30)</t>
  </si>
  <si>
    <t>Frederick</t>
  </si>
  <si>
    <t>8805404344</t>
  </si>
  <si>
    <t>Craycroft</t>
  </si>
  <si>
    <t>4344550000</t>
  </si>
  <si>
    <t>This comment was submitted by The Arizona House of Rep Constituent Office</t>
  </si>
  <si>
    <t>Deer</t>
  </si>
  <si>
    <t>Payton</t>
  </si>
  <si>
    <t>3161149182</t>
  </si>
  <si>
    <t>No MEP R-XS ($119.86)</t>
  </si>
  <si>
    <t>10/9 reviewed account, average monthly energy usage is trending high so customer would be bumped up to tier 2</t>
  </si>
  <si>
    <t>No MEP R-XS ($78.14)</t>
  </si>
  <si>
    <t>5862540000</t>
  </si>
  <si>
    <t>Using hold on energy selection against Arizona families</t>
  </si>
  <si>
    <t>https://docket.images.azcc.gov/E000046349.pdf</t>
  </si>
  <si>
    <t>7228908122</t>
  </si>
  <si>
    <t>Mohajerin</t>
  </si>
  <si>
    <t>Saeed</t>
  </si>
  <si>
    <t>How much is enough</t>
  </si>
  <si>
    <t>8092710000</t>
  </si>
  <si>
    <t>Varner</t>
  </si>
  <si>
    <t>Edie</t>
  </si>
  <si>
    <t>Constant increase in utilities bill, senior, strict budget</t>
  </si>
  <si>
    <t>2482408877</t>
  </si>
  <si>
    <t>No MEP R3-47 ($15.79)</t>
  </si>
  <si>
    <t>Iewan</t>
  </si>
  <si>
    <t>Jim</t>
  </si>
  <si>
    <t>3459240757 </t>
  </si>
  <si>
    <t>Thompson</t>
  </si>
  <si>
    <t>Shirley</t>
  </si>
  <si>
    <t>https://docket.images.azcc.gov/E000046359.pdf</t>
  </si>
  <si>
    <t>4175541000</t>
  </si>
  <si>
    <t>https://docket.images.azcc.gov/E000046388.pdf</t>
  </si>
  <si>
    <t>Driver</t>
  </si>
  <si>
    <t>Robin</t>
  </si>
  <si>
    <t>https://docket.images.azcc.gov/E000046404.pdf</t>
  </si>
  <si>
    <t>Saltzman</t>
  </si>
  <si>
    <t>2594531000</t>
  </si>
  <si>
    <t>No MEP R-BASIC ($77.70)</t>
  </si>
  <si>
    <t>Bejar</t>
  </si>
  <si>
    <t>Christen</t>
  </si>
  <si>
    <t>2001860000</t>
  </si>
  <si>
    <t>No MEP R3-47 ($120.96)</t>
  </si>
  <si>
    <t>10/08/2025 Left VM</t>
  </si>
  <si>
    <t>Redman</t>
  </si>
  <si>
    <t>0417096787</t>
  </si>
  <si>
    <t xml:space="preserve">Salt </t>
  </si>
  <si>
    <t>1444600000</t>
  </si>
  <si>
    <t>Menoche</t>
  </si>
  <si>
    <t>Kaitlynn</t>
  </si>
  <si>
    <t>https://docket.images.azcc.gov/E000046437.pdf</t>
  </si>
  <si>
    <t>Harms</t>
  </si>
  <si>
    <t>Reduced exorbitant salaries</t>
  </si>
  <si>
    <t>5304030000</t>
  </si>
  <si>
    <t>Heaton</t>
  </si>
  <si>
    <t>price gouging</t>
  </si>
  <si>
    <t>Sinks</t>
  </si>
  <si>
    <t xml:space="preserve">O'Neil </t>
  </si>
  <si>
    <t>7224390000</t>
  </si>
  <si>
    <t>No MEP R3-47 ($19.36)</t>
  </si>
  <si>
    <t>Dukart</t>
  </si>
  <si>
    <t>Corporate Greed</t>
  </si>
  <si>
    <t>2139544986</t>
  </si>
  <si>
    <t>Fylan</t>
  </si>
  <si>
    <t>3066285596</t>
  </si>
  <si>
    <t>No MEP R3-47 ($355.98)</t>
  </si>
  <si>
    <t xml:space="preserve">10/08/2025 Left VM </t>
  </si>
  <si>
    <t>Martin</t>
  </si>
  <si>
    <t>0436289551</t>
  </si>
  <si>
    <t>No MEP R3-47 ($159.33)</t>
  </si>
  <si>
    <t>Mobley</t>
  </si>
  <si>
    <t>Susan</t>
  </si>
  <si>
    <t>3375784078</t>
  </si>
  <si>
    <t>No MEP R3-47 ($498.46)</t>
  </si>
  <si>
    <t>Andrews</t>
  </si>
  <si>
    <t>Firmly against</t>
  </si>
  <si>
    <t>4155800832</t>
  </si>
  <si>
    <t>Harris</t>
  </si>
  <si>
    <t>5288821061</t>
  </si>
  <si>
    <t>Pending stop 11/3</t>
  </si>
  <si>
    <t>Nancy</t>
  </si>
  <si>
    <t>Unreasonable</t>
  </si>
  <si>
    <t>5531290000</t>
  </si>
  <si>
    <t>No MEP R3-47 ($188.91))</t>
  </si>
  <si>
    <t>10/9 Tried to leave a VM, mailbox is full, Tried to call again on 11/10</t>
  </si>
  <si>
    <t>Camacho</t>
  </si>
  <si>
    <t>Chevon</t>
  </si>
  <si>
    <t>Mercado-Tarango</t>
  </si>
  <si>
    <t>Brenda</t>
  </si>
  <si>
    <t>4456121000</t>
  </si>
  <si>
    <t>Messing</t>
  </si>
  <si>
    <t>Manville</t>
  </si>
  <si>
    <t>La Plant</t>
  </si>
  <si>
    <t xml:space="preserve">Lind </t>
  </si>
  <si>
    <t>Sylvester</t>
  </si>
  <si>
    <t>Zachery</t>
  </si>
  <si>
    <t>9854457444</t>
  </si>
  <si>
    <t>Weigand</t>
  </si>
  <si>
    <t>Mathew</t>
  </si>
  <si>
    <t>0406230633</t>
  </si>
  <si>
    <t>R-Basic</t>
  </si>
  <si>
    <t>No MEP TOUE ($20.50)</t>
  </si>
  <si>
    <t>Callingham</t>
  </si>
  <si>
    <t>5672030668</t>
  </si>
  <si>
    <t>We are struggling</t>
  </si>
  <si>
    <t>Mercedes</t>
  </si>
  <si>
    <t>Extremely expensive</t>
  </si>
  <si>
    <t>2060349043</t>
  </si>
  <si>
    <t>No MEP TOUE ($157.52)</t>
  </si>
  <si>
    <t>10/9 Reviewed account, on 9/29 customer called to switch to MEP</t>
  </si>
  <si>
    <t>Called into CX center to switch plans to MEP on 9/29</t>
  </si>
  <si>
    <t>Quinet</t>
  </si>
  <si>
    <t>3985295602</t>
  </si>
  <si>
    <t>Gaydosz</t>
  </si>
  <si>
    <t xml:space="preserve">Ridiculous  </t>
  </si>
  <si>
    <t>Enough is enough, already paying $160 for a 700 sqdt apartment</t>
  </si>
  <si>
    <t>3081131103</t>
  </si>
  <si>
    <t>No MEP R-XS ($98.76)</t>
  </si>
  <si>
    <t>Donato</t>
  </si>
  <si>
    <t xml:space="preserve">This is a significant burden, especially at a time when cost of living continues to rise </t>
  </si>
  <si>
    <t>https://docket.images.azcc.gov/E000046472.pdf</t>
  </si>
  <si>
    <t xml:space="preserve">5447681797 </t>
  </si>
  <si>
    <t>No MEP R3-47(336.10)</t>
  </si>
  <si>
    <t>Bramble</t>
  </si>
  <si>
    <t>The proposed rate increase is excessive</t>
  </si>
  <si>
    <t>https://docket.images.azcc.gov/E000046494.pdf</t>
  </si>
  <si>
    <t xml:space="preserve">1353321000 </t>
  </si>
  <si>
    <t>Craig</t>
  </si>
  <si>
    <t xml:space="preserve">1694440000 </t>
  </si>
  <si>
    <t>Fein</t>
  </si>
  <si>
    <t>Opposed-I wont survive another summer in AZ</t>
  </si>
  <si>
    <t xml:space="preserve">5831790000 </t>
  </si>
  <si>
    <t xml:space="preserve">4572687906 </t>
  </si>
  <si>
    <t>Keates</t>
  </si>
  <si>
    <t>Rob</t>
  </si>
  <si>
    <t>Opposed-Price gouging</t>
  </si>
  <si>
    <t>https://docket.images.azcc.gov/E000046502.pdf</t>
  </si>
  <si>
    <t xml:space="preserve">6651244518 </t>
  </si>
  <si>
    <t>No MEP R-BASIC(126.09)</t>
  </si>
  <si>
    <t>10/9 Reviewed account and average monthly energe use is 760 kwh - want to confirm BASIC is a good recommendation?</t>
  </si>
  <si>
    <t>Gregg</t>
  </si>
  <si>
    <t>Opposed-APS sees a profit margin already of 9.55%</t>
  </si>
  <si>
    <t>3547350000</t>
  </si>
  <si>
    <t>Mensinger</t>
  </si>
  <si>
    <t>Opposed-Lets take a closer look at company spending habits</t>
  </si>
  <si>
    <t xml:space="preserve">2613256425 </t>
  </si>
  <si>
    <t>Houck</t>
  </si>
  <si>
    <t>Opposed-APS sis 25% higher than SRP</t>
  </si>
  <si>
    <t>https://docket.images.azcc.gov/E000046525.pdf</t>
  </si>
  <si>
    <t xml:space="preserve">5669951000 </t>
  </si>
  <si>
    <t>Pop</t>
  </si>
  <si>
    <t>Don’t raise the rates for electricity</t>
  </si>
  <si>
    <t>Already had an 8% increase last year</t>
  </si>
  <si>
    <t>Opposed-AC set 83 and still high bills</t>
  </si>
  <si>
    <t xml:space="preserve">1806989657 </t>
  </si>
  <si>
    <t>Hendricks</t>
  </si>
  <si>
    <t>Joseph City</t>
  </si>
  <si>
    <t>Opposed-Why am I forced to APS and not someone else?</t>
  </si>
  <si>
    <t xml:space="preserve">2491806502 </t>
  </si>
  <si>
    <t>Several missed payments</t>
  </si>
  <si>
    <t>Walton</t>
  </si>
  <si>
    <t>Opposed-Shareholders interests are prioritized</t>
  </si>
  <si>
    <t>Frausto</t>
  </si>
  <si>
    <t>Esmeralda</t>
  </si>
  <si>
    <t>Opposed-Think of customers first, high cost of living</t>
  </si>
  <si>
    <t>3516164640 </t>
  </si>
  <si>
    <t>Continuous payment arrangements for a couple years, may need more assistance?</t>
  </si>
  <si>
    <t>Opposed- Going to contact Attorney Gen. to allow SRP serv</t>
  </si>
  <si>
    <t xml:space="preserve">0573685084 </t>
  </si>
  <si>
    <t>Avalos</t>
  </si>
  <si>
    <t>Opposed-It will only drive away more jobs</t>
  </si>
  <si>
    <t>Hulsey</t>
  </si>
  <si>
    <t>Strongly Oppose 14% increase</t>
  </si>
  <si>
    <t xml:space="preserve">7420351130 </t>
  </si>
  <si>
    <t>Multiple ACC Complaints (2023 and 2024)</t>
  </si>
  <si>
    <t>Munson</t>
  </si>
  <si>
    <t>Show Low</t>
  </si>
  <si>
    <t>Opposed-Corporate greed</t>
  </si>
  <si>
    <t xml:space="preserve">7765620000 </t>
  </si>
  <si>
    <t>Craft</t>
  </si>
  <si>
    <t xml:space="preserve">Opposed-Ridiculous for such a large company </t>
  </si>
  <si>
    <t xml:space="preserve">9868436686 </t>
  </si>
  <si>
    <t>Lopardo</t>
  </si>
  <si>
    <t>Corinna</t>
  </si>
  <si>
    <t xml:space="preserve">6906826313 </t>
  </si>
  <si>
    <t>No MEP R3-47 ($13.58)</t>
  </si>
  <si>
    <t>Trisha</t>
  </si>
  <si>
    <t>Opposed-Absolutely ridiculous</t>
  </si>
  <si>
    <t>Siers</t>
  </si>
  <si>
    <t>Wade</t>
  </si>
  <si>
    <t>Opposed-14% appears rather excessive</t>
  </si>
  <si>
    <t xml:space="preserve">6651001000 </t>
  </si>
  <si>
    <t>Boerner</t>
  </si>
  <si>
    <t>Rhonda</t>
  </si>
  <si>
    <t>Opposed-Unfair to residential customers</t>
  </si>
  <si>
    <t xml:space="preserve">0454456361 </t>
  </si>
  <si>
    <t>Zamudio</t>
  </si>
  <si>
    <t>Alejandro</t>
  </si>
  <si>
    <t>Opposed- Unacceptable and unreasonable</t>
  </si>
  <si>
    <t xml:space="preserve">4738111000 </t>
  </si>
  <si>
    <t>Ducar</t>
  </si>
  <si>
    <t>Outraged the commission would even consider this</t>
  </si>
  <si>
    <t xml:space="preserve">0440430000 </t>
  </si>
  <si>
    <t>Sept</t>
  </si>
  <si>
    <t>Opposed-Monopoly</t>
  </si>
  <si>
    <t>Vandenberg</t>
  </si>
  <si>
    <t>Opposed-Terrible idea for Arizonans</t>
  </si>
  <si>
    <t xml:space="preserve">4573855715 </t>
  </si>
  <si>
    <t>No MEP R3-47(175.40)</t>
  </si>
  <si>
    <t>Downing</t>
  </si>
  <si>
    <t>Opposed-increase is 4X higher than prevailing inflation</t>
  </si>
  <si>
    <t>2235600000 </t>
  </si>
  <si>
    <t>Marinero</t>
  </si>
  <si>
    <t>Walter</t>
  </si>
  <si>
    <t xml:space="preserve">Strongly Opposed- Undue and unsustainable financial burden </t>
  </si>
  <si>
    <t xml:space="preserve">4171727671 </t>
  </si>
  <si>
    <t>No MEP R3-47(1039.42)</t>
  </si>
  <si>
    <t>10/10/2025 Left VM</t>
  </si>
  <si>
    <t>Sharley</t>
  </si>
  <si>
    <t>Opposed- Financial burden if passed</t>
  </si>
  <si>
    <t>https://docket.images.azcc.gov/E000046531.pdf</t>
  </si>
  <si>
    <t>0636160358</t>
  </si>
  <si>
    <t>Opposed-16.6% increase? That's Crazy!!!</t>
  </si>
  <si>
    <t>https://docket.images.azcc.gov/E000046900.pdf</t>
  </si>
  <si>
    <t>Opposed- New Mexico bill is cheaper</t>
  </si>
  <si>
    <t>2829931000</t>
  </si>
  <si>
    <t>Opposed-Pinnacle West netted 600 million in profit</t>
  </si>
  <si>
    <t>Dagerman</t>
  </si>
  <si>
    <t>Opposed-Energy is a necessity not luxury</t>
  </si>
  <si>
    <t>6014831000</t>
  </si>
  <si>
    <t>Good payment history, shows a recent missed payment</t>
  </si>
  <si>
    <t>Denton</t>
  </si>
  <si>
    <t>Opposed, Ludicrous</t>
  </si>
  <si>
    <t>Gina</t>
  </si>
  <si>
    <t>Strongly Oppose</t>
  </si>
  <si>
    <t>Friedman</t>
  </si>
  <si>
    <t>Ashleigh</t>
  </si>
  <si>
    <t>Opposed- too much wit increased cost of living</t>
  </si>
  <si>
    <t>Sawyer</t>
  </si>
  <si>
    <t>Opposed-SRP model is superior</t>
  </si>
  <si>
    <t>9300806707</t>
  </si>
  <si>
    <t>Suckow</t>
  </si>
  <si>
    <t>Opposed-Rates already incredibly high</t>
  </si>
  <si>
    <t>3389991021</t>
  </si>
  <si>
    <t>No MEP R3-47 (101.27)</t>
  </si>
  <si>
    <t>Cor will think about this and request a cb at her convenience</t>
  </si>
  <si>
    <t>Swett</t>
  </si>
  <si>
    <t>Paige</t>
  </si>
  <si>
    <t xml:space="preserve">Glendale </t>
  </si>
  <si>
    <t xml:space="preserve">Strongly against rate increase </t>
  </si>
  <si>
    <t>2219505228</t>
  </si>
  <si>
    <t xml:space="preserve">Mathews </t>
  </si>
  <si>
    <t>Dajiah</t>
  </si>
  <si>
    <t>Opposed-increase e3 and crises base lines to match</t>
  </si>
  <si>
    <t>https://docket.images.azcc.gov/E000046548.pdf</t>
  </si>
  <si>
    <t>4591969515</t>
  </si>
  <si>
    <t>Norquist</t>
  </si>
  <si>
    <t>Paradise Valley</t>
  </si>
  <si>
    <t>Chip factories and AI are driving up costs</t>
  </si>
  <si>
    <t>9097961505</t>
  </si>
  <si>
    <t>Hamilton</t>
  </si>
  <si>
    <t>Opposed-retired on a fixed income</t>
  </si>
  <si>
    <t>3630760766</t>
  </si>
  <si>
    <t>R</t>
  </si>
  <si>
    <t>Opposed-too many increases</t>
  </si>
  <si>
    <t>Ilya</t>
  </si>
  <si>
    <t xml:space="preserve">Opposed- deep concern and frustration </t>
  </si>
  <si>
    <t>9308190000</t>
  </si>
  <si>
    <t>Machuca</t>
  </si>
  <si>
    <t>Senorina</t>
  </si>
  <si>
    <t xml:space="preserve">El Mirage </t>
  </si>
  <si>
    <t>Opposed-600 million in net income</t>
  </si>
  <si>
    <t>Bourdieu</t>
  </si>
  <si>
    <t>Krystal</t>
  </si>
  <si>
    <t xml:space="preserve">Opposed-2024 net income 600 million </t>
  </si>
  <si>
    <t>3083620000</t>
  </si>
  <si>
    <t>Ruddy</t>
  </si>
  <si>
    <t>Cayla</t>
  </si>
  <si>
    <t>Opposed-APS is not interested in providing affordable energy</t>
  </si>
  <si>
    <t>7002436554</t>
  </si>
  <si>
    <t>Toback</t>
  </si>
  <si>
    <t>Opposed-Average family wont be able to keep up</t>
  </si>
  <si>
    <t>0355361000</t>
  </si>
  <si>
    <t>Phay</t>
  </si>
  <si>
    <t>Brittney</t>
  </si>
  <si>
    <t>Opposed-protect rate payers and reject this</t>
  </si>
  <si>
    <t>3392630000</t>
  </si>
  <si>
    <t>Sexton</t>
  </si>
  <si>
    <t>5316089188</t>
  </si>
  <si>
    <t>No MEP R-XS ($126.36)</t>
  </si>
  <si>
    <t>Will reassign soon</t>
  </si>
  <si>
    <t>Freda</t>
  </si>
  <si>
    <t>Opposed-other utilities have increased</t>
  </si>
  <si>
    <t>Vollmer</t>
  </si>
  <si>
    <t>Opposed-Bogus rate increase, money grab</t>
  </si>
  <si>
    <t>9129688999</t>
  </si>
  <si>
    <t>Schiff</t>
  </si>
  <si>
    <t>1326918238</t>
  </si>
  <si>
    <t>Knaeble</t>
  </si>
  <si>
    <t>Opposed-Charge data centers more</t>
  </si>
  <si>
    <t>6830451000</t>
  </si>
  <si>
    <t>Valerio</t>
  </si>
  <si>
    <t>Veronica R.</t>
  </si>
  <si>
    <t>Opposed-increase is concerning</t>
  </si>
  <si>
    <t>9727210000</t>
  </si>
  <si>
    <t>9/192025</t>
  </si>
  <si>
    <t>Eggert</t>
  </si>
  <si>
    <t>Opposed-Is there a reason AZ doesn’t allow competition?</t>
  </si>
  <si>
    <t>4021850045</t>
  </si>
  <si>
    <t>Bottlinger</t>
  </si>
  <si>
    <t>Janelle</t>
  </si>
  <si>
    <t>Rates are extremely expensive</t>
  </si>
  <si>
    <t>0823076351</t>
  </si>
  <si>
    <t>Filed Multiple Complaints</t>
  </si>
  <si>
    <t>Romesburg</t>
  </si>
  <si>
    <t>Denise</t>
  </si>
  <si>
    <t>APS does not need a rate hike</t>
  </si>
  <si>
    <t>Gibson</t>
  </si>
  <si>
    <t>No one can keep up with their bills</t>
  </si>
  <si>
    <t>3159030000</t>
  </si>
  <si>
    <t>Lorig</t>
  </si>
  <si>
    <t>Apache Jct</t>
  </si>
  <si>
    <t>My mom wont be able to afford to eat</t>
  </si>
  <si>
    <t>Haggard</t>
  </si>
  <si>
    <t>Opposed- no reason for a rate hike</t>
  </si>
  <si>
    <t>1450385073</t>
  </si>
  <si>
    <t>Pickett</t>
  </si>
  <si>
    <t>Opposed- impacting working income families</t>
  </si>
  <si>
    <t>Baskovitz</t>
  </si>
  <si>
    <t>Opposed- Monopoly energy market</t>
  </si>
  <si>
    <t>Peralta</t>
  </si>
  <si>
    <t>Opposed-We need full disclosure on spending</t>
  </si>
  <si>
    <t>4978619668</t>
  </si>
  <si>
    <t>LeVangie</t>
  </si>
  <si>
    <t>Opposed-I'm moving to SRP territory</t>
  </si>
  <si>
    <t>2646435979</t>
  </si>
  <si>
    <t>Connie</t>
  </si>
  <si>
    <t>Owsley</t>
  </si>
  <si>
    <t>Dawn</t>
  </si>
  <si>
    <t>Unacceptable- will leave many unable to pay their bills</t>
  </si>
  <si>
    <t>3566321000</t>
  </si>
  <si>
    <t>Castano</t>
  </si>
  <si>
    <t>Opposed-already struggling with cost of living</t>
  </si>
  <si>
    <t>6222147125</t>
  </si>
  <si>
    <t>Madilyn</t>
  </si>
  <si>
    <t>Opposed-prioritizes share holders over customers</t>
  </si>
  <si>
    <t>https://docket.images.azcc.gov/E000046578.pdf</t>
  </si>
  <si>
    <t>No MEP R-BASIC ($254.29)</t>
  </si>
  <si>
    <t>Will cb at a later time - Final Bill Sent 10/27</t>
  </si>
  <si>
    <t>Mulugen</t>
  </si>
  <si>
    <t>Strongly Oppose formula rates, unaffordable</t>
  </si>
  <si>
    <t>Addair</t>
  </si>
  <si>
    <t>SRP is cheaper</t>
  </si>
  <si>
    <t>McCloskey</t>
  </si>
  <si>
    <t>7210380000</t>
  </si>
  <si>
    <t>Barley</t>
  </si>
  <si>
    <t>Kaitlynne</t>
  </si>
  <si>
    <t>Strongly Opposed</t>
  </si>
  <si>
    <t>0627214453</t>
  </si>
  <si>
    <t>APS needs to be kept inn check and ave rates controlled</t>
  </si>
  <si>
    <t>6338318391</t>
  </si>
  <si>
    <t>No MEP R3-47 ($65.89)</t>
  </si>
  <si>
    <t>Hoffner</t>
  </si>
  <si>
    <t>6407918651</t>
  </si>
  <si>
    <t>No MEP R3-47 ($91.07)</t>
  </si>
  <si>
    <t>Pablo</t>
  </si>
  <si>
    <t>Power is already expensive</t>
  </si>
  <si>
    <t>9340701000</t>
  </si>
  <si>
    <t>No MEP R3-47 ($310.77)</t>
  </si>
  <si>
    <t>Barbarite</t>
  </si>
  <si>
    <t>Absolutely Unjust</t>
  </si>
  <si>
    <t>6736335990</t>
  </si>
  <si>
    <t>McElroy</t>
  </si>
  <si>
    <t>Opposed-Money grab</t>
  </si>
  <si>
    <t>Rooen</t>
  </si>
  <si>
    <t>Cheyenne</t>
  </si>
  <si>
    <t>I cannot afford this</t>
  </si>
  <si>
    <t>Opposed-Unacceptable</t>
  </si>
  <si>
    <t xml:space="preserve">5055918329 </t>
  </si>
  <si>
    <t>Valdivia</t>
  </si>
  <si>
    <t>Why put everyone in a worse situation</t>
  </si>
  <si>
    <t xml:space="preserve">5085875679 </t>
  </si>
  <si>
    <t>Opposed-High cost of living- living paycheck to paycheck</t>
  </si>
  <si>
    <t>Barone</t>
  </si>
  <si>
    <t>Opposed-Prices too high</t>
  </si>
  <si>
    <t>Mccann</t>
  </si>
  <si>
    <t>Haley</t>
  </si>
  <si>
    <t xml:space="preserve">People can barely afford electricity as is now </t>
  </si>
  <si>
    <t xml:space="preserve">2553232071  </t>
  </si>
  <si>
    <t>Warneke</t>
  </si>
  <si>
    <t>I do not wish any further increases in APS rates</t>
  </si>
  <si>
    <t>https://docket.images.azcc.gov/E000046586.pdf</t>
  </si>
  <si>
    <t>Ross</t>
  </si>
  <si>
    <t>Shelreece</t>
  </si>
  <si>
    <t xml:space="preserve">2400731000 </t>
  </si>
  <si>
    <t>Dueringer</t>
  </si>
  <si>
    <t>Helen</t>
  </si>
  <si>
    <t>Rates should only be risen for Commercial properties</t>
  </si>
  <si>
    <t>https://docket.images.azcc.gov/E000046579.pdf</t>
  </si>
  <si>
    <t xml:space="preserve">4755350632 </t>
  </si>
  <si>
    <t>De Santiago</t>
  </si>
  <si>
    <t>Marisol</t>
  </si>
  <si>
    <t>I object</t>
  </si>
  <si>
    <t xml:space="preserve">2792050000 </t>
  </si>
  <si>
    <t>No MEP R3-47(104.05)</t>
  </si>
  <si>
    <t>Cor will remain on current plan</t>
  </si>
  <si>
    <t>Mckinney</t>
  </si>
  <si>
    <t>Strongly disagree</t>
  </si>
  <si>
    <t xml:space="preserve">9713457751 </t>
  </si>
  <si>
    <t>Cisneros</t>
  </si>
  <si>
    <t>Completely against any increase in prices</t>
  </si>
  <si>
    <t>Perkins</t>
  </si>
  <si>
    <t>Rayney</t>
  </si>
  <si>
    <t>Opposed- Single income family of 8</t>
  </si>
  <si>
    <t>1055401000 </t>
  </si>
  <si>
    <t>Skaric</t>
  </si>
  <si>
    <t>Miroslav</t>
  </si>
  <si>
    <t>APS fees are outrageous</t>
  </si>
  <si>
    <t>https://docket.images.azcc.gov/E000046826.pdf</t>
  </si>
  <si>
    <t>Opposed-already struggling with the last increase</t>
  </si>
  <si>
    <t xml:space="preserve">2283931000 </t>
  </si>
  <si>
    <t>I am against the rate increase</t>
  </si>
  <si>
    <t>https://docket.images.azcc.gov/E000046638.pdf</t>
  </si>
  <si>
    <t xml:space="preserve">0823076351 </t>
  </si>
  <si>
    <t>Hakes</t>
  </si>
  <si>
    <t>Linnea</t>
  </si>
  <si>
    <t>Camp Verde</t>
  </si>
  <si>
    <t>It’s a shame for APS to think of raising rates</t>
  </si>
  <si>
    <t>4774490000 </t>
  </si>
  <si>
    <t>No MEP RTOUE ($149.70)</t>
  </si>
  <si>
    <t xml:space="preserve">Nelson </t>
  </si>
  <si>
    <t>Opposed-Bills are unaffordable</t>
  </si>
  <si>
    <t>Fenton</t>
  </si>
  <si>
    <t>Fixed Income, cannot afford an increase</t>
  </si>
  <si>
    <t xml:space="preserve">7423629431 </t>
  </si>
  <si>
    <t>Apostolides</t>
  </si>
  <si>
    <t>Opposed and upset over fuel pricing</t>
  </si>
  <si>
    <t xml:space="preserve">2644830000 </t>
  </si>
  <si>
    <t>First SA is on MEP, Second SA could save $41.57 on Tier 2 (should be reassigned next month)</t>
  </si>
  <si>
    <t>Lynne</t>
  </si>
  <si>
    <t>Opposed-Outrageous</t>
  </si>
  <si>
    <t>4875921000 </t>
  </si>
  <si>
    <t>Wheeler</t>
  </si>
  <si>
    <t>Opposed-CEO needs a pay cut</t>
  </si>
  <si>
    <t>https://docket.images.azcc.gov/E000046665.pdf</t>
  </si>
  <si>
    <t>Huina</t>
  </si>
  <si>
    <t>My husband and I are really upset about it</t>
  </si>
  <si>
    <t>https://docket.images.azcc.gov/E000046645.pdf</t>
  </si>
  <si>
    <t>Gonzales</t>
  </si>
  <si>
    <t>Opposed-I don’t want to use aps but have no choice</t>
  </si>
  <si>
    <t xml:space="preserve">9126001412 </t>
  </si>
  <si>
    <t>Please consider delaying rate increase</t>
  </si>
  <si>
    <t>https://docket.images.azcc.gov/E000046726.pdf</t>
  </si>
  <si>
    <t>Hage</t>
  </si>
  <si>
    <t>What cost cutting measures has aps taken internally?</t>
  </si>
  <si>
    <t xml:space="preserve">4246694688 </t>
  </si>
  <si>
    <t>Gerblick</t>
  </si>
  <si>
    <t>Alison</t>
  </si>
  <si>
    <t>Opposed-AC is a necessity not a luxury for survival</t>
  </si>
  <si>
    <t xml:space="preserve">7304972242 </t>
  </si>
  <si>
    <t>Elliot</t>
  </si>
  <si>
    <t>Opposed-Stop wasting our hard earned money</t>
  </si>
  <si>
    <t>Gillespie</t>
  </si>
  <si>
    <t>Elissa</t>
  </si>
  <si>
    <t>Opposed-request something more inline with inflation</t>
  </si>
  <si>
    <t>4722240000 </t>
  </si>
  <si>
    <t>Mankiewicz</t>
  </si>
  <si>
    <t>Leo</t>
  </si>
  <si>
    <t>Unacceptable</t>
  </si>
  <si>
    <t>https://docket.images.azcc.gov/E000046710.pdf</t>
  </si>
  <si>
    <t>Trethewey</t>
  </si>
  <si>
    <t>Rate increase outpasses the rate of inflation</t>
  </si>
  <si>
    <t xml:space="preserve">1816340000 </t>
  </si>
  <si>
    <t>Opposed-highway robbery</t>
  </si>
  <si>
    <t xml:space="preserve">2786739945 </t>
  </si>
  <si>
    <t>Filed complaint with AG and ACC</t>
  </si>
  <si>
    <t>Dietrich</t>
  </si>
  <si>
    <t>Enough is enough with increases</t>
  </si>
  <si>
    <t xml:space="preserve">4078611000 </t>
  </si>
  <si>
    <t>Not eligible</t>
  </si>
  <si>
    <t>Non-AMI customer</t>
  </si>
  <si>
    <t>Morales</t>
  </si>
  <si>
    <t>Linnette</t>
  </si>
  <si>
    <t xml:space="preserve">7903115868 </t>
  </si>
  <si>
    <t>No MEP R-XS(143.13)</t>
  </si>
  <si>
    <t xml:space="preserve">Cor is satisfied with her current service plan </t>
  </si>
  <si>
    <t>Kapolas</t>
  </si>
  <si>
    <t>From letter</t>
  </si>
  <si>
    <t xml:space="preserve">5307870697 </t>
  </si>
  <si>
    <t>No MEP R3-47(7.05)</t>
  </si>
  <si>
    <t>Eskew</t>
  </si>
  <si>
    <t>Kendall</t>
  </si>
  <si>
    <t>Opposed- Solar customers are to shoulder the financial burden</t>
  </si>
  <si>
    <t>https://docket.images.azcc.gov/E000046709.pdf</t>
  </si>
  <si>
    <t xml:space="preserve">9738841000 </t>
  </si>
  <si>
    <t>No MEP R3-47(23.91)</t>
  </si>
  <si>
    <t>Hughes</t>
  </si>
  <si>
    <t>Joy</t>
  </si>
  <si>
    <t>Simply too high</t>
  </si>
  <si>
    <t>https://docket.images.azcc.gov/E000046762.pdf</t>
  </si>
  <si>
    <t>Lynch</t>
  </si>
  <si>
    <t>Blake</t>
  </si>
  <si>
    <t xml:space="preserve">Opposed-Why are you letting aps increase their rates </t>
  </si>
  <si>
    <t>https://docket.images.azcc.gov/E000046791.pdf</t>
  </si>
  <si>
    <t xml:space="preserve">6829562710 </t>
  </si>
  <si>
    <t>Kozerski</t>
  </si>
  <si>
    <t>Alaxandra</t>
  </si>
  <si>
    <t>https://edocket.azcc.gov/search/document-search/item-detail/448293</t>
  </si>
  <si>
    <t xml:space="preserve">7789171149 </t>
  </si>
  <si>
    <t>Respectfully Opposed-already financially strained</t>
  </si>
  <si>
    <t xml:space="preserve">9539410000 </t>
  </si>
  <si>
    <t>Recently changed from Basic to R-EV</t>
  </si>
  <si>
    <t>Opposed-Phoenix families are struggling</t>
  </si>
  <si>
    <t>https://docket.images.azcc.gov/E000046833.pdf</t>
  </si>
  <si>
    <t xml:space="preserve">4949150000 </t>
  </si>
  <si>
    <t>Hellring</t>
  </si>
  <si>
    <t>Opposed-no salary has seen an equivalent increase</t>
  </si>
  <si>
    <t>https://docket.images.azcc.gov/E000046843.pdf</t>
  </si>
  <si>
    <t xml:space="preserve">8072751000 </t>
  </si>
  <si>
    <t>Elofson</t>
  </si>
  <si>
    <t>Opposed-limited income</t>
  </si>
  <si>
    <t>https://docket.images.azcc.gov/E000046876.pdf</t>
  </si>
  <si>
    <t>R-XS//R-2</t>
  </si>
  <si>
    <t>Yes/Frozen</t>
  </si>
  <si>
    <t>Moffat</t>
  </si>
  <si>
    <t xml:space="preserve">Opposed-I find it appalling </t>
  </si>
  <si>
    <t xml:space="preserve">9524460000 </t>
  </si>
  <si>
    <t>Retiree, increase will cause hardship</t>
  </si>
  <si>
    <t xml:space="preserve">6543951000 </t>
  </si>
  <si>
    <t>No MEP R-BASIC(90.00)</t>
  </si>
  <si>
    <t>Stephen</t>
  </si>
  <si>
    <t>Totally inappropriate</t>
  </si>
  <si>
    <t xml:space="preserve">0770620000 </t>
  </si>
  <si>
    <t>Colan</t>
  </si>
  <si>
    <t>Whitmore</t>
  </si>
  <si>
    <t>Clarkdale</t>
  </si>
  <si>
    <t xml:space="preserve">1471520000 </t>
  </si>
  <si>
    <t>Konves</t>
  </si>
  <si>
    <t>Courtney</t>
  </si>
  <si>
    <t>Opposed, struggling to make ends meet</t>
  </si>
  <si>
    <t>Colbett</t>
  </si>
  <si>
    <t>Opposed-Senior Citizen limited/fixed income</t>
  </si>
  <si>
    <t>Pavlov</t>
  </si>
  <si>
    <t>David&amp;Tiffany</t>
  </si>
  <si>
    <t>Opposed- unaffordable</t>
  </si>
  <si>
    <t xml:space="preserve">4195950000 </t>
  </si>
  <si>
    <t>Bois</t>
  </si>
  <si>
    <t>Garret</t>
  </si>
  <si>
    <t>Yoon</t>
  </si>
  <si>
    <t>Eunice</t>
  </si>
  <si>
    <t>Opposed-Prioritize cost control</t>
  </si>
  <si>
    <t xml:space="preserve">6232280000 </t>
  </si>
  <si>
    <t>Tornetta</t>
  </si>
  <si>
    <t>Opposed-please consider seniors,families,fixed income</t>
  </si>
  <si>
    <t xml:space="preserve">4762621000 </t>
  </si>
  <si>
    <t>No MEP R3-47(68.47)</t>
  </si>
  <si>
    <t>Vallabhaneni</t>
  </si>
  <si>
    <t>Kamala</t>
  </si>
  <si>
    <t>Opposed-Simply too much</t>
  </si>
  <si>
    <t>https://docket.images.azcc.gov/E000046911.pdf</t>
  </si>
  <si>
    <t>0857783306</t>
  </si>
  <si>
    <t>Petition-21</t>
  </si>
  <si>
    <t>Petition</t>
  </si>
  <si>
    <t>Multiple</t>
  </si>
  <si>
    <t xml:space="preserve">This opposition has multiple customer signatures </t>
  </si>
  <si>
    <t>Petition-200</t>
  </si>
  <si>
    <t>Star Valley</t>
  </si>
  <si>
    <t>Opposed-APS is attempting to influence legislature</t>
  </si>
  <si>
    <t xml:space="preserve">3480611000 </t>
  </si>
  <si>
    <t>Petition-131</t>
  </si>
  <si>
    <t>Rademacher</t>
  </si>
  <si>
    <t>Judy</t>
  </si>
  <si>
    <t>Opposed-Fixed Income</t>
  </si>
  <si>
    <t xml:space="preserve">2713960000 </t>
  </si>
  <si>
    <t>Curtis</t>
  </si>
  <si>
    <t>Opposed-I will discontinue my solar service</t>
  </si>
  <si>
    <t>Behike</t>
  </si>
  <si>
    <t>https://docket.images.azcc.gov/E000046970.pdf</t>
  </si>
  <si>
    <t>Mary Lynee</t>
  </si>
  <si>
    <t>Urging you all to vote no on the APS request</t>
  </si>
  <si>
    <t>1163301000</t>
  </si>
  <si>
    <t xml:space="preserve">2 SAs </t>
  </si>
  <si>
    <t>Spencer</t>
  </si>
  <si>
    <t>Unreasonable ever-increasing rates</t>
  </si>
  <si>
    <t>1790274066</t>
  </si>
  <si>
    <t>Eason</t>
  </si>
  <si>
    <t>This rate hike would be deeply burdensome to families, seniors and working individuals</t>
  </si>
  <si>
    <t>3317467505</t>
  </si>
  <si>
    <t>Solar Communities</t>
  </si>
  <si>
    <t>unreasonable, unjustified, and harmful to Arizona families, schools, and small businesses.</t>
  </si>
  <si>
    <t>Express concerns with proposal to increase rates without appropriately considering the contribution of residential solar users</t>
  </si>
  <si>
    <t>Hall</t>
  </si>
  <si>
    <t>Rate hike would place an even heavier financial burden on families, seniors, and small businesses across our state.</t>
  </si>
  <si>
    <t>9713723488</t>
  </si>
  <si>
    <t>Quinte</t>
  </si>
  <si>
    <t>Roger</t>
  </si>
  <si>
    <t>Form Letter: Enough is enough! You must reject the latest 14% rate hikes by APS and TEP</t>
  </si>
  <si>
    <t>2707161000</t>
  </si>
  <si>
    <t>EPR-6w/ECT-2</t>
  </si>
  <si>
    <t>Ratner</t>
  </si>
  <si>
    <t>Low fixed income cannot afford such huge rate increases</t>
  </si>
  <si>
    <t>4322390000</t>
  </si>
  <si>
    <t>Non-AMI customer, has filed multiple ACC complaints and rate case comments over the years</t>
  </si>
  <si>
    <t>Tucson</t>
  </si>
  <si>
    <t>Ufnal</t>
  </si>
  <si>
    <t>Jerry</t>
  </si>
  <si>
    <t>Arbizu</t>
  </si>
  <si>
    <t>Angelina</t>
  </si>
  <si>
    <t>9543902054</t>
  </si>
  <si>
    <t>Myers</t>
  </si>
  <si>
    <t>4057076823</t>
  </si>
  <si>
    <t xml:space="preserve">No MEP R3-47 ($272.50) </t>
  </si>
  <si>
    <t>Holcombe</t>
  </si>
  <si>
    <t>Gene</t>
  </si>
  <si>
    <t>2725650087</t>
  </si>
  <si>
    <t>Only 3  months in new location and 2 months since solar was installed. Requested rate online 10/8 - moving to R3-47</t>
  </si>
  <si>
    <t>Ogledzinski</t>
  </si>
  <si>
    <t>9804331000</t>
  </si>
  <si>
    <t>Youngker</t>
  </si>
  <si>
    <t>Virginia</t>
  </si>
  <si>
    <t>5596059869</t>
  </si>
  <si>
    <t>No MEP R3-47 ($991.58)</t>
  </si>
  <si>
    <t>10/15 Left VM, payment history shows several missed payments and broken PAs</t>
  </si>
  <si>
    <t>Mahr</t>
  </si>
  <si>
    <t>RM</t>
  </si>
  <si>
    <t>Homeowners are being asked to pay for the new infrastructure required for the new data centers</t>
  </si>
  <si>
    <t>Jones</t>
  </si>
  <si>
    <t>Opposed - unfair and biased commission</t>
  </si>
  <si>
    <t>https://docket.images.azcc.gov/E000046988.pdf</t>
  </si>
  <si>
    <t>Hartley</t>
  </si>
  <si>
    <t>Collene</t>
  </si>
  <si>
    <t>5687941000</t>
  </si>
  <si>
    <t>Warnecke</t>
  </si>
  <si>
    <t>Kristi</t>
  </si>
  <si>
    <t>Senior on fixed income, could be choosing between air conditioning and medicine</t>
  </si>
  <si>
    <t>4095570000</t>
  </si>
  <si>
    <t>Noffsinger</t>
  </si>
  <si>
    <t>Exempt 25% energy discount program customers from proposed rate increase</t>
  </si>
  <si>
    <t>Foti</t>
  </si>
  <si>
    <t>Opposed - Arizonans are already struggling with inflation</t>
  </si>
  <si>
    <t>https://docket.images.azcc.gov/E000047024.pdf</t>
  </si>
  <si>
    <t>5427869471</t>
  </si>
  <si>
    <t>No MEP R-XS ($108.43)</t>
  </si>
  <si>
    <t>10/17 Left VM</t>
  </si>
  <si>
    <t>Haden</t>
  </si>
  <si>
    <t>https://docket.images.azcc.gov/E000046996.pdf</t>
  </si>
  <si>
    <t>6013821000</t>
  </si>
  <si>
    <t>No MEP R3-47 ($43.09)</t>
  </si>
  <si>
    <t>Signed petition 8</t>
  </si>
  <si>
    <t>Grimwood</t>
  </si>
  <si>
    <t>4855301000</t>
  </si>
  <si>
    <t>No MEP R3-47 ($437.04)</t>
  </si>
  <si>
    <t>Signed petition 8 - 10/17 Left VM</t>
  </si>
  <si>
    <t>Linzey</t>
  </si>
  <si>
    <t>Benson</t>
  </si>
  <si>
    <t>Gibbons</t>
  </si>
  <si>
    <t>TJ</t>
  </si>
  <si>
    <t>Guertin</t>
  </si>
  <si>
    <t>Pollock</t>
  </si>
  <si>
    <t>6922736019</t>
  </si>
  <si>
    <t>Signed petition 8 - Filed same letter again on 10/27</t>
  </si>
  <si>
    <t>Shem</t>
  </si>
  <si>
    <t>0370184572</t>
  </si>
  <si>
    <t>https://docket.images.azcc.gov/E000047057.pdf</t>
  </si>
  <si>
    <t>Ufinal</t>
  </si>
  <si>
    <t>Roxanne</t>
  </si>
  <si>
    <t>Yarber</t>
  </si>
  <si>
    <t>Seligman</t>
  </si>
  <si>
    <t>Do not allow APS to constantly raise their rates</t>
  </si>
  <si>
    <t>https://docket.images.azcc.gov/E000047007.pdf</t>
  </si>
  <si>
    <t>9297010000</t>
  </si>
  <si>
    <t>Robnett</t>
  </si>
  <si>
    <t>Sierra Vista</t>
  </si>
  <si>
    <t>What are you doing to stop this from happening?</t>
  </si>
  <si>
    <t>7395790000</t>
  </si>
  <si>
    <t>APS  needs to work with the ACC for these increases</t>
  </si>
  <si>
    <t>https://docket.images.azcc.gov/E000047028.pdf</t>
  </si>
  <si>
    <t>Settje</t>
  </si>
  <si>
    <t>Tonto Basin</t>
  </si>
  <si>
    <t>Off-peak/demand income and demand charges after outages</t>
  </si>
  <si>
    <t>https://docket.images.azcc.gov/E000047034.pdf</t>
  </si>
  <si>
    <t>9988610610</t>
  </si>
  <si>
    <t>Terrie</t>
  </si>
  <si>
    <t>Opposed, significant burden, especially when cost of living continued to rise</t>
  </si>
  <si>
    <t>https://docket.images.azcc.gov/E000047053.pdf</t>
  </si>
  <si>
    <t>7948393933</t>
  </si>
  <si>
    <t>Brent</t>
  </si>
  <si>
    <t>Opposed, vote for something more reasonable</t>
  </si>
  <si>
    <t>https://docket.images.azcc.gov/E000047091.pdf</t>
  </si>
  <si>
    <t>8909137526</t>
  </si>
  <si>
    <t>Terranova</t>
  </si>
  <si>
    <t>belt-tightening needed here</t>
  </si>
  <si>
    <t>4797590000</t>
  </si>
  <si>
    <t>No MEP R3-47 ($42.77)</t>
  </si>
  <si>
    <t>Mr. Terranova filed a separate ACC complaint on 9/30 regarding the price he sells back his solar. Beth spoke with him.</t>
  </si>
  <si>
    <t>Hecht</t>
  </si>
  <si>
    <t>Justine</t>
  </si>
  <si>
    <t xml:space="preserve">Form letter </t>
  </si>
  <si>
    <t>6641580000</t>
  </si>
  <si>
    <t>VanCleave</t>
  </si>
  <si>
    <t>Magi</t>
  </si>
  <si>
    <t>Pad corporate profits at the expense of AZ consumers</t>
  </si>
  <si>
    <t>8253620000</t>
  </si>
  <si>
    <t>No MEP TOUE ($29.42)</t>
  </si>
  <si>
    <t>Ariana</t>
  </si>
  <si>
    <t>Against the proposed rate increase</t>
  </si>
  <si>
    <t>1460051272</t>
  </si>
  <si>
    <t>Punishing for having solar</t>
  </si>
  <si>
    <t>https://docket.images.azcc.gov/E000047066.pdf</t>
  </si>
  <si>
    <t>Vermillion</t>
  </si>
  <si>
    <t>The increase is absolutely absurd</t>
  </si>
  <si>
    <t>Wittie</t>
  </si>
  <si>
    <t>Please do not vote for the APS rate increase</t>
  </si>
  <si>
    <t>0474852117</t>
  </si>
  <si>
    <t>Meixler</t>
  </si>
  <si>
    <t>Lakeside</t>
  </si>
  <si>
    <t>Revoke net zero plans for 2050</t>
  </si>
  <si>
    <t>https://docket.images.azcc.gov/E000047064.pdf</t>
  </si>
  <si>
    <t>Coking</t>
  </si>
  <si>
    <t>Margolis</t>
  </si>
  <si>
    <t>Express my frustration and disappointment regarding the recent rate increases</t>
  </si>
  <si>
    <t>https://docket.images.azcc.gov/E000047089.pdf</t>
  </si>
  <si>
    <t>0352210000</t>
  </si>
  <si>
    <t>Moving to R-XS</t>
  </si>
  <si>
    <t>Lagerquist</t>
  </si>
  <si>
    <t>That's not a reasonable increase!</t>
  </si>
  <si>
    <t>https://docket.images.azcc.gov/E000047105.pdf</t>
  </si>
  <si>
    <t>6253965494</t>
  </si>
  <si>
    <t>Rudy</t>
  </si>
  <si>
    <t>Major hardship for my family. My solar benefits APS</t>
  </si>
  <si>
    <t>5084150000</t>
  </si>
  <si>
    <t>Raymer</t>
  </si>
  <si>
    <t>Charge high users such as data centers an excessive use fee</t>
  </si>
  <si>
    <t>https://docket.images.azcc.gov/E000047136.pdf</t>
  </si>
  <si>
    <t xml:space="preserve">Object to any rate increases </t>
  </si>
  <si>
    <t>Davenport</t>
  </si>
  <si>
    <t>Preston</t>
  </si>
  <si>
    <t>Rate hike would make it harder for working residents - concerned that this appears to subsidize data centers</t>
  </si>
  <si>
    <t>1507948531</t>
  </si>
  <si>
    <t>No MEP R3-47 ($84.40)</t>
  </si>
  <si>
    <t>White</t>
  </si>
  <si>
    <t>Decline their request for a rate increase</t>
  </si>
  <si>
    <t>https://docket.images.azcc.gov/E000047160.pdf</t>
  </si>
  <si>
    <t>Koval</t>
  </si>
  <si>
    <t>Jane</t>
  </si>
  <si>
    <t>Supports the expansion and updates for energy infrastructure</t>
  </si>
  <si>
    <t>https://docket.images.azcc.gov/E000047140.pdf</t>
  </si>
  <si>
    <t>1189841000</t>
  </si>
  <si>
    <t>Bennett</t>
  </si>
  <si>
    <t>Too many rate increases</t>
  </si>
  <si>
    <t>https://docket.images.azcc.gov/E000047139.pdf</t>
  </si>
  <si>
    <t>2616411000 </t>
  </si>
  <si>
    <t>Vanessa</t>
  </si>
  <si>
    <t>Outrageous, on-peak plan is horrible, charging more when consumers are home</t>
  </si>
  <si>
    <t>Graig</t>
  </si>
  <si>
    <t>14% increase will hurt people on a fixed income</t>
  </si>
  <si>
    <t>Greig</t>
  </si>
  <si>
    <t>Can't afford increase, especially after being deceived by Odin Energy with our solar panels</t>
  </si>
  <si>
    <t>https://docket.images.azcc.gov/E000047166.pdf</t>
  </si>
  <si>
    <t>Toro</t>
  </si>
  <si>
    <t>Petty</t>
  </si>
  <si>
    <t>I object to this rate increase due to the excessive executive pay</t>
  </si>
  <si>
    <t>https://docket.images.azcc.gov/E000047175.pdf</t>
  </si>
  <si>
    <t>8709456718</t>
  </si>
  <si>
    <t>Hagen</t>
  </si>
  <si>
    <t>Rates are already too high and lack of competition</t>
  </si>
  <si>
    <t>4263668163</t>
  </si>
  <si>
    <t>Dayton</t>
  </si>
  <si>
    <t>For families like mine, the continued rise in utility costs presents a significant burden.</t>
  </si>
  <si>
    <t>6573080097</t>
  </si>
  <si>
    <t>Summons</t>
  </si>
  <si>
    <t>https://docket.images.azcc.gov/E000047191.pdf</t>
  </si>
  <si>
    <t>1205900735</t>
  </si>
  <si>
    <t>No MEP R3-47 ($3.61)</t>
  </si>
  <si>
    <t>Larsen</t>
  </si>
  <si>
    <t xml:space="preserve">Strongly against and simply repulsed </t>
  </si>
  <si>
    <t>Byman</t>
  </si>
  <si>
    <t>https://docket.images.azcc.gov/E000047270.pdf</t>
  </si>
  <si>
    <t>1039090000</t>
  </si>
  <si>
    <t>No MEP RTOUE ($1.30)</t>
  </si>
  <si>
    <t>Kourtney</t>
  </si>
  <si>
    <t>1754570000</t>
  </si>
  <si>
    <t>Skoog</t>
  </si>
  <si>
    <t>Bridget</t>
  </si>
  <si>
    <t>Castellanos</t>
  </si>
  <si>
    <t>Gaietto</t>
  </si>
  <si>
    <t>Vince</t>
  </si>
  <si>
    <t>1383444423</t>
  </si>
  <si>
    <t>Cantore</t>
  </si>
  <si>
    <t>Xiomara</t>
  </si>
  <si>
    <t>5816055793</t>
  </si>
  <si>
    <t>No MEP RBASIC ($65.01)</t>
  </si>
  <si>
    <t>Menjivar</t>
  </si>
  <si>
    <t>Edna</t>
  </si>
  <si>
    <t>Marino</t>
  </si>
  <si>
    <t>Susie</t>
  </si>
  <si>
    <t>8510901315</t>
  </si>
  <si>
    <t>Lyda</t>
  </si>
  <si>
    <t>Marissa</t>
  </si>
  <si>
    <t>https://docket.images.azcc.gov/E000047255.pdf</t>
  </si>
  <si>
    <t>4077484827</t>
  </si>
  <si>
    <t>Jaffe</t>
  </si>
  <si>
    <t>Russell</t>
  </si>
  <si>
    <t>This is an insane request in these challenging times</t>
  </si>
  <si>
    <t>https://docket.images.azcc.gov/E000047250.pdf</t>
  </si>
  <si>
    <t>1946751000</t>
  </si>
  <si>
    <t>Cota</t>
  </si>
  <si>
    <t>https://docket.images.azcc.gov/E000047297.pdf</t>
  </si>
  <si>
    <t>Soqui</t>
  </si>
  <si>
    <t>Jubal</t>
  </si>
  <si>
    <t>7591331000</t>
  </si>
  <si>
    <t>Felicia</t>
  </si>
  <si>
    <t>6818845467</t>
  </si>
  <si>
    <t>3806613194</t>
  </si>
  <si>
    <t>Evans</t>
  </si>
  <si>
    <t>Medina</t>
  </si>
  <si>
    <t>Alexandria</t>
  </si>
  <si>
    <t>3297731000</t>
  </si>
  <si>
    <t>ER-6w/ET-2</t>
  </si>
  <si>
    <t>Ponce</t>
  </si>
  <si>
    <t>Joi</t>
  </si>
  <si>
    <t>Form Letter: For families like mine this is simply too much</t>
  </si>
  <si>
    <t>https://docket.images.azcc.gov/E000047324.pdf</t>
  </si>
  <si>
    <t>2271888532</t>
  </si>
  <si>
    <t>Ortiz</t>
  </si>
  <si>
    <t>6473321000</t>
  </si>
  <si>
    <t>Willeford</t>
  </si>
  <si>
    <t>Nolan</t>
  </si>
  <si>
    <t>Koren</t>
  </si>
  <si>
    <t>That is an unacceptable increase</t>
  </si>
  <si>
    <t>Fisher</t>
  </si>
  <si>
    <t>Nathan</t>
  </si>
  <si>
    <t>16% increase is egregious</t>
  </si>
  <si>
    <t>3214901000</t>
  </si>
  <si>
    <t>Prichard</t>
  </si>
  <si>
    <t>Barth</t>
  </si>
  <si>
    <t>Pat</t>
  </si>
  <si>
    <t>Protect Arizonans - Reject APS's 14% rate hike</t>
  </si>
  <si>
    <t>I oppose the rate hike</t>
  </si>
  <si>
    <t>Cavanaugh</t>
  </si>
  <si>
    <t>Sundell</t>
  </si>
  <si>
    <t>As a senior citizen, this rate increase request will directly affect my financial situation.</t>
  </si>
  <si>
    <t>https://docket.images.azcc.gov/0000215502.pdf</t>
  </si>
  <si>
    <t>1150201000</t>
  </si>
  <si>
    <t>Previously filed two different ACC Complaints in 2021 and 2024</t>
  </si>
  <si>
    <t xml:space="preserve">Proposed rate increase will undoubtedly exacerbate the financial burden on the citizens of Glendale. </t>
  </si>
  <si>
    <t>https://docket.images.azcc.gov/0000215501.pdf</t>
  </si>
  <si>
    <t>Hayden</t>
  </si>
  <si>
    <t>Cezanne</t>
  </si>
  <si>
    <t>https://docket.images.azcc.gov/E000047338.pdf</t>
  </si>
  <si>
    <t>Opposed, Infrastructure expansion caused by large commercial loads should be paid for by those same corporation</t>
  </si>
  <si>
    <t>Stines</t>
  </si>
  <si>
    <t>Stop net zero plans</t>
  </si>
  <si>
    <t>9452141000</t>
  </si>
  <si>
    <t>Barry</t>
  </si>
  <si>
    <t>rapid datacenter growth should not shift infrastructure and generation costs onto ordinary families.</t>
  </si>
  <si>
    <t>Greg</t>
  </si>
  <si>
    <t>https://docket.images.azcc.gov/E000047365.pdf</t>
  </si>
  <si>
    <t>4309031000</t>
  </si>
  <si>
    <t xml:space="preserve">Senior citizen, Opposed to the request for a fourteen percent raise in electrical rates. </t>
  </si>
  <si>
    <t>Rojas</t>
  </si>
  <si>
    <t>Chrystin &amp; Raul</t>
  </si>
  <si>
    <t>Concerns about the proposed rate increase and formula rate mechanism.</t>
  </si>
  <si>
    <t>6003957639</t>
  </si>
  <si>
    <t>No MEP R3-47 ($62.21)</t>
  </si>
  <si>
    <t xml:space="preserve">Assistance? In collections Note: Spanish Bill </t>
  </si>
  <si>
    <t>Nacinovich</t>
  </si>
  <si>
    <t>reject this proposed rate increase and to ensure that the financial responsibility for new grid demand falls on the businesses creating i</t>
  </si>
  <si>
    <t>5470751000</t>
  </si>
  <si>
    <t>Drobnica</t>
  </si>
  <si>
    <t>Many customers are on a fixed income that isn't growing with the rates APS, Focus on providing safe, reliable and affordable energy not corporate philanthropy</t>
  </si>
  <si>
    <t>9058887734</t>
  </si>
  <si>
    <t>Susser</t>
  </si>
  <si>
    <t>Norm</t>
  </si>
  <si>
    <t>Fees, taxes, surcharges and adjustors seem excessive</t>
  </si>
  <si>
    <t>https://docket.images.azcc.gov/E000047398.pdf</t>
  </si>
  <si>
    <t>3801590000</t>
  </si>
  <si>
    <t>3505651000</t>
  </si>
  <si>
    <t>No MEP R3-47 ($176.69)</t>
  </si>
  <si>
    <t>11/10 Left VM regarding MEP at Flagstaff SA</t>
  </si>
  <si>
    <t>Dershowitz</t>
  </si>
  <si>
    <t>SS going up 2.8%, suggest rate increase be limited to the same</t>
  </si>
  <si>
    <t>https://docket.images.azcc.gov/E000047371.pdf</t>
  </si>
  <si>
    <t>2990380000</t>
  </si>
  <si>
    <t>No MEP R3-47 ($255.76)</t>
  </si>
  <si>
    <t xml:space="preserve">11/10 Spoke to customer briefly then he said "leave me alone" and hung up. </t>
  </si>
  <si>
    <t>Curds</t>
  </si>
  <si>
    <t>I oppose the rate hike. Bills are high enough. No one can survive paying $650.</t>
  </si>
  <si>
    <t>https://docket.images.azcc.gov/E000047425.pdf</t>
  </si>
  <si>
    <t>3304816868</t>
  </si>
  <si>
    <t>No MEP R3-47 ($113.52)</t>
  </si>
  <si>
    <t>Customer filed an ACC complaint 11/3</t>
  </si>
  <si>
    <t>Doe</t>
  </si>
  <si>
    <t>Opposed to advertising at sports arena. Opposed to donations made to charity.</t>
  </si>
  <si>
    <t>Thome</t>
  </si>
  <si>
    <t>Cari</t>
  </si>
  <si>
    <t>Opposed to another rate hike - they have frequently asked for rate increases</t>
  </si>
  <si>
    <t>7319203567</t>
  </si>
  <si>
    <t>Huff</t>
  </si>
  <si>
    <t>High percentage of reitrees in Arizona who are on a fixed income. Data centers should pay for themselves.</t>
  </si>
  <si>
    <t>https://docket.images.azcc.gov/E000047417.pdf</t>
  </si>
  <si>
    <t>Boyd</t>
  </si>
  <si>
    <t>Magan</t>
  </si>
  <si>
    <t>Tonopah</t>
  </si>
  <si>
    <t>It makes no sense that the rates are higher… Issues with energy water agreements (PV).</t>
  </si>
  <si>
    <t>https://docket.images.azcc.gov/E000047432.pdf</t>
  </si>
  <si>
    <t>3647741244</t>
  </si>
  <si>
    <t>Smitt</t>
  </si>
  <si>
    <t>Erik</t>
  </si>
  <si>
    <t xml:space="preserve">Do not support green new deal nor the net zero </t>
  </si>
  <si>
    <t>Arnold</t>
  </si>
  <si>
    <t>Terrence</t>
  </si>
  <si>
    <t>The recent APS request to rate increase of 16% is absurd</t>
  </si>
  <si>
    <t>9909801000</t>
  </si>
  <si>
    <t>Elder</t>
  </si>
  <si>
    <t>Scottland</t>
  </si>
  <si>
    <t>https://docket.images.azcc.gov/E000047451.pdf</t>
  </si>
  <si>
    <t>Cordova</t>
  </si>
  <si>
    <t>Form Letter: Enough is enough! You must reject the latest 14% rate hikes by APS bby TEP</t>
  </si>
  <si>
    <t>Jeronimo</t>
  </si>
  <si>
    <t>Form Letter: Enough is enough! You must reject the latest 14% rate hikes by APS lda TEP</t>
  </si>
  <si>
    <t>4506338330</t>
  </si>
  <si>
    <t>Petition - Assistance?</t>
  </si>
  <si>
    <t>Debrum</t>
  </si>
  <si>
    <t>Sophia</t>
  </si>
  <si>
    <t>Form Letter: Enough is enough! You must reject the latest 14% rate hikes by APS  TEP</t>
  </si>
  <si>
    <t>Bojado</t>
  </si>
  <si>
    <t>Form Letter: Enough is enough! You must reject the latest 14% rate hikes by APS a TEP</t>
  </si>
  <si>
    <t>Fonseca</t>
  </si>
  <si>
    <t>Jasmine</t>
  </si>
  <si>
    <t>Form Letter: Enough is enough! You must reject the latest 14% rate hikes by APS e TEP</t>
  </si>
  <si>
    <t>4885204722</t>
  </si>
  <si>
    <t>Ellison</t>
  </si>
  <si>
    <t>Sylvia</t>
  </si>
  <si>
    <t xml:space="preserve">Opposed: No options other than APS. Senior Citizens, AC is a life saving need. </t>
  </si>
  <si>
    <t>https://docket.images.azcc.gov/E000047554.pdf?i=1763105891311</t>
  </si>
  <si>
    <t>Krakora</t>
  </si>
  <si>
    <t>Opposed, As a retiree with a limited income, and do not qualify for assistance</t>
  </si>
  <si>
    <t>https://docket.images.azcc.gov/E000047658.pdf</t>
  </si>
  <si>
    <t>Anand</t>
  </si>
  <si>
    <t>Anupama</t>
  </si>
  <si>
    <t>Do not approve the proposed rate increase</t>
  </si>
  <si>
    <t>https://docket.images.azcc.gov/E000047665.pdf</t>
  </si>
  <si>
    <t>No MEP RTOU47 ($53.39)</t>
  </si>
  <si>
    <t>Oswald</t>
  </si>
  <si>
    <t>Fred</t>
  </si>
  <si>
    <t>Rate hike is grossly excessive, oppose formula rates</t>
  </si>
  <si>
    <t>https://docket.images.azcc.gov/E000047735.pdf</t>
  </si>
  <si>
    <t>Leeper</t>
  </si>
  <si>
    <t>Tom and Melissa</t>
  </si>
  <si>
    <t>Stop the proposed rate hikes</t>
  </si>
  <si>
    <t>https://docket.images.azcc.gov/E000047729.pdf</t>
  </si>
  <si>
    <t>EPR6w/ET-1</t>
  </si>
  <si>
    <t xml:space="preserve">Cheri </t>
  </si>
  <si>
    <t>Opposed: Senior on a fixed income in a mobile home</t>
  </si>
  <si>
    <t>https://docket.images.azcc.gov/E000047757.pdf</t>
  </si>
  <si>
    <t>No MEP R-XS</t>
  </si>
  <si>
    <t>Should be automatically reassigned to Tier 1 this month</t>
  </si>
  <si>
    <t>Koplan</t>
  </si>
  <si>
    <t>Katelyn</t>
  </si>
  <si>
    <t>I strongly urge you to reconsider this proposal in light of economic pressures facing Arizona families</t>
  </si>
  <si>
    <t>https://docket.images.azcc.gov/E000047784.pdf</t>
  </si>
  <si>
    <t>Buttler</t>
  </si>
  <si>
    <t>Carol and Alan</t>
  </si>
  <si>
    <t>ACC has obligation to protect APS customers from consistently high rate increases</t>
  </si>
  <si>
    <t>https://docket.images.azcc.gov/E000047808.pdf</t>
  </si>
  <si>
    <t>No MEP R-BASIC ($41.34)</t>
  </si>
  <si>
    <t>The proposed rate of increase on seniors is outrageous!</t>
  </si>
  <si>
    <t>Putnam</t>
  </si>
  <si>
    <t>Marla</t>
  </si>
  <si>
    <t>The rates have steadily increased</t>
  </si>
  <si>
    <t>RCPw/TOUE</t>
  </si>
  <si>
    <t>Anonymous</t>
  </si>
  <si>
    <t>I am against the APS rate increase</t>
  </si>
  <si>
    <t>https://docket.images.azcc.gov/E000047827.pdf</t>
  </si>
  <si>
    <t>Adeline</t>
  </si>
  <si>
    <t>APS prices are too high</t>
  </si>
  <si>
    <t>Dowling</t>
  </si>
  <si>
    <t>Means</t>
  </si>
  <si>
    <t>Vote no</t>
  </si>
  <si>
    <t>https://docket.images.azcc.gov/E000047828.pdf?i=1764228532333</t>
  </si>
  <si>
    <t>Boontjer</t>
  </si>
  <si>
    <t>Ken and JoAnn</t>
  </si>
  <si>
    <t>Research APS net zero plan, open Cholla</t>
  </si>
  <si>
    <t>EPR6w/E-12</t>
  </si>
  <si>
    <t>Kissling</t>
  </si>
  <si>
    <t xml:space="preserve">Shari </t>
  </si>
  <si>
    <t>stop approving rate increases</t>
  </si>
  <si>
    <t>https://docket.images.azcc.gov/E000047852.pdf</t>
  </si>
  <si>
    <t>Logan</t>
  </si>
  <si>
    <t>https://docket.images.azcc.gov/E000047963.pdf</t>
  </si>
  <si>
    <t>Spence</t>
  </si>
  <si>
    <t>Stop the price hike that APS is planning to impose.</t>
  </si>
  <si>
    <t>https://docket.images.azcc.gov/E000047971.pdf</t>
  </si>
  <si>
    <t>Palomera</t>
  </si>
  <si>
    <t>https://docket.images.azcc.gov/E000047935.pdf</t>
  </si>
  <si>
    <t>No MEP R-BASIC ($167.08)</t>
  </si>
  <si>
    <t>Salaiz</t>
  </si>
  <si>
    <t>Stefanie</t>
  </si>
  <si>
    <t>Walberg</t>
  </si>
  <si>
    <t xml:space="preserve">I am a middle class single mom on a teacher income. I don't qualilfy for assistance. </t>
  </si>
  <si>
    <t>EPR6-ET-1</t>
  </si>
  <si>
    <t>Charlene</t>
  </si>
  <si>
    <t>No more rate increases. We are struggling to pay already!</t>
  </si>
  <si>
    <t>No MEP R3-47 ($295.17)</t>
  </si>
  <si>
    <t>Wallach</t>
  </si>
  <si>
    <t>Kurt</t>
  </si>
  <si>
    <t xml:space="preserve">I am voicing concern over repeated rate requests from APS. </t>
  </si>
  <si>
    <t>Hayes</t>
  </si>
  <si>
    <t>There is no need to increase residential rates. we are already paying an all-time high</t>
  </si>
  <si>
    <t>Barbosa</t>
  </si>
  <si>
    <t>Beatriz</t>
  </si>
  <si>
    <t>Whittmann</t>
  </si>
  <si>
    <t>Cassandra</t>
  </si>
  <si>
    <t>Opposed rate hike, increase solar buy back.</t>
  </si>
  <si>
    <t>Rodriquez</t>
  </si>
  <si>
    <t>Jennav</t>
  </si>
  <si>
    <t>Ghiardi</t>
  </si>
  <si>
    <t>Opposed to rate hike and solar fee. Main lines going to data centers</t>
  </si>
  <si>
    <t>T</t>
  </si>
  <si>
    <t>https://docket.images.azcc.gov/E000048010.pdf</t>
  </si>
  <si>
    <t>Elleray</t>
  </si>
  <si>
    <t>Philip and Vicky</t>
  </si>
  <si>
    <t xml:space="preserve"> For a retired person and disabled veteran, that is an excessive rate increase</t>
  </si>
  <si>
    <t>https://docket.images.azcc.gov/E000047995.pdf</t>
  </si>
  <si>
    <t>3762361661</t>
  </si>
  <si>
    <t>Pedroza</t>
  </si>
  <si>
    <t>Maricela</t>
  </si>
  <si>
    <t>I do not want to turn on the air conditioning because the cost of electricity is too high.</t>
  </si>
  <si>
    <t>https://docket.images.azcc.gov/0000215712.pdf</t>
  </si>
  <si>
    <t>Spanish letter docketed</t>
  </si>
  <si>
    <t>Pichardo</t>
  </si>
  <si>
    <t xml:space="preserve">Martha C. </t>
  </si>
  <si>
    <t>It is too expensive. I can hardly decide whether to pay for electricity or buy food.</t>
  </si>
  <si>
    <t>Elizarraras</t>
  </si>
  <si>
    <t>Juana</t>
  </si>
  <si>
    <t>For equity and humanity in this state of heat, they should not be supporting so many increases.</t>
  </si>
  <si>
    <t>Isidro Chavez</t>
  </si>
  <si>
    <t>We have to buy basic things like food and other services, and adjust our base salary to cover</t>
  </si>
  <si>
    <t xml:space="preserve">Wages have been the same for years while payments keep rising, </t>
  </si>
  <si>
    <t>Eriksen</t>
  </si>
  <si>
    <t xml:space="preserve">Maria </t>
  </si>
  <si>
    <t>I would tell APS to stop increasing rates because this will affect our low-income population</t>
  </si>
  <si>
    <t>5070041000</t>
  </si>
  <si>
    <t>No MEP R-XS ($51.48)</t>
  </si>
  <si>
    <t>Spanish letter docketed, Customer should automatically be reassigned to R-XS tier 1</t>
  </si>
  <si>
    <t>For me, it wasn't too expensive because I was in a program</t>
  </si>
  <si>
    <t>Clara Alvaro</t>
  </si>
  <si>
    <t>I have to limit buying food in order to pay for electricity because it is not easy to pay for everything</t>
  </si>
  <si>
    <t>Juan</t>
  </si>
  <si>
    <t>Ambrocia Sausado</t>
  </si>
  <si>
    <t>I dont earn enough to pay all my expenses with increase in electricity</t>
  </si>
  <si>
    <t>Armando</t>
  </si>
  <si>
    <t>my finances off balance because the cost keeps increasing,</t>
  </si>
  <si>
    <t>Loaizd</t>
  </si>
  <si>
    <t>Jasmin</t>
  </si>
  <si>
    <t>Sacrafice buying food or turning on the lights</t>
  </si>
  <si>
    <t>Saurez</t>
  </si>
  <si>
    <t>Hellen</t>
  </si>
  <si>
    <t>Would have to choose between which bill to pay first</t>
  </si>
  <si>
    <t>Minnesota</t>
  </si>
  <si>
    <t>Dorothy</t>
  </si>
  <si>
    <t>Fixed income, my pay doesn't go up at this rate</t>
  </si>
  <si>
    <t>0807760000</t>
  </si>
  <si>
    <t>Energy charges are already my 2nd largest expense</t>
  </si>
  <si>
    <t>Marisela</t>
  </si>
  <si>
    <t>Make decisions between buying groceries and cooling down my house</t>
  </si>
  <si>
    <t>RTOU47</t>
  </si>
  <si>
    <t>No MEP R3-47 ($116.16)</t>
  </si>
  <si>
    <t>Please contact customer regarding plan options</t>
  </si>
  <si>
    <t>Deja</t>
  </si>
  <si>
    <t>working overtime to be able to afford to just llive, another increase is unacceptable</t>
  </si>
  <si>
    <t>Chaves</t>
  </si>
  <si>
    <t>Diana Trejo</t>
  </si>
  <si>
    <t>My dad works overtime in the heat to keep up with the bills</t>
  </si>
  <si>
    <t>Fernatt</t>
  </si>
  <si>
    <t>ACC should consider the needs of the citzens</t>
  </si>
  <si>
    <t>Behreas</t>
  </si>
  <si>
    <t>Rosario</t>
  </si>
  <si>
    <t>Energy costs already affect everyone's quality of life</t>
  </si>
  <si>
    <t>Ulin</t>
  </si>
  <si>
    <t>Unacceptable to me that the ACC would approve such an enormous rate hike</t>
  </si>
  <si>
    <t>1845644568</t>
  </si>
  <si>
    <t>No MEP R3-47 ($8.47)</t>
  </si>
  <si>
    <t>Silva</t>
  </si>
  <si>
    <t>Knor</t>
  </si>
  <si>
    <t>I have to choose between paying the electricity bill or paying for the food I put on the table for my family or their medications</t>
  </si>
  <si>
    <t>Alcazar</t>
  </si>
  <si>
    <t xml:space="preserve">Jose P. </t>
  </si>
  <si>
    <t>To be able to pay for energy, I have to limit my spending on basic needs such as food, clothing, and health</t>
  </si>
  <si>
    <t>Habern</t>
  </si>
  <si>
    <t>Marianna</t>
  </si>
  <si>
    <t>My wages have not increased at all while APS makes record profits</t>
  </si>
  <si>
    <t>Curiel</t>
  </si>
  <si>
    <t>Lahayla</t>
  </si>
  <si>
    <t>A higher utility bill will compete with my grocery bills</t>
  </si>
  <si>
    <t>Jorge</t>
  </si>
  <si>
    <t>ACC needs to represent the people not the corporations</t>
  </si>
  <si>
    <t>Ballmann</t>
  </si>
  <si>
    <t>Beth</t>
  </si>
  <si>
    <t>Seek solutions that will lower rates for all of Arizona</t>
  </si>
  <si>
    <t>8351131000</t>
  </si>
  <si>
    <t>Avila</t>
  </si>
  <si>
    <t>Lidia</t>
  </si>
  <si>
    <t>lt affects my health a lot with the stress. If I cannot afford the bills</t>
  </si>
  <si>
    <t>Leticia</t>
  </si>
  <si>
    <t>These increases affect poor families the most</t>
  </si>
  <si>
    <t>Aricelia</t>
  </si>
  <si>
    <t>The ACC should vote against an increase because of corporate profits and econimic situation</t>
  </si>
  <si>
    <t>Ruelas</t>
  </si>
  <si>
    <t>Thais Beltran</t>
  </si>
  <si>
    <t>Vote against it becuase it's just unreasonable</t>
  </si>
  <si>
    <t>Cuevas</t>
  </si>
  <si>
    <t xml:space="preserve">Italia M. </t>
  </si>
  <si>
    <t>Pheonix</t>
  </si>
  <si>
    <t xml:space="preserve">In addition to paying for the solar panels, I continue to receive a high bill from SRP. </t>
  </si>
  <si>
    <t>Elva</t>
  </si>
  <si>
    <t>Twitchell</t>
  </si>
  <si>
    <t xml:space="preserve">Melissa </t>
  </si>
  <si>
    <t>Seems like it would be absolutely crippling if it goes any higher.</t>
  </si>
  <si>
    <t>https://docket.images.azcc.gov/E000048049.pdf</t>
  </si>
  <si>
    <t>Multiple Accts</t>
  </si>
  <si>
    <t>R-XS and EPR6w/ET-2</t>
  </si>
  <si>
    <t>Marrapodi</t>
  </si>
  <si>
    <t>I believe this request is unjustified and harmful to ordinary ratepayers</t>
  </si>
  <si>
    <t>https://docket.images.azcc.gov/E000048069.pdf</t>
  </si>
  <si>
    <t>0895261000</t>
  </si>
  <si>
    <t>No MEP R3-47 ($139.25)</t>
  </si>
  <si>
    <t>Greene</t>
  </si>
  <si>
    <t>Small business owner against proposed rate increase</t>
  </si>
  <si>
    <t>https://docket.images.azcc.gov/E000048180.pdf</t>
  </si>
  <si>
    <t>Ranchhod</t>
  </si>
  <si>
    <t>Kamal</t>
  </si>
  <si>
    <t>Opposed: Retired on fixed income</t>
  </si>
  <si>
    <t>7571491082</t>
  </si>
  <si>
    <t>Saez</t>
  </si>
  <si>
    <t>Elia</t>
  </si>
  <si>
    <t>We need the ACC to stand up for Arizona households</t>
  </si>
  <si>
    <t>4776840675</t>
  </si>
  <si>
    <t>RCPw/TOUE-47</t>
  </si>
  <si>
    <t>Barrett</t>
  </si>
  <si>
    <t>On a fixed income- this rate increase is unjustified</t>
  </si>
  <si>
    <t>6559521559</t>
  </si>
  <si>
    <t>RCPw/R2</t>
  </si>
  <si>
    <t>Frozen Plan</t>
  </si>
  <si>
    <t>https://docket.images.azcc.gov/E000048199.pdf</t>
  </si>
  <si>
    <t>Opposed - against solar and wind, only reliable sources are nuclear, hydro-electric, natural gas and coal.</t>
  </si>
  <si>
    <t>https://docket.images.azcc.gov/E000048206.pdf</t>
  </si>
  <si>
    <t>7171143951</t>
  </si>
  <si>
    <t>Diaz</t>
  </si>
  <si>
    <t>Valandra</t>
  </si>
  <si>
    <t>Opposed to water rate increases from Global Water Resources</t>
  </si>
  <si>
    <t>https://docket.images.azcc.gov/E000048235.pdf</t>
  </si>
  <si>
    <t>Espinoza</t>
  </si>
  <si>
    <t>Las Vegas</t>
  </si>
  <si>
    <t>Against the recent decision to approve the Bring Your Own Device battery program</t>
  </si>
  <si>
    <t>https://docket.images.azcc.gov/E000048229.pdf</t>
  </si>
  <si>
    <t>This is getting out of hand! It's time for a change at ACC</t>
  </si>
  <si>
    <t>https://docket.images.azcc.gov/E000048266.pdf</t>
  </si>
  <si>
    <t>Hotham</t>
  </si>
  <si>
    <t xml:space="preserve">Sharon </t>
  </si>
  <si>
    <t>https://docket.images.azcc.gov/E000048302.pdf</t>
  </si>
  <si>
    <t>6181201000</t>
  </si>
  <si>
    <t>No MEP R3-47 ($232.55)</t>
  </si>
  <si>
    <t>Anissa</t>
  </si>
  <si>
    <t>Kaeleigh</t>
  </si>
  <si>
    <t>Daza-Smith</t>
  </si>
  <si>
    <t>https://docket.images.azcc.gov/E000048311.pdf</t>
  </si>
  <si>
    <t>Kaitlyn Q</t>
  </si>
  <si>
    <t>Posey</t>
  </si>
  <si>
    <t xml:space="preserve">0509660000 </t>
  </si>
  <si>
    <t>No MEP R3-47 ($326.27)</t>
  </si>
  <si>
    <t>Please contact customer regarding plan options and assistance programs</t>
  </si>
  <si>
    <t>Marmor</t>
  </si>
  <si>
    <t>Arvizu</t>
  </si>
  <si>
    <t>Rokke</t>
  </si>
  <si>
    <t>Audrey</t>
  </si>
  <si>
    <t>1969900000</t>
  </si>
  <si>
    <t>7382953794</t>
  </si>
  <si>
    <t>No MEP R3-47 ($306.58)</t>
  </si>
  <si>
    <t>Figgins</t>
  </si>
  <si>
    <t>Keith</t>
  </si>
  <si>
    <t>https://docket.images.azcc.gov/E000048356.pdf</t>
  </si>
  <si>
    <t>Vail</t>
  </si>
  <si>
    <t>Mason-Ewing</t>
  </si>
  <si>
    <t>Sauiqui</t>
  </si>
  <si>
    <t>Pattie</t>
  </si>
  <si>
    <t>https://docket.images.azcc.gov/E000048402.pdf</t>
  </si>
  <si>
    <t>Lengele</t>
  </si>
  <si>
    <t>Opposed to any rate increase request that subsidize costs associated with infrastructure for industrial custoemrs/data centers</t>
  </si>
  <si>
    <t>3711421000</t>
  </si>
  <si>
    <t>Krause</t>
  </si>
  <si>
    <t>Glenda</t>
  </si>
  <si>
    <t>https://docket.images.azcc.gov/E000048419.pdf</t>
  </si>
  <si>
    <t>9762601000</t>
  </si>
  <si>
    <t>Kendrick</t>
  </si>
  <si>
    <t>5434621000</t>
  </si>
  <si>
    <t>Vastbinder</t>
  </si>
  <si>
    <t>1276931000</t>
  </si>
  <si>
    <t>Pal</t>
  </si>
  <si>
    <t>EV charging stations and Data Center - make them pay</t>
  </si>
  <si>
    <t>https://docket.images.azcc.gov/E000048447.pdf</t>
  </si>
  <si>
    <t>Davina</t>
  </si>
  <si>
    <t>Opposed: I don't belileve residents should have to foot the bill for data centers</t>
  </si>
  <si>
    <t>https://docket.images.azcc.gov/E000048452.pdf</t>
  </si>
  <si>
    <t>Rieger</t>
  </si>
  <si>
    <t xml:space="preserve">1116019420 </t>
  </si>
  <si>
    <t>Loveland</t>
  </si>
  <si>
    <t>Taunia</t>
  </si>
  <si>
    <t>3668790000</t>
  </si>
  <si>
    <t>Durbin</t>
  </si>
  <si>
    <t xml:space="preserve">Daryl </t>
  </si>
  <si>
    <t>Kurtz</t>
  </si>
  <si>
    <t>O'Neill</t>
  </si>
  <si>
    <t>Hellard</t>
  </si>
  <si>
    <t>Joyce</t>
  </si>
  <si>
    <t>Vasquez</t>
  </si>
  <si>
    <t>Shaw</t>
  </si>
  <si>
    <t>Tom</t>
  </si>
  <si>
    <t>https://docket.images.azcc.gov/E000048497.pdf</t>
  </si>
  <si>
    <t>3406690000</t>
  </si>
  <si>
    <t>Mayberry</t>
  </si>
  <si>
    <t>8746371337</t>
  </si>
  <si>
    <t>Marsha</t>
  </si>
  <si>
    <t>3898390000</t>
  </si>
  <si>
    <t>Offer Assistance Programs?</t>
  </si>
  <si>
    <t>Sidhu</t>
  </si>
  <si>
    <t>Arman</t>
  </si>
  <si>
    <t>Filed two petitions 12/31 and 1/2</t>
  </si>
  <si>
    <t xml:space="preserve">Phoenix </t>
  </si>
  <si>
    <t>5434101000</t>
  </si>
  <si>
    <t>Salazar</t>
  </si>
  <si>
    <t>ER Lara</t>
  </si>
  <si>
    <t>TM</t>
  </si>
  <si>
    <t>Kok</t>
  </si>
  <si>
    <t>Queen Creek</t>
  </si>
  <si>
    <t>LaBarbera</t>
  </si>
  <si>
    <t>9194711000</t>
  </si>
  <si>
    <t>No MEP R3-47 ($84.61)</t>
  </si>
  <si>
    <t>Cearns</t>
  </si>
  <si>
    <t>Katharine</t>
  </si>
  <si>
    <t>7401033818</t>
  </si>
  <si>
    <t>Frozen</t>
  </si>
  <si>
    <t>Customer filed ACC complaint about automatic PA on 10/16/2025</t>
  </si>
  <si>
    <t>0037795787</t>
  </si>
  <si>
    <t>Winslow</t>
  </si>
  <si>
    <t>4471111000</t>
  </si>
  <si>
    <t>No MEP R3-47 ($274.25)</t>
  </si>
  <si>
    <t>Walewski</t>
  </si>
  <si>
    <t>2582490000</t>
  </si>
  <si>
    <t>Drumm</t>
  </si>
  <si>
    <t>S Marie</t>
  </si>
  <si>
    <t>Hager</t>
  </si>
  <si>
    <t>Janine</t>
  </si>
  <si>
    <t>6810330000</t>
  </si>
  <si>
    <t>Adams</t>
  </si>
  <si>
    <t>Shaffer</t>
  </si>
  <si>
    <t>3744670000</t>
  </si>
  <si>
    <t>No MEP TOUE-47 ($171.32)</t>
  </si>
  <si>
    <t>https://docket.images.azcc.gov/E000048522.pdf</t>
  </si>
  <si>
    <t>Williamson</t>
  </si>
  <si>
    <t>Elaine</t>
  </si>
  <si>
    <t>Holmquist</t>
  </si>
  <si>
    <t>Furlong</t>
  </si>
  <si>
    <t>2887570000</t>
  </si>
  <si>
    <t>Aycock</t>
  </si>
  <si>
    <t>5126480000</t>
  </si>
  <si>
    <t>Foushee</t>
  </si>
  <si>
    <t>3336741000</t>
  </si>
  <si>
    <t>No MEP R3-47 ($446.36)</t>
  </si>
  <si>
    <t>Sise</t>
  </si>
  <si>
    <t>6007103080</t>
  </si>
  <si>
    <t>Cummings</t>
  </si>
  <si>
    <t>Opposed: Data Centers are causing the issue; vote for the people not the corporations</t>
  </si>
  <si>
    <t>6353724277</t>
  </si>
  <si>
    <t>Patrovich</t>
  </si>
  <si>
    <t>Marcie</t>
  </si>
  <si>
    <t>Opposed: Too many fees, deny the rate increase</t>
  </si>
  <si>
    <t>2463621000</t>
  </si>
  <si>
    <t>EPR6w/ET-2</t>
  </si>
  <si>
    <t>Macek</t>
  </si>
  <si>
    <t>Marlene</t>
  </si>
  <si>
    <t>Opposed: APS is highly profitable. What about APS's expenses and spending?</t>
  </si>
  <si>
    <t>https://docket.images.azcc.gov/E000048542.pdf</t>
  </si>
  <si>
    <t>2897563325</t>
  </si>
  <si>
    <t>Arroyo</t>
  </si>
  <si>
    <t>Arielle</t>
  </si>
  <si>
    <t>Nurse and mother in protest of rate increase. Bills are astronomical.</t>
  </si>
  <si>
    <t>Palowoda</t>
  </si>
  <si>
    <t>APS just had a rate increase and $600 M in neet income. Prices are drive up becuase of EV charging ad Data Centers.</t>
  </si>
  <si>
    <t>9099650000</t>
  </si>
  <si>
    <t>Deny rate increase; quoting AZ Republic article 11/2/2025 and Kris Mayes. Against AI and data centers</t>
  </si>
  <si>
    <t>https://docket.images.azcc.gov/E000048535.pdf</t>
  </si>
  <si>
    <t>0211611000</t>
  </si>
  <si>
    <t>Hatler</t>
  </si>
  <si>
    <t>Carol (Phil)</t>
  </si>
  <si>
    <t>Deny rate increase: quoting Kris Mayes</t>
  </si>
  <si>
    <t>6381851000</t>
  </si>
  <si>
    <t>Winkler</t>
  </si>
  <si>
    <t>Laurie</t>
  </si>
  <si>
    <t>Deny the APS request for increased prices</t>
  </si>
  <si>
    <t>Levinshon</t>
  </si>
  <si>
    <t>Allyson</t>
  </si>
  <si>
    <t>https://docket.images.azcc.gov/E000048550.pdf</t>
  </si>
  <si>
    <t>Docketed 2x</t>
  </si>
  <si>
    <t>Alger</t>
  </si>
  <si>
    <t>Widow on a very fixed income. Supporting data centers bulit on my back. APS has never been honest or transparent</t>
  </si>
  <si>
    <t>https://docket.images.azcc.gov/E000048581.pdf</t>
  </si>
  <si>
    <t>5254461000</t>
  </si>
  <si>
    <t>Offer Assistance Program Info?</t>
  </si>
  <si>
    <t xml:space="preserve"> Seniors on fixed incomes are disproportionately affected by higher summer electric bills</t>
  </si>
  <si>
    <t>https://docket.images.azcc.gov/E000048641.pdf</t>
  </si>
  <si>
    <t>No MEP R3-47 ($99.06)</t>
  </si>
  <si>
    <t>Sally</t>
  </si>
  <si>
    <t>Put a stop to this kind of spending and stop inflation. Enough is enough.</t>
  </si>
  <si>
    <t>https://docket.images.azcc.gov/E000048716.pdf</t>
  </si>
  <si>
    <t>Elliott</t>
  </si>
  <si>
    <t>APS has deep enough pockets to cover these costs. We don't.</t>
  </si>
  <si>
    <t>Pouncy</t>
  </si>
  <si>
    <t>Ernest</t>
  </si>
  <si>
    <t xml:space="preserve">Retired on a fixed income. On-peak hours should change. Unfair, APS had a rate  hike two years ago. </t>
  </si>
  <si>
    <t>Filice</t>
  </si>
  <si>
    <t>Ridiculous, 22% increase in 3 years. People are struggling. Reject the rate increase.</t>
  </si>
  <si>
    <t>Fixed income, had the foresight to install solar, should not be charged an increase again.</t>
  </si>
  <si>
    <t xml:space="preserve">Opposed: APS top execs should take a pay cut and try to live on the median income. </t>
  </si>
  <si>
    <t>Furnas</t>
  </si>
  <si>
    <t>Kirkland</t>
  </si>
  <si>
    <t>yearly reduction of export rates for the past 5 years on solar systems supplying the grid. Non-solar customers have paid the difference</t>
  </si>
  <si>
    <t>Chesney</t>
  </si>
  <si>
    <t>16% for residential on top of the previous 8% is crippling as a retired person; with solar.</t>
  </si>
  <si>
    <t>Residents should not have to shoulder repeated increases while APS reports strong profits.</t>
  </si>
  <si>
    <t>No MEP R3-47 ($64.33)</t>
  </si>
  <si>
    <t>McCann</t>
  </si>
  <si>
    <t>We can't afford this type of increase - reeks of greed and corruption and quite frankly if this is passed l'd assume the council is getting bribed.</t>
  </si>
  <si>
    <t>Burkhart</t>
  </si>
  <si>
    <t>Pretty soon, my electric bill will be HALF of what I pay in mortgage. Normal people are struggling.</t>
  </si>
  <si>
    <t>Lindmark</t>
  </si>
  <si>
    <t>Commission sides with the Developers and Utility Companies; when are you going to side with the people?</t>
  </si>
  <si>
    <t>Harmonson</t>
  </si>
  <si>
    <t>It should not be allowed to profit off of the working class for things that are a necessity to survive.</t>
  </si>
  <si>
    <t>https://docket.images.azcc.gov/E000048738.pdf</t>
  </si>
  <si>
    <t>No MEP R3-47 ($359.67)</t>
  </si>
  <si>
    <t xml:space="preserve">Owned home for 15 years and made all the EE improvements and bills are still going up. </t>
  </si>
  <si>
    <t>No MEP R3-47 ($128.88</t>
  </si>
  <si>
    <t xml:space="preserve">Cumulative 23% increase in just over 2 years. Arizona are already struggling. </t>
  </si>
  <si>
    <t>Special Handling Case on Account (3 executive referrals, 1 AG complaint and 1 BBB complaint)</t>
  </si>
  <si>
    <t>Gutierrez-Whitmire</t>
  </si>
  <si>
    <t>Karla</t>
  </si>
  <si>
    <t>35-year customer and retiree on a fixed income. Watch  my neighbors struggle while APS continues to raise rates.</t>
  </si>
  <si>
    <t xml:space="preserve">Pricing should align with SRP. Believes power and water should be government provided. </t>
  </si>
  <si>
    <t>Gruber</t>
  </si>
  <si>
    <t>Fixed rate criteria must be updated to reflect hotter climate.</t>
  </si>
  <si>
    <t>Culligan</t>
  </si>
  <si>
    <t>Marianne</t>
  </si>
  <si>
    <t>Huge chip plant - costs should not be shouldered by homeowners/renters and those with solar shoulder an additional monthly fee</t>
  </si>
  <si>
    <t>Behnke</t>
  </si>
  <si>
    <t>Lynea</t>
  </si>
  <si>
    <t>Mother to young children, huge portion of paycheck is already going toward electric bill, impossible to save.</t>
  </si>
  <si>
    <t>https://images.edocket.azcc.gov/docketpdf/E000048753.pdf</t>
  </si>
  <si>
    <t>Yates-Reiser</t>
  </si>
  <si>
    <t xml:space="preserve">Seen bill  jump from $122 to over $300 after solar panel lease. Fighting to get onto the off-peak plan. </t>
  </si>
  <si>
    <t>Mancuso</t>
  </si>
  <si>
    <t>already too high, wages are stagnant, and the profit margins of this company are absurd.</t>
  </si>
  <si>
    <t>No MEP R3-47 ($336.56)</t>
  </si>
  <si>
    <t>Dzezinski</t>
  </si>
  <si>
    <t>APS's greed is asking for another hike less than 2  years after the last increase is borderline criminal.</t>
  </si>
  <si>
    <t>Ollis</t>
  </si>
  <si>
    <t>Cannot attend the public comment meeting. Monopoly, $483M profits, Their solar reimbursement program is a scam</t>
  </si>
  <si>
    <t>https://images.edocket.azcc.gov/docketpdf/E000048762.pdf</t>
  </si>
  <si>
    <t>1/22/2026+</t>
  </si>
  <si>
    <t>Ciasnocha</t>
  </si>
  <si>
    <t>Opposed, another increase after an 8% increase just 2 y ears ago, punishing solar, alarming FRM, quoting AG</t>
  </si>
  <si>
    <t>https://docket.images.azcc.gov/E000048791.pdf</t>
  </si>
  <si>
    <t>Apolinar</t>
  </si>
  <si>
    <t>Alexia</t>
  </si>
  <si>
    <t>Oppose -rate was just increased less than 2 years ago</t>
  </si>
  <si>
    <t>RCPw/TOUE47</t>
  </si>
  <si>
    <t>No MEP R3-47 ($84.24)</t>
  </si>
  <si>
    <t>Please contact customer regarding plan options and additional assistance programs</t>
  </si>
  <si>
    <t>Doris</t>
  </si>
  <si>
    <t>They just got a 16% rate increase and now those greedy people demand more?</t>
  </si>
  <si>
    <t>Participated in public comment session on 1/20</t>
  </si>
  <si>
    <t>Lister</t>
  </si>
  <si>
    <t xml:space="preserve">Thank you for the opportunity to testify today. Representing Opportunity Arizona. Quotes 12News for data center growth make up energy demand. </t>
  </si>
  <si>
    <t>Participated in public comment session on 1/20 - Representing Opportunity Arizona</t>
  </si>
  <si>
    <t>Kaur</t>
  </si>
  <si>
    <t>Sue</t>
  </si>
  <si>
    <t xml:space="preserve">Your Constitutional role as Commissioners... set just and reasonalbe rates. Majority of the commission has eyes on higher offices. </t>
  </si>
  <si>
    <t>My bill in the winter was almost $300 last month, and the heat and air were never used - that is criminal.</t>
  </si>
  <si>
    <t>Liu</t>
  </si>
  <si>
    <t>Yijeng</t>
  </si>
  <si>
    <t>Why do residents have to pay APS shareholders' dividends more and more each year?</t>
  </si>
  <si>
    <t>Lucas</t>
  </si>
  <si>
    <t xml:space="preserve">For families like mine, this is simply too much... customers should not be expected to absorb constant hikes whiles APS continues to report healthy returns. </t>
  </si>
  <si>
    <t>Simon</t>
  </si>
  <si>
    <t xml:space="preserve">Approving yet another rate ncrease-especially one that penalizes solar adoption and inflates transmission costs-would violate your duty. </t>
  </si>
  <si>
    <t>Arriola</t>
  </si>
  <si>
    <t>It's tough as it is to try to keep up with life without yet another increase from APS</t>
  </si>
  <si>
    <t>Pottorf</t>
  </si>
  <si>
    <t>Jaimie</t>
  </si>
  <si>
    <t>APS is a regulated utility with a statutory right to seek recovery of reasonable costs, however the magnitude of the request, paired with existing profits and the ongoing financial strain on AZ residents makes this application neither fair nor reasonable</t>
  </si>
  <si>
    <t>Conte</t>
  </si>
  <si>
    <t>Davide</t>
  </si>
  <si>
    <t xml:space="preserve">Commission review APS's solar rate design and consider whether forcing all solar customers into sunset-aligned peak pricing is consistent with fair cost allocation. </t>
  </si>
  <si>
    <t>Baird</t>
  </si>
  <si>
    <t>I have filed numerous complaints with BBB because our bills are sometimes $700! How does a family living on one income afford anymore?!</t>
  </si>
  <si>
    <t>Vassallo</t>
  </si>
  <si>
    <t>Kayla</t>
  </si>
  <si>
    <t>Burke</t>
  </si>
  <si>
    <t>Victoria</t>
  </si>
  <si>
    <t>Dahne</t>
  </si>
  <si>
    <t xml:space="preserve">Demand Charge Limiter and Demand Charge Credit... l've dropped my bills about 13% through my work on my electricity usage. Now APS wants to wipe that out just for the benefit of their shareholders and executive pay. </t>
  </si>
  <si>
    <t>Peterson</t>
  </si>
  <si>
    <t xml:space="preserve">Familes are trying to survive high interest rates, inflation, and provide for themselves and children. The name Arizona Public Service should be a reminder that electricity is a publis service, not a slush fund. </t>
  </si>
  <si>
    <t>No MEP R3-47 ($402.12)</t>
  </si>
  <si>
    <t>More effective and cheaper "green" policies on your part, APS, can make elevated usage of clean and cheap electricity happen,  not with the rising of prices</t>
  </si>
  <si>
    <t>Newbern</t>
  </si>
  <si>
    <t>James Marshall</t>
  </si>
  <si>
    <t>It is not evident that the current return on eequity being earned by APS is inadequate or that it threatens the company's ability to continue its already reliably service</t>
  </si>
  <si>
    <t>Sagadraca</t>
  </si>
  <si>
    <t>heavily against this price increase as it will add strain to the rising cost of living</t>
  </si>
  <si>
    <t>Green</t>
  </si>
  <si>
    <t xml:space="preserve">we are already struggling to balance the rising costs of childcare with our monthly utility bills. </t>
  </si>
  <si>
    <t>No MEP TOUE-47 ($139.27)</t>
  </si>
  <si>
    <t>Downs</t>
  </si>
  <si>
    <t>On a budget and already working 2 jobs to make ends meet, the price hike is nothing but greed.</t>
  </si>
  <si>
    <t>No MEP R3-47 ($42.04)</t>
  </si>
  <si>
    <t>Bergeron</t>
  </si>
  <si>
    <t>Electricity is an essential function of daily life and Arizona Public Service is a monolith in service provision in the valley.</t>
  </si>
  <si>
    <t>Scarborough</t>
  </si>
  <si>
    <t xml:space="preserve">I live with my mentally disabled uncle who is on a low-income. The last rate increased almost sent him to the hospital for heat stroke trying to k eep the AC bill down in his 1000 sq ft house. </t>
  </si>
  <si>
    <t>William III</t>
  </si>
  <si>
    <t>Retired, 2,000 sqft home, large solar system, 2 EV. APS is punishing us and h olding us hostage for doing the right thing for the environment</t>
  </si>
  <si>
    <t>https://docket.images.azcc.gov/E000048819.pdf</t>
  </si>
  <si>
    <t>Harrington</t>
  </si>
  <si>
    <t>APS's proposed 14% rate hike is an erroneous and unjustified increase that places unnecessary financial strain on the residents</t>
  </si>
  <si>
    <t xml:space="preserve">Gabriel </t>
  </si>
  <si>
    <t xml:space="preserve">Prices are outrageous and 4 or 5 increases in 5 years is disgraceful and completely shows it's about just money. Old boyz club. </t>
  </si>
  <si>
    <t xml:space="preserve">households are already struggling with rising costs for housing, food, healthcare, and fuel. Wages have not increased at the same pace as utility costs. </t>
  </si>
  <si>
    <t>At what time do we expect APS to reinvest their own profits to upgrade infrastructure?</t>
  </si>
  <si>
    <t>No MEP R3-47 ($55.05)</t>
  </si>
  <si>
    <t>Akers</t>
  </si>
  <si>
    <t xml:space="preserve">The Federal Government uses is about 2.7%. Why a 14% increase? When does it stop? I understand they need to make a profit but at what point do we say enough is enough. </t>
  </si>
  <si>
    <t>Donovan</t>
  </si>
  <si>
    <t>Tricia</t>
  </si>
  <si>
    <t xml:space="preserve">These rate increases are unsubstantiated on a consumer level. There should be an adjusted rate for the corporation over a certain size against the homeowner. </t>
  </si>
  <si>
    <t>Maynard</t>
  </si>
  <si>
    <t>Margie</t>
  </si>
  <si>
    <t>It is unethical for APS to increase rates 14% after just raising costs by 8% last year. Arizonans are already struggling</t>
  </si>
  <si>
    <t>Morris</t>
  </si>
  <si>
    <t>Abigail</t>
  </si>
  <si>
    <t xml:space="preserve">We are experiencing a death by a thousand rate hikes with no pathway to homeownership to start our family. </t>
  </si>
  <si>
    <t>Cupp</t>
  </si>
  <si>
    <t>Eva</t>
  </si>
  <si>
    <t>I am against any further hikes or increases in cost for electricity</t>
  </si>
  <si>
    <t>Duesbury</t>
  </si>
  <si>
    <t>As a senior on a fixed income, I cannot afford another rate hike by APS especially after they have gotten two in the last few years</t>
  </si>
  <si>
    <t>Marquez</t>
  </si>
  <si>
    <t>people cannot afford another APS price hike. We live in the desert, and to this company all you see is dollar signs. YOU GUYS SUCK IF YOU INCREASE MORE RATES</t>
  </si>
  <si>
    <t>No MEP RTOUE47 ($27.85)</t>
  </si>
  <si>
    <t>Musselman</t>
  </si>
  <si>
    <t>Williametta</t>
  </si>
  <si>
    <t xml:space="preserve">We purchased solar many  years ago. Now we hear APS wants to double the rate for solar customers. Why? </t>
  </si>
  <si>
    <t xml:space="preserve">Horton </t>
  </si>
  <si>
    <t>Daryl</t>
  </si>
  <si>
    <t xml:space="preserve">Arizonans are struggling with costs for housing, food, and other essentials. This increase is unjust and unreasonable. The Proposed FRM is a blank check. </t>
  </si>
  <si>
    <t>Berger</t>
  </si>
  <si>
    <t>No MEP R3-47 ($311.33)</t>
  </si>
  <si>
    <t>Akram</t>
  </si>
  <si>
    <t>Rami</t>
  </si>
  <si>
    <t xml:space="preserve">Aps needs to stop increase the bills. The gas and oil is cheaper there is no reason to increase the rate. </t>
  </si>
  <si>
    <t>Tocco</t>
  </si>
  <si>
    <t>Hailee</t>
  </si>
  <si>
    <t>Kocho</t>
  </si>
  <si>
    <t>Eileen</t>
  </si>
  <si>
    <t>rising costs places an undue financial burden on households-especially those on fixed incomes,</t>
  </si>
  <si>
    <t>No MEP R-XS ($11.32)</t>
  </si>
  <si>
    <t>Gewargis</t>
  </si>
  <si>
    <t>Sargis</t>
  </si>
  <si>
    <t xml:space="preserve">I am not fine with this increase and this will be so bad to manage for my home and business. </t>
  </si>
  <si>
    <t>Youshia</t>
  </si>
  <si>
    <t>This increase places a significant financial burden on households and small businesses</t>
  </si>
  <si>
    <t>No MEP R3-47 ($108.10)</t>
  </si>
  <si>
    <t xml:space="preserve">Costs of electricity are rising much faster than our incomes. People with fixed/limited income can't afford these drastic increases year over year. </t>
  </si>
  <si>
    <t>Not eligible yet</t>
  </si>
  <si>
    <t>Just transitioned from Tier 1 to Tier 2</t>
  </si>
  <si>
    <t>Kelcey</t>
  </si>
  <si>
    <t>Higher utility rates will place an undue burden on Arizona residents. Energy should remain affordable and accessible to all</t>
  </si>
  <si>
    <t>Montoya</t>
  </si>
  <si>
    <t>We personally have solar panels which we pay slot of money for only to have our electric bill still high. Our account should be in the negative.</t>
  </si>
  <si>
    <t>Seifert</t>
  </si>
  <si>
    <t>Lyn</t>
  </si>
  <si>
    <t>APS needs to be pressured to figure out how to keep costs down and find other ways to create cost-effective energy, such as portable nuclear power and natural gas.</t>
  </si>
  <si>
    <t>No MEP R3-47 ($339.29)</t>
  </si>
  <si>
    <t>Rueda</t>
  </si>
  <si>
    <t>Cristiana</t>
  </si>
  <si>
    <t>consider how this affects our total cost of living - many of us struggle to pay rising rent prices without utilities</t>
  </si>
  <si>
    <t>No MEP R-XS ($103.62)</t>
  </si>
  <si>
    <t>Huizenga</t>
  </si>
  <si>
    <t>Spend money within their means as opposed to growing the grid to prepare for future growth at the expense of the sonsumer. I invested in solar... costs continue to grow.</t>
  </si>
  <si>
    <t>Lundin</t>
  </si>
  <si>
    <t>This is pure GREED and negatively impacts all constituents. Do not pass this!</t>
  </si>
  <si>
    <t>No MEP R-XS ($845.52)</t>
  </si>
  <si>
    <t>Please contact customer regarding plan options - 3 properties total but 1 property is not on MEP.</t>
  </si>
  <si>
    <t>Pillsbury</t>
  </si>
  <si>
    <t>No more rate hikes! Already increased 8% last year! I oppose the 14% proposed increase!</t>
  </si>
  <si>
    <t>Zegarac</t>
  </si>
  <si>
    <t>Mara</t>
  </si>
  <si>
    <t>No increase in rates is needed or warranted. Put people over profits,</t>
  </si>
  <si>
    <t>No MEP R-BASIC ($40.52)</t>
  </si>
  <si>
    <t>Zach</t>
  </si>
  <si>
    <t>Increase on those awful dat centers which I'm going tonight to protest against the possibility of Surprise, Arizona, adding another one.</t>
  </si>
  <si>
    <t>Sukhera</t>
  </si>
  <si>
    <t>Jasim</t>
  </si>
  <si>
    <t>a resident of Phoenix AZ oppose the 14% utilities rate increase</t>
  </si>
  <si>
    <t>Mahoney</t>
  </si>
  <si>
    <t>Brindle</t>
  </si>
  <si>
    <t xml:space="preserve">Newly widowed, disabled snior. Half the time I don't even use the utilities because I can barely afford them. </t>
  </si>
  <si>
    <t>Arias</t>
  </si>
  <si>
    <t>Tessa</t>
  </si>
  <si>
    <t>Double the price I paid in SRP territory. Troubled by the proposal for FRM</t>
  </si>
  <si>
    <t>Currie</t>
  </si>
  <si>
    <t>Donald</t>
  </si>
  <si>
    <t xml:space="preserve">Solar customers got solar to help sustain the grid and keep our price stable. We paid for these panels. We should not be fee'd to death. Inrease data center even more. </t>
  </si>
  <si>
    <t>Neal</t>
  </si>
  <si>
    <t xml:space="preserve">14% APS rate hike is excessive for consumers. I am a senior citizen, struggling already. </t>
  </si>
  <si>
    <t>No MEP R3-47 ($235.41)</t>
  </si>
  <si>
    <t>Murton</t>
  </si>
  <si>
    <t>OPPOSE the proposed 14% rate increase by APS. Coming on the heels of an 8% increase just last year.</t>
  </si>
  <si>
    <t>Baughman Vincent</t>
  </si>
  <si>
    <t>Ericaanne</t>
  </si>
  <si>
    <t>Please do not let APS hike our rates! I already  had to cut vidal expenses such as food, medicine because the utilities rates are already out rages!</t>
  </si>
  <si>
    <t>Loomis</t>
  </si>
  <si>
    <t>The rate hike for 14 percent is crazy and to change solar customer's a sur change is not right</t>
  </si>
  <si>
    <t>My wife and I are on fixed incomes and our bill has risen from $103.52 per month to $174.52 in the last 2 years.</t>
  </si>
  <si>
    <t>No MEP R3-47 ($30.74)</t>
  </si>
  <si>
    <t>Pendergraft</t>
  </si>
  <si>
    <t xml:space="preserve">It is unreasonable to expect Arizona families to shoulder another significant iincrease. Quotes APS  mission statement on 'About Us' page. </t>
  </si>
  <si>
    <t>Mueller</t>
  </si>
  <si>
    <t xml:space="preserve">Why do they need YET ANOTHER INCREASE? APS is already charging WAAAAY more than SRP. </t>
  </si>
  <si>
    <t>Barraza</t>
  </si>
  <si>
    <t xml:space="preserve">Parent of  three children, like many Arizona families, we are already struggling with the rising cost of living. </t>
  </si>
  <si>
    <t>No MEP R-BASIC ($1.22)</t>
  </si>
  <si>
    <t>I also think that data centers should be paying their share for the increased electricity</t>
  </si>
  <si>
    <t>https://docket.images.azcc.gov/E000048828.pdf</t>
  </si>
  <si>
    <t>McKee</t>
  </si>
  <si>
    <t xml:space="preserve">It is unfathomable that they would request yet another rate hike, especially considering the outrageous amount the APS officers are taking in sompensation. </t>
  </si>
  <si>
    <t>Pays for advertising and sponsorships and events. APS could care less about the rate payers</t>
  </si>
  <si>
    <t>Devlin</t>
  </si>
  <si>
    <t>difficult to enjoy my retirement from hard work for 50 years. My family consistently tries to conserve but it seems like large businesses are not pulling their weight.</t>
  </si>
  <si>
    <t>Johancen</t>
  </si>
  <si>
    <t>Pls do NOT let them raise the elec rate, $600 million last year seems like they are doing OK</t>
  </si>
  <si>
    <t>https://docket.images.azcc.gov/E000048860.pdf</t>
  </si>
  <si>
    <t>Keliher</t>
  </si>
  <si>
    <t>Prices at the grocery store and it has tripled the cost per month that we pay for food. This has really out into our budget.</t>
  </si>
  <si>
    <t>Schedler</t>
  </si>
  <si>
    <t xml:space="preserve">As a person of faith, I believe it is morally wrong to ask for yet another rate increase for APS customers while simultaneously abandoning clean energy goals. </t>
  </si>
  <si>
    <t>Regen</t>
  </si>
  <si>
    <t>Dapcedich</t>
  </si>
  <si>
    <t>A 16%+ increase is unreasonable and unjustified. APS has made little improvements to their infrastructure compared to the increased amount of customers and revenue.</t>
  </si>
  <si>
    <t>https://docket.images.azcc.gov/E000048844.pdf</t>
  </si>
  <si>
    <t>Triggs</t>
  </si>
  <si>
    <t>Jovada</t>
  </si>
  <si>
    <t>Live with my daughter and am on a fixed income. Even with a discounted plan, I am still paying over $100 per month. I can't afford another increase. This is unfair</t>
  </si>
  <si>
    <t>https://docket.images.azcc.gov/E000048847.pdf</t>
  </si>
  <si>
    <t>Gaydos</t>
  </si>
  <si>
    <t>I worry about our schools. It should be the developers building that should be paying for the expansion and infrastructure to support our power grid.</t>
  </si>
  <si>
    <t>Griffis</t>
  </si>
  <si>
    <t>Arizonans are already struggling to afford. This proposal comes after multiple rate increases in recent years,</t>
  </si>
  <si>
    <t>https://docket.images.azcc.gov/E000048888.pdf</t>
  </si>
  <si>
    <t>Crawley</t>
  </si>
  <si>
    <t xml:space="preserve">I'm opposed to a rate increase from APS. It is difficult to pay our current bill, let alone an additional increase. We (retired folks) only received a $34 increase on our SS. </t>
  </si>
  <si>
    <t>??</t>
  </si>
  <si>
    <t>Frampton</t>
  </si>
  <si>
    <t>This is an unreasonable increase, particularly since APS just abandoned its clean energy goals.</t>
  </si>
  <si>
    <t>Tuggle</t>
  </si>
  <si>
    <t>Nora</t>
  </si>
  <si>
    <t xml:space="preserve">I am 72 years old, a disabled veteran on a fixed income. I am left questiong what options are available to me. </t>
  </si>
  <si>
    <t>Previous utility employee. Keep coal plants running. Solar customers should  not be penalized.</t>
  </si>
  <si>
    <t>The data copanies monopolizing the most usage need to pair their fair share. Do not put it off on the residential customers</t>
  </si>
  <si>
    <t>Gerald</t>
  </si>
  <si>
    <t>A 14% rate increase is unreasonable and unconscionable.It puts an unnecessary burden upon the average consumer</t>
  </si>
  <si>
    <t>https://docket.images.azcc.gov/E000048866.pdf</t>
  </si>
  <si>
    <t>Chettle</t>
  </si>
  <si>
    <t>We are opposed to the proposed rate increase of 14% in 2026</t>
  </si>
  <si>
    <t xml:space="preserve">Hill </t>
  </si>
  <si>
    <t>We the people the voters can't afford to have another increase in our electric. Data centers should be paying even more</t>
  </si>
  <si>
    <t>Participated in public comment session on 1/26</t>
  </si>
  <si>
    <t>Ewing</t>
  </si>
  <si>
    <t>We are already paying historic rate heights while the data centers receive their power at a discounted rate. Enough is enough!</t>
  </si>
  <si>
    <t>https://docket.images.azcc.gov/E000048893.pdf</t>
  </si>
  <si>
    <t>Threadgill</t>
  </si>
  <si>
    <t>If their expenses are on the rise pass the rate increases off to the mega users-Al &amp; Fab, plants not us</t>
  </si>
  <si>
    <t>Multiple Acct</t>
  </si>
  <si>
    <t xml:space="preserve">ACC should require APS to demonstrate stronger cost controls, clearer justification for projected expensses and meaningful efforts to protect low-income customers. </t>
  </si>
  <si>
    <t>This customer was re-assigned from Tier 1 to Tier 3. Likely not their best rate. Needs 3 months of data to see if RTOUE or R3 would be better.</t>
  </si>
  <si>
    <t>Hamrick</t>
  </si>
  <si>
    <t>Trying get help because every year my rent goes up</t>
  </si>
  <si>
    <t>https://docket.images.azcc.gov/E000048917.pdf</t>
  </si>
  <si>
    <t>May need information for additional assistance programs?</t>
  </si>
  <si>
    <t xml:space="preserve">Make a change now away from the Green new deal and do not allow APS to rais their rates. </t>
  </si>
  <si>
    <t>Unkown</t>
  </si>
  <si>
    <t>Representing Arizona Mormon Women for Ethical Government</t>
  </si>
  <si>
    <t>https://images.edocket.azcc.gov/docketpdf/E000048922.pdf</t>
  </si>
  <si>
    <t>Roberta</t>
  </si>
  <si>
    <t>I would like to ask why you weren't at the meeting as you are an elected official and you are one of the members in charge of making this important decision. I have lived in my current home that uses APS for 11 years. I have seen my rates inrease 3 times.</t>
  </si>
  <si>
    <t>https://docket.images.azcc.gov/E000048953.pdf</t>
  </si>
  <si>
    <t>1511021000</t>
  </si>
  <si>
    <t>No MEP R3-47 ($393.92)</t>
  </si>
  <si>
    <t>Please contact customer regarding rate options. Participated in public comment session on 1/20, Docketed 2x</t>
  </si>
  <si>
    <t>Keithly</t>
  </si>
  <si>
    <t>https://docket.images.azcc.gov/E000048950.pdf</t>
  </si>
  <si>
    <t>2146811000</t>
  </si>
  <si>
    <t>???</t>
  </si>
  <si>
    <t xml:space="preserve">Let's not California our state. As a republican I know that you'r first instinct is to help the people of Arizona not to line APS pockets. </t>
  </si>
  <si>
    <t>Cook</t>
  </si>
  <si>
    <t>$5 billion scheme to build a pipeline to bring gas from Texas, they're moving Arizona away from a clean energy future</t>
  </si>
  <si>
    <t>https://docket.images.azcc.gov/E000048958.pdf</t>
  </si>
  <si>
    <t>Gerheauser</t>
  </si>
  <si>
    <t>Why aren't savings from the alternate sources applied to customers, or invested in more alternate sources?</t>
  </si>
  <si>
    <t>0470347729</t>
  </si>
  <si>
    <t>Spear</t>
  </si>
  <si>
    <t>I don't think it is right for the existing residential homes to foot the bill in the form of rate increases for new residential and new commercial development.</t>
  </si>
  <si>
    <t>6336530000</t>
  </si>
  <si>
    <t>Chaison</t>
  </si>
  <si>
    <t>Please don't raise my rates! l can't afford the rates now! Help!</t>
  </si>
  <si>
    <t>Gloria</t>
  </si>
  <si>
    <t>They are already initially to high '??</t>
  </si>
  <si>
    <t>Jeana</t>
  </si>
  <si>
    <t xml:space="preserve">Over the past 12 months our electricy expenses have totaled under $5,000 for a family of five, despite having no major electricity draws or unusually high usage. </t>
  </si>
  <si>
    <t>3115810000</t>
  </si>
  <si>
    <t>Bollinger</t>
  </si>
  <si>
    <t>You want to raise but what are you going to tell disabled people like me that are basically trying to stay afloat</t>
  </si>
  <si>
    <t>5696755909</t>
  </si>
  <si>
    <t>No MEP TOUE-47 ($384.68)</t>
  </si>
  <si>
    <t>Hudson</t>
  </si>
  <si>
    <t xml:space="preserve"> it's impossible for the average Arizona. To afford electricity , if they continue to do this every single year.</t>
  </si>
  <si>
    <t>8552949923</t>
  </si>
  <si>
    <t>RTOUE</t>
  </si>
  <si>
    <t>No MEP R3-47 ($641.78)</t>
  </si>
  <si>
    <t>Gardella</t>
  </si>
  <si>
    <t>An average of $20 being added to simmer until bill will make it almost unmanageable for residents on a fixed income.</t>
  </si>
  <si>
    <t>https://docket.images.azcc.gov/E000048995.pdf</t>
  </si>
  <si>
    <t>2196530000</t>
  </si>
  <si>
    <t>Zamora</t>
  </si>
  <si>
    <t>Jeannette</t>
  </si>
  <si>
    <t>I am a retired individual who really can't afford the rate hikes that you continue to add. Tell the good people of Arizona why the hikes are so high</t>
  </si>
  <si>
    <t>3750358464</t>
  </si>
  <si>
    <t>Adena</t>
  </si>
  <si>
    <t>I live on a fixed income. Take care of an 82-year-old man you continuously increase these rates. I am unable to sustain payments so consider this my hardship letter if rates go up.</t>
  </si>
  <si>
    <t>3381172505</t>
  </si>
  <si>
    <t>Aho</t>
  </si>
  <si>
    <t>Tammy</t>
  </si>
  <si>
    <t>I'm currently 3 months behind and I've called every publlis assistance agency for help. Rate hikes will for sure 100% cut my electric off for my family. When is enough enough???</t>
  </si>
  <si>
    <t>8823390000</t>
  </si>
  <si>
    <t>Raggio</t>
  </si>
  <si>
    <t xml:space="preserve">Family of 6... I've already seen enough increases over the years that l'm constantly having to decide how to move my budget around to adjust for rising power costs. </t>
  </si>
  <si>
    <t>https://docket.images.azcc.gov/E000048963.pdf</t>
  </si>
  <si>
    <t>2493851000</t>
  </si>
  <si>
    <t>Murad</t>
  </si>
  <si>
    <t xml:space="preserve">I live in a 2-bedroom, 2-bathroom unit, yet last summer my bill was as high as someone living in a 2,000 sq. ft. house. The tier system they use is also a mess. </t>
  </si>
  <si>
    <t>This customer was re-assigned from Tier 1 to Tier 2. Likely not their best rate. Needs 3 months of data to see if RTOUE or R3 would be better.</t>
  </si>
  <si>
    <t>Maillie</t>
  </si>
  <si>
    <t xml:space="preserve">I work part time since 2023 march when I lost my job due to an accident. I help take care of a 73yr. cripple that requires 24/7/365 care. </t>
  </si>
  <si>
    <t>Vitagliano</t>
  </si>
  <si>
    <t>Lori</t>
  </si>
  <si>
    <t>As a teacher I can barely afford the costs of electricity as is let alone with a 14% increase.</t>
  </si>
  <si>
    <t>https://images.edocket.azcc.gov/docketpdf/E000049005.pdf</t>
  </si>
  <si>
    <t>6253351000</t>
  </si>
  <si>
    <t>Cortez</t>
  </si>
  <si>
    <t>They already got a hike no more greed please</t>
  </si>
  <si>
    <t>3425146909</t>
  </si>
  <si>
    <t>Deborah</t>
  </si>
  <si>
    <t>I am one of the many retired members living here and feel that they ahve taken advantage of the people long enough</t>
  </si>
  <si>
    <t>https://docket.images.azcc.gov/E000048921.pdf</t>
  </si>
  <si>
    <t>Parkhurst</t>
  </si>
  <si>
    <t>Phil</t>
  </si>
  <si>
    <t>APS's Continued quest for rate increases must be stopped.either they are guilty of outlandish greed or are incredibly inefficient</t>
  </si>
  <si>
    <t>9163322510</t>
  </si>
  <si>
    <t>Holmes</t>
  </si>
  <si>
    <t>They are selling there power to California at a profit. They should be cost conscious of the people of AZ!</t>
  </si>
  <si>
    <t>6608681161</t>
  </si>
  <si>
    <t>Perez</t>
  </si>
  <si>
    <t>Martha</t>
  </si>
  <si>
    <t>Have a heart in Jesus Christ we beg for lower cost. Please help American people with solar is the best option for all if</t>
  </si>
  <si>
    <t>Bingham</t>
  </si>
  <si>
    <t>Why does the commission always side with APS ? When will you side with poor and retired citizens</t>
  </si>
  <si>
    <t>2146939294</t>
  </si>
  <si>
    <t>Yolanda</t>
  </si>
  <si>
    <t>struggling to stay a float and you're trying to add another blow to our lives, NO WAY! Stop this madness and let us be able to feed our families</t>
  </si>
  <si>
    <t>1254845445</t>
  </si>
  <si>
    <t>Palomino</t>
  </si>
  <si>
    <t>Erica</t>
  </si>
  <si>
    <t>The service is expensive.</t>
  </si>
  <si>
    <t>9873429265</t>
  </si>
  <si>
    <t>Spanish Preference</t>
  </si>
  <si>
    <t xml:space="preserve">I worked for a water company at for 27 years in California... people are flocking to AZ which creates huge amounts of revenue. </t>
  </si>
  <si>
    <t>7219224316</t>
  </si>
  <si>
    <t>Munoz</t>
  </si>
  <si>
    <t>Olga</t>
  </si>
  <si>
    <t>Please do not allow APS to rise the rate on electricity.</t>
  </si>
  <si>
    <t>Ann</t>
  </si>
  <si>
    <t xml:space="preserve">As a senior citizen on a very fixed income; aware of help services but qualify for none. I haven't been able to afford red meat for 3 years. </t>
  </si>
  <si>
    <t>8289031000</t>
  </si>
  <si>
    <t>Crnich</t>
  </si>
  <si>
    <t>Betty</t>
  </si>
  <si>
    <t>everyone keep raising prices and the increase they give each year doesn't even begin to help us on cost of living</t>
  </si>
  <si>
    <t>8471280303</t>
  </si>
  <si>
    <t>Richter</t>
  </si>
  <si>
    <t>Klaus</t>
  </si>
  <si>
    <t>I am against the increase APS is planning</t>
  </si>
  <si>
    <t>9120261000</t>
  </si>
  <si>
    <t>EPR6w/ET</t>
  </si>
  <si>
    <t>Hopper</t>
  </si>
  <si>
    <t xml:space="preserve"> I'm on a payment plan now. Paying back the money owed during summer. (Which I can't afford) I still have 2-3 more payments</t>
  </si>
  <si>
    <t>2894811000</t>
  </si>
  <si>
    <t>Reis</t>
  </si>
  <si>
    <t>I am apposed to APS rate hike stop using the inefficient green energy and get more of the power from the PV plant</t>
  </si>
  <si>
    <t>7320710000</t>
  </si>
  <si>
    <t>Velasquez</t>
  </si>
  <si>
    <t>Geordanny</t>
  </si>
  <si>
    <t>APS already earns substantial profits, and raising rates again would place an unfair burden on Arizona households</t>
  </si>
  <si>
    <t>7653356618</t>
  </si>
  <si>
    <t>Orville</t>
  </si>
  <si>
    <t>Laveen</t>
  </si>
  <si>
    <t xml:space="preserve">When is enough enough. The more we give the more they ask for. But our pay as employees remains the same. </t>
  </si>
  <si>
    <t>Devita</t>
  </si>
  <si>
    <t>This company is scamming their customers... newsletter tips, want people to only do their heave use during off hours, they are the AT&amp;T of Arizona</t>
  </si>
  <si>
    <t>Merriam</t>
  </si>
  <si>
    <t>Danyial</t>
  </si>
  <si>
    <t>When you have to decide to cool your home so your babies wont die, or to buy food something is terribly wrong.</t>
  </si>
  <si>
    <t>9190810517</t>
  </si>
  <si>
    <t>Theadora</t>
  </si>
  <si>
    <t>They are charging at least half of the APS charges in taxes on top of the usage charges. That's wrong.</t>
  </si>
  <si>
    <t>6812133768</t>
  </si>
  <si>
    <t>Avery</t>
  </si>
  <si>
    <t>Some of us are barely making ends meet as it is already! Please vote NO to APS!!</t>
  </si>
  <si>
    <t>8747623529</t>
  </si>
  <si>
    <t>Parks</t>
  </si>
  <si>
    <t>Drop some of your expensive sponsorships that benefit few of us and keep your rates the same.</t>
  </si>
  <si>
    <t>6372180000</t>
  </si>
  <si>
    <t>Hubler</t>
  </si>
  <si>
    <t>Sherrie</t>
  </si>
  <si>
    <t xml:space="preserve">Notes company revenue, executive order to re-open Cholla, donations to Katie Hobbs and Kari Lake. </t>
  </si>
  <si>
    <t>0638230000</t>
  </si>
  <si>
    <t>Merrick</t>
  </si>
  <si>
    <t>m against the continuous increase in utilities. The cost of living isn't keeping up with these hikes.</t>
  </si>
  <si>
    <t>May be linked to a closed account in Peoria with a write off balance</t>
  </si>
  <si>
    <t>Nield</t>
  </si>
  <si>
    <t>Carolyn</t>
  </si>
  <si>
    <t xml:space="preserve">Most AZ citizens are like my Mother in law living on a fxed income from Social Security or disability. The prices are getting out of control. </t>
  </si>
  <si>
    <t>Wahlert</t>
  </si>
  <si>
    <t xml:space="preserve">Our living expenses have skyrocketed and it I have to stay cool in summer and warm in the winter. Please don't raise the fees again. </t>
  </si>
  <si>
    <t>3835027127</t>
  </si>
  <si>
    <t>No MEP R3-47 ($173.12)</t>
  </si>
  <si>
    <t>Amaro</t>
  </si>
  <si>
    <t>I have only one limited income to keep my home warm in the winter and especiall cooler in the hot hot summer months</t>
  </si>
  <si>
    <t>2488431000</t>
  </si>
  <si>
    <t>Chrzanowski</t>
  </si>
  <si>
    <t>Alma</t>
  </si>
  <si>
    <t>The average family is struggling enough just to put food on the table...we don't need our power company to "stick it to us",</t>
  </si>
  <si>
    <t>McAnney</t>
  </si>
  <si>
    <t>Congress</t>
  </si>
  <si>
    <t>APS already charges exorbitant fees for poor quality services. We as consumers cannot afford higher prices</t>
  </si>
  <si>
    <t>9193700000</t>
  </si>
  <si>
    <t xml:space="preserve"> I struggle and inconvenience my family trying to keep power bill under 400.00! And most of the time can't.</t>
  </si>
  <si>
    <t>Dunne</t>
  </si>
  <si>
    <t>Utility costs are already high, unaffordable energy costs will hurt our economy.</t>
  </si>
  <si>
    <t>7717350000</t>
  </si>
  <si>
    <t>Wyndy</t>
  </si>
  <si>
    <t>Enough is enough. People are at the limit, trying to make ends meet.</t>
  </si>
  <si>
    <t>5848920000</t>
  </si>
  <si>
    <t>Loiselle</t>
  </si>
  <si>
    <t>Jeffery</t>
  </si>
  <si>
    <t>APS continues to make 100+ million in profit. How much is enough? Till people particularly the elderly on fixed incomes can't afford it in the extreme heat or cold?</t>
  </si>
  <si>
    <t>Corlew</t>
  </si>
  <si>
    <t>We can no longer afford it I will need to sell and move if this continues Can you please give seniors a discount??</t>
  </si>
  <si>
    <t>2946131433</t>
  </si>
  <si>
    <t>Sadolfo</t>
  </si>
  <si>
    <t>As a military veteran and current government employee, we only received a 1% raise for 2026</t>
  </si>
  <si>
    <t>8914350000</t>
  </si>
  <si>
    <t>Harlene</t>
  </si>
  <si>
    <t xml:space="preserve">decide if I want heat or cool or or food and medicines. Using increases are going way over my head. Please help to keep them not going up. </t>
  </si>
  <si>
    <t>9780090000</t>
  </si>
  <si>
    <t>No MEP R3-47 ($66.61)</t>
  </si>
  <si>
    <t>DiGiovanni</t>
  </si>
  <si>
    <t>Vote No and gain some respect and integrity for once in your life.</t>
  </si>
  <si>
    <t>Milinovich</t>
  </si>
  <si>
    <t>Seniors will suffer in the summer heat because they can't afford to cool their homes in the summer.</t>
  </si>
  <si>
    <t>Kenyon</t>
  </si>
  <si>
    <t>From 2023 to 2024 they increase profits by about 400%. Now wanting an 18% increase is just corporate theft from the Arizona residents.</t>
  </si>
  <si>
    <t>Busby</t>
  </si>
  <si>
    <t>Public utilities along with a mortgage and food are necessities. Controlling the cost of these things is a must.</t>
  </si>
  <si>
    <t>3718560000</t>
  </si>
  <si>
    <t>Casillas</t>
  </si>
  <si>
    <t>Danielle Salas</t>
  </si>
  <si>
    <t>It breeds gentrification and pushes out already at risk communities. The last thing our communities need are price hikes.</t>
  </si>
  <si>
    <t>The 14% rate hike your company is asking for is uncalled for. You raised your rate last year.</t>
  </si>
  <si>
    <t>5836280000</t>
  </si>
  <si>
    <t>Don't you think we pay enough for power ? The data centers should pay any increase in power rates.</t>
  </si>
  <si>
    <t>Company already making millions in profits and therefore does not need an increase in revenue.</t>
  </si>
  <si>
    <t>Helie</t>
  </si>
  <si>
    <t>Jay</t>
  </si>
  <si>
    <t>Who in there right mind would vote Democrat and higher rates, there isn't any God nor the people in these price gougers</t>
  </si>
  <si>
    <t>7979387407</t>
  </si>
  <si>
    <t>Hanlon</t>
  </si>
  <si>
    <t>I am a 71 year old senior and my Social security is $956.00 a month. I am having trouble keeping my electric bill paid now</t>
  </si>
  <si>
    <t>1223180000</t>
  </si>
  <si>
    <t>Koukal</t>
  </si>
  <si>
    <t>Autumn</t>
  </si>
  <si>
    <t>ONE MILLION DOLLARS. ONE MILLION DOLLARS base pay is what Our APS CEO's salary is! That's Outrageous!</t>
  </si>
  <si>
    <t>3156865214</t>
  </si>
  <si>
    <t>No MEP R-BASIC ($213.65)</t>
  </si>
  <si>
    <t>Birtciel</t>
  </si>
  <si>
    <t>We can barely afford the electric bills now! No to a rate increase!</t>
  </si>
  <si>
    <t>Mosher</t>
  </si>
  <si>
    <t>Tonia</t>
  </si>
  <si>
    <t>customers cannot afford such a large increase at this time, especially because it has been only a short time since the rates were last raised.</t>
  </si>
  <si>
    <t>Chester</t>
  </si>
  <si>
    <t>When is enough enough ? The price is already at an all time high. No more increase</t>
  </si>
  <si>
    <t>1641700000</t>
  </si>
  <si>
    <t>EPR6w/ECT-2</t>
  </si>
  <si>
    <t>Ricci</t>
  </si>
  <si>
    <t>the cost of everything else skyrocketing someone like me who is 66 yrs old and 100% disabled will be homeless if the rates go up AGAIN!</t>
  </si>
  <si>
    <t>Past account has write off balance</t>
  </si>
  <si>
    <t>Andrea</t>
  </si>
  <si>
    <t xml:space="preserve">we cannot lower the A/C enough to stay cool in the summer. Sleeping in temps above 70 are not optimal for our health and well being and feeling rested. </t>
  </si>
  <si>
    <t>3987590960</t>
  </si>
  <si>
    <t>Andujar</t>
  </si>
  <si>
    <t>I believe that aps should lower the cost because not all of us has the funds to keep paying a lot of money</t>
  </si>
  <si>
    <t>8998382174</t>
  </si>
  <si>
    <t>No MEP RTOUE47 ($64.15)</t>
  </si>
  <si>
    <t>Vallejo</t>
  </si>
  <si>
    <t>David S</t>
  </si>
  <si>
    <t>I could agree to a rate increase if the salaries of the highest paid were lessened and bonuses across the board were eliminated.</t>
  </si>
  <si>
    <t>5752931000</t>
  </si>
  <si>
    <t>Arends</t>
  </si>
  <si>
    <t>TeNisha</t>
  </si>
  <si>
    <t>We have the sun at our disposal. Why isn't APS taking advantage of that to help the consumers that need their services</t>
  </si>
  <si>
    <t>7201057343</t>
  </si>
  <si>
    <t xml:space="preserve">I believe all the data centers you've allowed in our state are the biggest reason for the proposed increase. </t>
  </si>
  <si>
    <t>9059000000</t>
  </si>
  <si>
    <t>No MEP RTOUE47 ($37.10)</t>
  </si>
  <si>
    <t>Kleiner</t>
  </si>
  <si>
    <t>I am sick and tired of APS ripping me off every time you turn around the rates are going up because they can't manage their business</t>
  </si>
  <si>
    <t>8584354754</t>
  </si>
  <si>
    <t>Benge</t>
  </si>
  <si>
    <t>Robert E</t>
  </si>
  <si>
    <t>Power is hi enough</t>
  </si>
  <si>
    <t>7756330000</t>
  </si>
  <si>
    <t>Senior on a fixed income... I will petition to not pass the rate hike. How much more do you need? Will blood be enough?</t>
  </si>
  <si>
    <t>6957903863</t>
  </si>
  <si>
    <t>RCPw/RTOUE</t>
  </si>
  <si>
    <t>Krukovsky</t>
  </si>
  <si>
    <t xml:space="preserve">Aps has raised our bills enough they need to be stopped people on social security can't afford it </t>
  </si>
  <si>
    <t>9085230000</t>
  </si>
  <si>
    <t>Danica</t>
  </si>
  <si>
    <t>Utility prices are high enough and your profit margin is also high enough.</t>
  </si>
  <si>
    <t>3305306760</t>
  </si>
  <si>
    <t>Zickau</t>
  </si>
  <si>
    <t>l'm against the concept of consent price hikes</t>
  </si>
  <si>
    <t>Mitchell</t>
  </si>
  <si>
    <t>Electricity costs are already causing people to go without enough heat.</t>
  </si>
  <si>
    <t>Foutch</t>
  </si>
  <si>
    <t xml:space="preserve"> Everytime we turn around our rates go up. Enough is enough</t>
  </si>
  <si>
    <t>8037650000</t>
  </si>
  <si>
    <t>Young Town</t>
  </si>
  <si>
    <t>Against</t>
  </si>
  <si>
    <t>Rodger</t>
  </si>
  <si>
    <t>Electric need to come down on price the power plant in joe city need to be operation at 100 %</t>
  </si>
  <si>
    <t>Cassidy</t>
  </si>
  <si>
    <t>In my opinion APS rates are already crippling high for a lot of people</t>
  </si>
  <si>
    <t>8774200000</t>
  </si>
  <si>
    <t>Don't raise rates!</t>
  </si>
  <si>
    <t>4250340000</t>
  </si>
  <si>
    <t>Varga</t>
  </si>
  <si>
    <t>affordable access to power can be a matter of life and death.</t>
  </si>
  <si>
    <t>Bugenski</t>
  </si>
  <si>
    <t>I'm against the rate hike we are expensive enough</t>
  </si>
  <si>
    <t>3323516971</t>
  </si>
  <si>
    <t>We already pay for high electric bills why raise it? Why not help the community</t>
  </si>
  <si>
    <t>Brewer</t>
  </si>
  <si>
    <t>No price increase. APS is price gauging. They spent millions to keep solar energy out of Arizona.</t>
  </si>
  <si>
    <t>5904989349</t>
  </si>
  <si>
    <t>Tracy</t>
  </si>
  <si>
    <t>Stop this current rate hike</t>
  </si>
  <si>
    <t>7017440000</t>
  </si>
  <si>
    <t>Herrington</t>
  </si>
  <si>
    <t>Holly</t>
  </si>
  <si>
    <t>Aps is already making huge profits. Americans are already struggling. 14% would just hurt already struggling</t>
  </si>
  <si>
    <t>Masingale</t>
  </si>
  <si>
    <t>Drayanna</t>
  </si>
  <si>
    <t>Seniors; We are already down to remen daily if we want our Rx or no meds if we eat a roast.</t>
  </si>
  <si>
    <t>7135791485</t>
  </si>
  <si>
    <t>Terra</t>
  </si>
  <si>
    <t xml:space="preserve">I am against a rate increase for APS or SRP or any other peivate entity wishing to raise rates </t>
  </si>
  <si>
    <t>Rasor</t>
  </si>
  <si>
    <t>Against yet ANOTHER rate increase.</t>
  </si>
  <si>
    <t>7167141848</t>
  </si>
  <si>
    <t>Noe</t>
  </si>
  <si>
    <t>Kelli</t>
  </si>
  <si>
    <t>APS is receiving over millions of dollars and this price increase would negatively affect our families</t>
  </si>
  <si>
    <t>7837541989</t>
  </si>
  <si>
    <t>Guerena</t>
  </si>
  <si>
    <t>We don't need a rate increase. We pay enough as is. We have other things to pay for as well.</t>
  </si>
  <si>
    <t>4728431000</t>
  </si>
  <si>
    <t xml:space="preserve"> l'm a senior citizen on a fixed income and they are already profiting millions of dollars a year</t>
  </si>
  <si>
    <t>1584750000</t>
  </si>
  <si>
    <t>Jasmyne</t>
  </si>
  <si>
    <t xml:space="preserve">I am a single mom of 6.  I am already working two jobs just to handle the demand of the bills and other necessities </t>
  </si>
  <si>
    <t>Richardson</t>
  </si>
  <si>
    <t>This hike will hurt me and make me choose food or electricity. We do everything we can to conserve energy</t>
  </si>
  <si>
    <t>9393011000</t>
  </si>
  <si>
    <t>No MEP R3-47 ($239.72)</t>
  </si>
  <si>
    <t>Terrones</t>
  </si>
  <si>
    <t>Sharice</t>
  </si>
  <si>
    <t>I urge the commission and APS to consider alternative solutions that do not disproportionately impact customers</t>
  </si>
  <si>
    <t>8421411000</t>
  </si>
  <si>
    <t>Lederer</t>
  </si>
  <si>
    <t>Gordon</t>
  </si>
  <si>
    <t>Economy is barely catching up and we've just recently had a rate hike of 8% in 2024.</t>
  </si>
  <si>
    <t>Lawhead</t>
  </si>
  <si>
    <t>Jon</t>
  </si>
  <si>
    <t>l'll not pay more. l'II go off the grid</t>
  </si>
  <si>
    <t>1348524311</t>
  </si>
  <si>
    <t>No MEP R-BASIC ($73.44)</t>
  </si>
  <si>
    <t>Colcord</t>
  </si>
  <si>
    <t>APS already makes millions off of us. Corporate greed is a pox on society and the people deserve better.</t>
  </si>
  <si>
    <t>9329250000</t>
  </si>
  <si>
    <t>please take a minute or two and try to remember what it was like to get through the day when you don't have all the money in the world</t>
  </si>
  <si>
    <t>3529182418</t>
  </si>
  <si>
    <t>No MEP R-XS ($159.52)</t>
  </si>
  <si>
    <t>Rothanburg</t>
  </si>
  <si>
    <t>I have not turned my heat on this winter because I can't afford it. Yet their pockets and those of stockholders get fatter</t>
  </si>
  <si>
    <t>8128520000</t>
  </si>
  <si>
    <t>Sisco</t>
  </si>
  <si>
    <t>Christina</t>
  </si>
  <si>
    <t xml:space="preserve">My husband and I are retired. We can barely pay for our utilities, food, mortgage and meds. </t>
  </si>
  <si>
    <t>3918610000</t>
  </si>
  <si>
    <t>Perryman</t>
  </si>
  <si>
    <t xml:space="preserve">I also believe the higher cost of electricity is caused by electric car use. The country was not prepared for this at all. The grid is too small so APS... make prices higher. </t>
  </si>
  <si>
    <t xml:space="preserve">1935101000 </t>
  </si>
  <si>
    <t>Saliba</t>
  </si>
  <si>
    <t>(APS) already profits millions, but they're trying to raise our prices even more</t>
  </si>
  <si>
    <t>8253626106</t>
  </si>
  <si>
    <t>Maribel</t>
  </si>
  <si>
    <t>Bills are already high I'm living pay check to pay check. Please don't raise the price up.</t>
  </si>
  <si>
    <t>You people keep raising prices having no concern for the customers and are only focused on your shareholders</t>
  </si>
  <si>
    <t>5811606019</t>
  </si>
  <si>
    <t>Sours</t>
  </si>
  <si>
    <t>No NetZero... Keep energy cheap and affordable and reliable!! Nobody wants blackouts when it's 114 at night time!</t>
  </si>
  <si>
    <t>4886048295</t>
  </si>
  <si>
    <t>Kasten</t>
  </si>
  <si>
    <t>Surpsie</t>
  </si>
  <si>
    <t>No other company in the world gets to increase rates over 20% in a years time. If you make record profits</t>
  </si>
  <si>
    <t>9312211000</t>
  </si>
  <si>
    <t>Hatfield</t>
  </si>
  <si>
    <t>lm a handicapped senior with medical problems and I live on sandi so I have no money for a increase</t>
  </si>
  <si>
    <t>1293888411</t>
  </si>
  <si>
    <t>Zazzi</t>
  </si>
  <si>
    <t>My APS bill is so high . I struggle every month just to get it paid.</t>
  </si>
  <si>
    <t>3587630000</t>
  </si>
  <si>
    <t>its CEO almost $15,000,00. Seriously. And we have to pay an increase on a $30,000 salary a year.</t>
  </si>
  <si>
    <t>Rates have risen every year up to 5% We even have solar and are still paying over 200.00</t>
  </si>
  <si>
    <t>7156731000</t>
  </si>
  <si>
    <t>They say the grid needs improvement and corporations pay little or nothing ; they need to pay for improvements not residential</t>
  </si>
  <si>
    <t>Shauna</t>
  </si>
  <si>
    <t>Please don't raise prices I'm already trying my hardest at 64 years old and working restaurants</t>
  </si>
  <si>
    <t>8951210000</t>
  </si>
  <si>
    <t>Viggiani</t>
  </si>
  <si>
    <t>Karineh</t>
  </si>
  <si>
    <t>My bill is already high and for single seniors that are living off of social security it will be almost impossible</t>
  </si>
  <si>
    <t>0820101000</t>
  </si>
  <si>
    <t>Stop the price increases let the utilities take it out of thief not consumers pockets</t>
  </si>
  <si>
    <t>Bell</t>
  </si>
  <si>
    <t>Esther</t>
  </si>
  <si>
    <t>Prices are too high already being on a fixed income it will hurt</t>
  </si>
  <si>
    <t>9614631000</t>
  </si>
  <si>
    <t>No MEP R3-47 ($97.32)</t>
  </si>
  <si>
    <t>Weiss</t>
  </si>
  <si>
    <t>Please stop raising our electric bills no one can afford this . Plus the big shots are getting very rich</t>
  </si>
  <si>
    <t>0395270000</t>
  </si>
  <si>
    <t xml:space="preserve">Bradley </t>
  </si>
  <si>
    <t xml:space="preserve">The company is already making so much and instead of working to reduce costs, they just go for price increases. </t>
  </si>
  <si>
    <t>0676710000</t>
  </si>
  <si>
    <t>Zavala</t>
  </si>
  <si>
    <t>everything is so expensive we can't no longer are able to support ourselves on the income we receive from social security</t>
  </si>
  <si>
    <t>4591520000</t>
  </si>
  <si>
    <t>Lorrie</t>
  </si>
  <si>
    <t>Do not support increase for APS Please!!!!!!</t>
  </si>
  <si>
    <t>9044440000</t>
  </si>
  <si>
    <t>Qiyan</t>
  </si>
  <si>
    <t>Bee</t>
  </si>
  <si>
    <t>APS NEEDS TO INVEST IN WINDMILL POWER SOURCE.</t>
  </si>
  <si>
    <t>Stewart</t>
  </si>
  <si>
    <t>They dent need a rate increase. They make millions in profits. Consumers deserve a rate cut!</t>
  </si>
  <si>
    <t>6124887026</t>
  </si>
  <si>
    <t>Wilkes</t>
  </si>
  <si>
    <t>Give us all a break! Prices way too high!</t>
  </si>
  <si>
    <t>Ong</t>
  </si>
  <si>
    <t>Please do not approve this, many of us are already living paycheck to paycheck for these billionaires to line their pockets</t>
  </si>
  <si>
    <t>7862501317</t>
  </si>
  <si>
    <t>La Fever</t>
  </si>
  <si>
    <t>we are already getting taxed a bunch I can varely afford the bill now</t>
  </si>
  <si>
    <t>In today's improved economy (just ask Trump) and with the help from AI, APS should be able to figure out how to keep expenses down</t>
  </si>
  <si>
    <t>Use least amount of electricity, best plan, hard time now paying my bill</t>
  </si>
  <si>
    <t>3334230000</t>
  </si>
  <si>
    <t>Jacobs</t>
  </si>
  <si>
    <t>Rodney</t>
  </si>
  <si>
    <t>They claim to be honest and trustworthy to help it's customers but at the same time increase utilities with a smile</t>
  </si>
  <si>
    <t>Marilyn</t>
  </si>
  <si>
    <t>The Corporation Commission has burdened the rate payers of Arizona for years.</t>
  </si>
  <si>
    <t>1190311000</t>
  </si>
  <si>
    <t>Heller Walstra</t>
  </si>
  <si>
    <t>MORE hardship than already has been committed, I want to use harsher language, but am restraining myself</t>
  </si>
  <si>
    <t>I am widowed, on a fixed income. My income dropped in half after my husband passed away. My income pretty much stays the same</t>
  </si>
  <si>
    <t>3107488641</t>
  </si>
  <si>
    <t>Paulden</t>
  </si>
  <si>
    <t xml:space="preserve">The current rates are high enough and any increase would put an unfair burden on those of us in the lower income bracket. </t>
  </si>
  <si>
    <t>4148665323</t>
  </si>
  <si>
    <t>Delores</t>
  </si>
  <si>
    <t>Senior on a fixed income with UTILITIES CONSTANTLY GOING UP..CAN WE PLEASE GET A BREAK...PLEASE.. THANK YOU AND</t>
  </si>
  <si>
    <t>3166080000</t>
  </si>
  <si>
    <t>Monroe</t>
  </si>
  <si>
    <t>Constance</t>
  </si>
  <si>
    <t>We are on a fixed income and can't afford this utilities hike. Our golden years is now fools gold .</t>
  </si>
  <si>
    <t>No hike needed</t>
  </si>
  <si>
    <t>Buglione</t>
  </si>
  <si>
    <t>Jerald</t>
  </si>
  <si>
    <t xml:space="preserve">Once the economy is better we can talk about it. Everything right now is in a up wing. So please wait. </t>
  </si>
  <si>
    <t>8641426607</t>
  </si>
  <si>
    <t>Mer</t>
  </si>
  <si>
    <t>watch and say maybe this one will break them. Then start raking in all your mafia corporation greed blood money</t>
  </si>
  <si>
    <t>Crow</t>
  </si>
  <si>
    <t>Becky</t>
  </si>
  <si>
    <t>It can mean children won't have heat, people could end up losing their kids because of this. Money only goes so far</t>
  </si>
  <si>
    <t>Cannon</t>
  </si>
  <si>
    <t>We the people cannot, for the most part, cannot afford a raise on our port bills. The rich are already rich</t>
  </si>
  <si>
    <t>No More Rate hikes. We are paying for their upgrades without them having to spend from their bottom line.</t>
  </si>
  <si>
    <t>7220682240</t>
  </si>
  <si>
    <t>Shirk</t>
  </si>
  <si>
    <t>There presently no justification for an increase in utility rates. The present profit level meets their operating needs</t>
  </si>
  <si>
    <t>5802184548</t>
  </si>
  <si>
    <t>Corinne</t>
  </si>
  <si>
    <t xml:space="preserve">Proces on everything has increased enough and wages for my work aren't changing with it. </t>
  </si>
  <si>
    <t>Beas</t>
  </si>
  <si>
    <t>Kristina</t>
  </si>
  <si>
    <t>increase in cost is hurting my family to the point we almost get our services shut down.</t>
  </si>
  <si>
    <t>Pittenridge</t>
  </si>
  <si>
    <t>My summer bills are already between $500-$600, I have solar (another $110) that APS buys for pennies on the dollar</t>
  </si>
  <si>
    <t>7106518603</t>
  </si>
  <si>
    <t>Denning</t>
  </si>
  <si>
    <t>Charlene (Mark)</t>
  </si>
  <si>
    <t>HAVE NO MONEY TO LIVE ON. An a.p.s. keep sucking and sucking more money out of us elderly and disable.</t>
  </si>
  <si>
    <t>2138130000</t>
  </si>
  <si>
    <t>May need information for additional assistance programs? COR filed ACC complaint 3/26/2025</t>
  </si>
  <si>
    <t>What we need is more reliable service before we ever discuss rate increases</t>
  </si>
  <si>
    <t>3853770000</t>
  </si>
  <si>
    <t>Multiple accts</t>
  </si>
  <si>
    <t>I'm begging you to freeze the price increase. We simply can't afford to be squeezed any more,</t>
  </si>
  <si>
    <t>0961541000</t>
  </si>
  <si>
    <t>Isis</t>
  </si>
  <si>
    <t>After the emergency heat warning is over, I shouldn't be paying off my light bill from a few months ago. It's sick to profit off of a necessity</t>
  </si>
  <si>
    <t>Fought</t>
  </si>
  <si>
    <t>Jacquelyn</t>
  </si>
  <si>
    <t xml:space="preserve">Should be rejected unless APS demonstrates that residential customers are not subsidizing private industrial development. Quotes AG... </t>
  </si>
  <si>
    <t>Weston</t>
  </si>
  <si>
    <t>Your CEO and CFO and all the top executives are making a fortune off of us! Please think of the average Arizonans.</t>
  </si>
  <si>
    <t>5044377438</t>
  </si>
  <si>
    <t>Caruso</t>
  </si>
  <si>
    <t xml:space="preserve">Aps can't keep my power going as it is and want to raise rates. When the service gets better then we can talk about the 15% insrease. </t>
  </si>
  <si>
    <t>Ellingson</t>
  </si>
  <si>
    <t xml:space="preserve"> It is already so expensive - when I lived in MN it was cheaper to heat a four story house in the middle of a snow storm!</t>
  </si>
  <si>
    <t>Please stop raising the utility rates</t>
  </si>
  <si>
    <t>0970302756</t>
  </si>
  <si>
    <t>Melvinna</t>
  </si>
  <si>
    <t xml:space="preserve"> it's time to humble oneself because God is coming to humble those who feel they are in control</t>
  </si>
  <si>
    <t>4067480384</t>
  </si>
  <si>
    <t>Escalera</t>
  </si>
  <si>
    <t>Arturo</t>
  </si>
  <si>
    <t>We are against any more rate hikes from APS</t>
  </si>
  <si>
    <t>Corrales</t>
  </si>
  <si>
    <t>please don't let asp rise the price on our electric bill and l don't find it fair</t>
  </si>
  <si>
    <t>2249152989</t>
  </si>
  <si>
    <t>No MEP R3-47 ($170.72)</t>
  </si>
  <si>
    <t>DeMarco</t>
  </si>
  <si>
    <t>As it is as a senior it is hard enough to pay the electric bill now without a raise. Enough is enough.</t>
  </si>
  <si>
    <t>2175301000</t>
  </si>
  <si>
    <t>Sluis</t>
  </si>
  <si>
    <t xml:space="preserve">I think the service fees are already very high. It is hard enough to pay the bills. </t>
  </si>
  <si>
    <t>7684247240</t>
  </si>
  <si>
    <t>Hopley</t>
  </si>
  <si>
    <t>The increases in utilities are ridiculous. Our income is fixed and does not increase</t>
  </si>
  <si>
    <t>Gier</t>
  </si>
  <si>
    <t>Sandye</t>
  </si>
  <si>
    <t>Pine</t>
  </si>
  <si>
    <t>Make it STOP please! Enough is enough. The burden is too much. These constant rate hikes are breaking us</t>
  </si>
  <si>
    <t>5031931000</t>
  </si>
  <si>
    <t>Not Eligible - Non-AMI Analog</t>
  </si>
  <si>
    <t>Boyle</t>
  </si>
  <si>
    <t>nothing to do with improving services. They are pricing consumers right out of living.</t>
  </si>
  <si>
    <t>7962260520</t>
  </si>
  <si>
    <t>Chaparro</t>
  </si>
  <si>
    <t>Giselle</t>
  </si>
  <si>
    <t>we are being censored and how none of the people we voted for care about the citizens of Arizona. May I remind them we pay their underseved salaries</t>
  </si>
  <si>
    <t>Gayle</t>
  </si>
  <si>
    <t>APS is raping the customers! The educated have not forgotten the APS &amp; Republicans scandal just a few years ago! It's time to stop the corruption.</t>
  </si>
  <si>
    <t>0457800000</t>
  </si>
  <si>
    <t>Luchini</t>
  </si>
  <si>
    <t>Lining the pockets of the people at the top, but if there's no substantial change in infrastructure, there's no reason to increase our bills</t>
  </si>
  <si>
    <t>2197965965</t>
  </si>
  <si>
    <t>Vago</t>
  </si>
  <si>
    <t>Most of us are going to have to pay around 50.00 more per month than 2 years ago. When is the public going to get a break.</t>
  </si>
  <si>
    <t>7653281462</t>
  </si>
  <si>
    <t>Chavira</t>
  </si>
  <si>
    <t>In this day &amp; age of changes to our atmosphere, climate shifting to Mid Central, Southwestern states in our Country.</t>
  </si>
  <si>
    <t>Temp</t>
  </si>
  <si>
    <t>People can't afford things as it is. Please don't raise rates on our utilities.</t>
  </si>
  <si>
    <t>Alcaraz</t>
  </si>
  <si>
    <t>get rid of all the unnecessary fees and reduce the salary of your executives and board of directors.</t>
  </si>
  <si>
    <t>Dannen</t>
  </si>
  <si>
    <t xml:space="preserve">APS needs to start cutting costs just like the rest of us... instead of running a poor business model and coming running to the Corporation Commission. </t>
  </si>
  <si>
    <t>7538194993</t>
  </si>
  <si>
    <t>Bapst</t>
  </si>
  <si>
    <t xml:space="preserve">I'm a single mom - I can't even afford internet let alone an increase in one of my normal costs. </t>
  </si>
  <si>
    <t>8063548465</t>
  </si>
  <si>
    <t>Gruhlke</t>
  </si>
  <si>
    <t>Why? Are energy prices not high enough? in an era of gauging, be less greedy.</t>
  </si>
  <si>
    <t>Brunton</t>
  </si>
  <si>
    <t>It's hard to keep up with the cost in the heat of Arizona let alone for the rest of the year. I have a family of four and it's really hard</t>
  </si>
  <si>
    <t>Nepley</t>
  </si>
  <si>
    <t>Claudia</t>
  </si>
  <si>
    <t>Best plan; solar panels, turn off electric from 4-7, affects my fibromyalgia.</t>
  </si>
  <si>
    <t>Ariel</t>
  </si>
  <si>
    <t>APS already profits millions off us. There is no other reason to raise rates other than greed.</t>
  </si>
  <si>
    <t>Stevens</t>
  </si>
  <si>
    <t>There is no need to raise consumer rates. The need is for APS to cut the fat!</t>
  </si>
  <si>
    <t>Kamb</t>
  </si>
  <si>
    <t>If the parent company is unable to run the utility without requiring huge profits from the public need, perhaps they should sell to the State of Arizona</t>
  </si>
  <si>
    <t>7376875088</t>
  </si>
  <si>
    <t>Mikles</t>
  </si>
  <si>
    <t>Merry</t>
  </si>
  <si>
    <t>I invested in solar and they still charge excessive amounts in the summer when it's high usage in Arizona</t>
  </si>
  <si>
    <t>9237480000</t>
  </si>
  <si>
    <t>company shouldn't be benefiting from their customers as everything is so expensive and we no longe can afford anything with social security income</t>
  </si>
  <si>
    <t xml:space="preserve">4591520000 </t>
  </si>
  <si>
    <t>Griffin</t>
  </si>
  <si>
    <t>Robert S</t>
  </si>
  <si>
    <t>We are Directors if the Southwest Indian Missionary Association. APS classifies the chapel and SWIMA office accounts as commercial. We are NOT a store or a business</t>
  </si>
  <si>
    <t>Jorgensen</t>
  </si>
  <si>
    <t>Faith</t>
  </si>
  <si>
    <t>We already pay incredibly high energy prices in the summer. I do not approve of any increases in prices.</t>
  </si>
  <si>
    <t>3686490000</t>
  </si>
  <si>
    <t>Quit with the money grab and lower our bills, charge the data centers and other high users more</t>
  </si>
  <si>
    <t>https://docket.images.azcc.gov/E000049100.pdf</t>
  </si>
  <si>
    <t>Instead of raising utilities, why can't you find out how to recycle cables, copper, metal and use it like SRP. I am a retired... can't afford the rate hikes</t>
  </si>
  <si>
    <t>This seems to be a total disregard for the welfare of others with such a ridiculous increase. l'd like for someone, anyone to explain why</t>
  </si>
  <si>
    <t>My experience with APS has been defined by a total lack of transparency and poor service</t>
  </si>
  <si>
    <t>4132830000</t>
  </si>
  <si>
    <t>Gajon</t>
  </si>
  <si>
    <t>Anaisabel</t>
  </si>
  <si>
    <t>Everything is too expensive. It is impossible to afford electricity in this heat as is,</t>
  </si>
  <si>
    <t>0339264588</t>
  </si>
  <si>
    <t>No MEP R3-47 ($107.12)</t>
  </si>
  <si>
    <t>Please contact customer regarding plan options and additional assistance programs?</t>
  </si>
  <si>
    <t>Prices continue to go up as l currently sit in a power outage at 8:30pm which was scheduled with less than 24 hours notice.</t>
  </si>
  <si>
    <t>Pittman</t>
  </si>
  <si>
    <t>you've supported everything the federal government has done in the last year. Eat your costs, provide your public service</t>
  </si>
  <si>
    <t>9771481818</t>
  </si>
  <si>
    <t>The continual increase of pricing is hurting the community more than they know.</t>
  </si>
  <si>
    <t>STOP RAISING THE PRICES WE CANT KEEP DOING THIS</t>
  </si>
  <si>
    <t>Carmody</t>
  </si>
  <si>
    <t>I am 75 years old and living on a fixed income. APS is constantly raising the electric bill because of political nonsense</t>
  </si>
  <si>
    <t>Bright</t>
  </si>
  <si>
    <t>it is wrong to ask for more when their profits are through the roof. People are already struggling to pay their basic bills</t>
  </si>
  <si>
    <t xml:space="preserve">My fiance and I are raising two kids as a middle-class household, but with these increasing costs, it doesn't even feel like we are middle class anymore. </t>
  </si>
  <si>
    <t>1970970000</t>
  </si>
  <si>
    <t>Smouse</t>
  </si>
  <si>
    <t>Rachelle</t>
  </si>
  <si>
    <t xml:space="preserve"> I am a public school teacher and my pay cannot keep up. AC set to 80 degrees, got solar</t>
  </si>
  <si>
    <t>Crozier</t>
  </si>
  <si>
    <t xml:space="preserve">We are living paycheck to paycheck, but it's just over the limit for help with our utilities. We live in a small trailer in a RV park. </t>
  </si>
  <si>
    <t>1023732719</t>
  </si>
  <si>
    <t>Kolodinsky</t>
  </si>
  <si>
    <t>seeking to skirt the historical process of public comment and rate making procedure. Particularly in light of the fact that APS has not followed through with prior commitment to clean energy</t>
  </si>
  <si>
    <t>7279540000</t>
  </si>
  <si>
    <t>Alsbrook</t>
  </si>
  <si>
    <t>Darlene</t>
  </si>
  <si>
    <t>The  mental &amp; emotional impact of rising costs in each of these areas is contributing to the decline in mental health and directly to the riots &amp; civil unrest</t>
  </si>
  <si>
    <t>2697756949</t>
  </si>
  <si>
    <t>They already got a hike no more greed please.</t>
  </si>
  <si>
    <t>APS wants to increase cost of payback of line use on transmission of solar that they sell to others at a higer rate.</t>
  </si>
  <si>
    <t>1694440000</t>
  </si>
  <si>
    <t>Schrieber</t>
  </si>
  <si>
    <t>Silvia</t>
  </si>
  <si>
    <t>Cut back other places and do not charge residents one penny for the construction of data centers</t>
  </si>
  <si>
    <t>https://docket.images.azcc.gov/E000049142.pdf</t>
  </si>
  <si>
    <t>Tolmachoff</t>
  </si>
  <si>
    <t>As a mom helping to support a family of six, our electricity costs are already overwhelming</t>
  </si>
  <si>
    <t>2159340000</t>
  </si>
  <si>
    <t>Gorski</t>
  </si>
  <si>
    <t>Rates continue rising every year without any protection for consumers. We need help lowering rates.</t>
  </si>
  <si>
    <t>3984073978</t>
  </si>
  <si>
    <t>No MEP R3-47 ($106.33)</t>
  </si>
  <si>
    <t>Take care of an 82-year-old man you continuously increase these rates... will need assistance.</t>
  </si>
  <si>
    <t>asking ratepayers to absorb such a significant increase while the utility continues to receive guaranteed returns and protected profits-raises serious concerns about fairness,</t>
  </si>
  <si>
    <t>3846299964</t>
  </si>
  <si>
    <t>Ulreich-Power</t>
  </si>
  <si>
    <t>Siobhan</t>
  </si>
  <si>
    <t>Do NOT pass the bill to increase our costs. Encourage solar power - Arizona should be a leader in solar, not dragging our feet!</t>
  </si>
  <si>
    <t>8629551000</t>
  </si>
  <si>
    <t>If the ACC votes to allow APS to have ANY increase again, I can assure you not one Republican will be voted into office again. Y</t>
  </si>
  <si>
    <t>https://docket.images.azcc.gov/E000049112.pdf</t>
  </si>
  <si>
    <t xml:space="preserve"> I have emailed you numerous times stating how STRONGLY I AM AGAINST ANY RATE INCREASE FOR APS. I will be waiting for you to email me with the requested information. </t>
  </si>
  <si>
    <t>https://docket.images.azcc.gov/E000049115.pdf</t>
  </si>
  <si>
    <t>5494061000</t>
  </si>
  <si>
    <t>Rosalina</t>
  </si>
  <si>
    <t>A $700 light bill for a 1,691 square foot house is outrageous. Why should we need to depend on (assistance) programs...</t>
  </si>
  <si>
    <t>https://docket.images.azcc.gov/E000049211.pdf</t>
  </si>
  <si>
    <t>Haas</t>
  </si>
  <si>
    <t>(Rates) are well above inflation and need to be skated back. These large increases should be placed on all the large data centers</t>
  </si>
  <si>
    <t>Jan</t>
  </si>
  <si>
    <t>we just can not afford all these increases. Especially not when we see the savings being passed on to the large customers in terms of lower rates.</t>
  </si>
  <si>
    <t>https://docket.images.azcc.gov/E000049176.pdf</t>
  </si>
  <si>
    <t>Larson</t>
  </si>
  <si>
    <t>As someone who works n education, I am often home during the summer months and the ever rising costs for utilities sting quite a</t>
  </si>
  <si>
    <t>Thayer</t>
  </si>
  <si>
    <t>No on APS rate increase until they stop all advertising at the Phoenix Suns! Do they have a suite there? No to data centers</t>
  </si>
  <si>
    <t>Rosas</t>
  </si>
  <si>
    <t>Snowflake</t>
  </si>
  <si>
    <t>Prioritize affordability and bill stability for residential and rural customers Reliable electricity is essential, but it must remain affordable.</t>
  </si>
  <si>
    <t>https://docket.images.azcc.gov/E000049239.pdf</t>
  </si>
  <si>
    <t>Bright Future?</t>
  </si>
  <si>
    <t>I propose aperformance-based interconnection standard centered on Industrial Thermal Symbiosis</t>
  </si>
  <si>
    <t>https://docket.images.azcc.gov/E000049228.pdf</t>
  </si>
  <si>
    <t>Wederski</t>
  </si>
  <si>
    <t>Lonnie and Billie</t>
  </si>
  <si>
    <t>I'm writing to request a no vot on the FRM which would allow APS free reign to raise rates</t>
  </si>
  <si>
    <t>https://docket.images.azcc.gov/E000049260.pdf</t>
  </si>
  <si>
    <t>Maura</t>
  </si>
  <si>
    <t>*Spanish comments*</t>
  </si>
  <si>
    <t>As a military family with a son, we strongly oppose this rate increase. It is not fair that regular families are being charged more while big corp get discounts</t>
  </si>
  <si>
    <t>No MEP R3-47 ($27.99)</t>
  </si>
  <si>
    <t>Legrand</t>
  </si>
  <si>
    <t>Kareem</t>
  </si>
  <si>
    <t xml:space="preserve">APS is taking advantage of the Arizona weather and it is hurting the citizens who have no choice in the matter. </t>
  </si>
  <si>
    <t>Ostreicher</t>
  </si>
  <si>
    <t>As a single father of 2 kids, a 14% rate increase in just over a year is ridiculous</t>
  </si>
  <si>
    <t>https://docket.images.azcc.gov/E000049265.pdf</t>
  </si>
  <si>
    <t>COR is linked to multiple accounts</t>
  </si>
  <si>
    <t>Keneally</t>
  </si>
  <si>
    <t xml:space="preserve">I am fortunate enough to be able to afford any proposed rate increases, but that doesn't mean that I think its right. </t>
  </si>
  <si>
    <t>They are taking money from their customers... while donating to charities and advertising on TV</t>
  </si>
  <si>
    <t>https://docket.images.azcc.gov/E000049336.pdf</t>
  </si>
  <si>
    <t>I been living in my place for 24 years. I get low-income discounts and equalizer. I will start setting my AC to 85.</t>
  </si>
  <si>
    <t>Gerkin</t>
  </si>
  <si>
    <t>$240 extra per year for the average household. I am retired and on a fixed income, so I and many others like me, cannot afford</t>
  </si>
  <si>
    <t>Graham</t>
  </si>
  <si>
    <t>86 y/o, lives alone, Social Security Cost of Living 2.8 percent</t>
  </si>
  <si>
    <t>https://docket.images.azcc.gov/E000049357.pdf</t>
  </si>
  <si>
    <t>Litke</t>
  </si>
  <si>
    <t>Senior living in subsidized housing on a low income</t>
  </si>
  <si>
    <t>Valladares</t>
  </si>
  <si>
    <t>Data Centers are ready to work with the water and electricity.</t>
  </si>
  <si>
    <t>No MEP R3-47 ($248.22)</t>
  </si>
  <si>
    <t>SPANISH PREFERRED CUSTOMER - Please contact customer regarding plan options</t>
  </si>
  <si>
    <t xml:space="preserve">Relying solely on our Social Security benefits... we are already struggling with the rising costs of living. </t>
  </si>
  <si>
    <t>Varanauski</t>
  </si>
  <si>
    <t>Joan</t>
  </si>
  <si>
    <t>A nearly 15% increase on my utility bill is an excessive financial burden that l simply cannot afford.</t>
  </si>
  <si>
    <t>Sun City Home Owners Association</t>
  </si>
  <si>
    <t>Unknow</t>
  </si>
  <si>
    <t>SCHOA does formally oppose granting this proposed APS increase as we believe it is unfair, unjustified, and harmful to nearly 40k residents</t>
  </si>
  <si>
    <t>Rosalva</t>
  </si>
  <si>
    <t>If APS really cares about its customers look into blocking these data centers from moving to Arizona</t>
  </si>
  <si>
    <t>No MEP R3-47 ($64.75)</t>
  </si>
  <si>
    <t>Ender</t>
  </si>
  <si>
    <t xml:space="preserve">Working citizens should not have to have to have an increase on an already rising cost of living. Data centers are the ones that are taking so much energy. </t>
  </si>
  <si>
    <t>Shirreff</t>
  </si>
  <si>
    <t>Wanda</t>
  </si>
  <si>
    <t>large commercial and business customers are not bearing a greater share of this increase. Protect residential customers</t>
  </si>
  <si>
    <t>G</t>
  </si>
  <si>
    <t>Stan</t>
  </si>
  <si>
    <t>Uknown</t>
  </si>
  <si>
    <t>Concerned with the rate change from Tier 1 to Tier 2 and provides transcript of the chat with aps</t>
  </si>
  <si>
    <t>Malter</t>
  </si>
  <si>
    <t>Rosalie</t>
  </si>
  <si>
    <t>APS greed is causing suffering among people like us 80+ aged seniors.</t>
  </si>
  <si>
    <t>Hilliard</t>
  </si>
  <si>
    <t>I am concerned about the economic impact of the proposed 13.99% increase on Navajo County residential and business customers</t>
  </si>
  <si>
    <t>https://docket.images.azcc.gov/E000049383.pdf</t>
  </si>
  <si>
    <t>Sherman</t>
  </si>
  <si>
    <t>express my concern with APS's proposed rate increases, particularl the solar Grid Access Charge alongside the continued erosion of affordability for Arizona families.</t>
  </si>
  <si>
    <t>Conner</t>
  </si>
  <si>
    <t xml:space="preserve">I am a retiree on a fixed income and am very concerned about the continuing raising costs of living. </t>
  </si>
  <si>
    <t>Snapp</t>
  </si>
  <si>
    <t>I have solar and believe this should not raise my rates. I believe more investment in solar would benefit APS.</t>
  </si>
  <si>
    <t>Pappin</t>
  </si>
  <si>
    <t>My wife and I are retired and our only income is from My Navy Retirement and Social Security Benefits. You should limit the rate increase to the COLA increase.</t>
  </si>
  <si>
    <t>https://docket.images.azcc.gov/E000049378.pdf</t>
  </si>
  <si>
    <t>Stoop</t>
  </si>
  <si>
    <t>I would like to know if The ACC is requiring APS to keep Four Corners Online?</t>
  </si>
  <si>
    <t>https://docket.images.azcc.gov/E000049379.pdf</t>
  </si>
  <si>
    <t>Bean</t>
  </si>
  <si>
    <t>I dent think APS needs another 14% rate hike people are barely making ends meet.</t>
  </si>
  <si>
    <t>No MEP R3-47 ($326.85)</t>
  </si>
  <si>
    <t>Docketed 2x Please contact customer regarding plan options and additional assistance programs?</t>
  </si>
  <si>
    <t>Please stop letting APS having constant rate hikes! I leased solar panels to reduce my energy costs.</t>
  </si>
  <si>
    <t>not all that long ago that APS did not need to have an "on peak/offpeak" ... renewable energy sources are driving up costs.</t>
  </si>
  <si>
    <t>https://docket.images.azcc.gov/E000049400.pdf</t>
  </si>
  <si>
    <t>We had a rateincrease of 8% in 2024 another 8% increase in 2025 and now you expect that we should allow another increase of 14%</t>
  </si>
  <si>
    <t>January, my demand charge was $240.55. My total bill was $513.80. I am paying nearly as much for one hour of peak demand per month as I am for all 30 days</t>
  </si>
  <si>
    <t>Little</t>
  </si>
  <si>
    <t>Despite ratepayers using virtually the same or fewer KWHs, we are now being asked AGAIN to accommodate a rate increase. Let those that use the most, pay the most.</t>
  </si>
  <si>
    <t>https://docket.images.azcc.gov/E000049387.pdf</t>
  </si>
  <si>
    <t>St Clair</t>
  </si>
  <si>
    <t>APS rate increase. When is enough, enough!?!? No more rate increases. It's outrageous!</t>
  </si>
  <si>
    <t>Bowman</t>
  </si>
  <si>
    <t>My husband and I are both nurses and we have one child. Even living modestly with two professional degrees and employment, we struggle to keep up</t>
  </si>
  <si>
    <t>Noyes</t>
  </si>
  <si>
    <t>Wage growth has not caught up to the rising costs of living, especially here in Arizona</t>
  </si>
  <si>
    <t>Jack</t>
  </si>
  <si>
    <t>I am a native born Arizonan and always believed APS was here to serve the people who lived in Arizona.But I no longer feel that way.</t>
  </si>
  <si>
    <t>2 locations are AMI Opt Out</t>
  </si>
  <si>
    <t>Fleet</t>
  </si>
  <si>
    <t>October 2023 $67 credit, October 2024 $71 credit, October 2025 $81 bill</t>
  </si>
  <si>
    <t>Solar United Neighbors</t>
  </si>
  <si>
    <t>Organizational Comment Opposing APS's Proposed Grid Access Charge, Excessive ROE, and Unaffordable Rate Increase</t>
  </si>
  <si>
    <t>https://docket.images.azcc.gov/E000049395.pdf</t>
  </si>
  <si>
    <t>N/A</t>
  </si>
  <si>
    <t>Please vote against the APS rate increase application and any other increase application APS applies for</t>
  </si>
  <si>
    <t>https://docket.images.azcc.gov/E000049441.pdf</t>
  </si>
  <si>
    <t>As a senior citizen the rate increase will impact me but I do have an income. My COLA from Social Security was 2.8% this past year.</t>
  </si>
  <si>
    <t>Near retirement and invested in 34 solar panels to cover our long-term energy needs. Do not yet cover our full electrical costs and proposed increase will exacerbate this issue.</t>
  </si>
  <si>
    <t>https://docket.images.azcc.gov/E000049487.pdf</t>
  </si>
  <si>
    <t>No MEP R3-47 ($14.60)</t>
  </si>
  <si>
    <t>Furber</t>
  </si>
  <si>
    <t>Sharyn</t>
  </si>
  <si>
    <t>notes job listing for 'Leader Creative Services' and the millions of $ it will take to change the logo</t>
  </si>
  <si>
    <t>Wilkening</t>
  </si>
  <si>
    <t xml:space="preserve">They are agreeing to provide expensive gas generated power to hyperscale data centers. 2024 there were 608 heat related deaths. The number will only keep increasing. </t>
  </si>
  <si>
    <t>Sapundzhiev</t>
  </si>
  <si>
    <t>ILiya</t>
  </si>
  <si>
    <t xml:space="preserve">I am an Arizona resident, a small business owner, and a solar customer since 2020. I am writing to strongly oppose. </t>
  </si>
  <si>
    <t>Dallam</t>
  </si>
  <si>
    <t>Enough with these unnecessary rate increases! You folks campaigned on the promise of keeping rates reasonable, what happened to that?</t>
  </si>
  <si>
    <t>Lasky</t>
  </si>
  <si>
    <t>we feel ( solar people) the 50k we spent to provide additional power to the grid is a waisted money</t>
  </si>
  <si>
    <t>We don't need rate hikes, we need more investment in solar and other lower cost forms of power.</t>
  </si>
  <si>
    <t>Lipson</t>
  </si>
  <si>
    <t>Leonard</t>
  </si>
  <si>
    <t>Solar panels worth les Retired on fixed income Paying enough now.</t>
  </si>
  <si>
    <t>even with solar panels, I have to still pay APS bc of their rate increase through the years</t>
  </si>
  <si>
    <t>Meek</t>
  </si>
  <si>
    <t>concern with rate increases, particularly the solar Grid Access Charge alongside the continued erosion of affordability for AZ families</t>
  </si>
  <si>
    <t>Osborn</t>
  </si>
  <si>
    <t>Dwayne</t>
  </si>
  <si>
    <t xml:space="preserve">fixed income, with solar, do not support any increase in APS rate increases while continuing to set record profits. </t>
  </si>
  <si>
    <t>Moreno</t>
  </si>
  <si>
    <t>Energy should be free! Tesla showed us that already. Stop being greedy. Stop stop stop you greedy miserable pople whoever you are</t>
  </si>
  <si>
    <t>No MEP R3-47 ($73.15)</t>
  </si>
  <si>
    <t>Hedenreich</t>
  </si>
  <si>
    <t>Flagstff</t>
  </si>
  <si>
    <t>I strongly request that permission to raise rates for APS be denied for the common good.</t>
  </si>
  <si>
    <t>Ceballos</t>
  </si>
  <si>
    <t>I am an elderly citizen of 86 yrs. I have had increasing APS bills over the years making it harder.</t>
  </si>
  <si>
    <t>No MEP R3-47 ($142.29)</t>
  </si>
  <si>
    <t>Flgastaff</t>
  </si>
  <si>
    <t>Against further utillity rate increases. More importantly, I am against the limitations you are putting on Wind and Solar Power in Arizona.</t>
  </si>
  <si>
    <t>Armstrong</t>
  </si>
  <si>
    <t>It is criminal to ignore cheaper clearn energy like solar and wind. APS would not need to even consider a rate hike if they stopped ignoring clean</t>
  </si>
  <si>
    <t>Families across this state already struggle to pay their mortgages, cover their bills and make ends meet</t>
  </si>
  <si>
    <t>Galloway</t>
  </si>
  <si>
    <t>Electricity bills are becoming profoundly unaffordable for everyday Arizona citizens.</t>
  </si>
  <si>
    <t>Newell</t>
  </si>
  <si>
    <t>Shawn</t>
  </si>
  <si>
    <t>when APS customers like me are struggling with affordability, APS should not be guaranteed higher profits</t>
  </si>
  <si>
    <t>Budde</t>
  </si>
  <si>
    <t>How about APS stop doing commercials using the money they charge us customers for</t>
  </si>
  <si>
    <t>Chaikin</t>
  </si>
  <si>
    <t>Peggy</t>
  </si>
  <si>
    <t>As a senior citizen living on retirement income and savings, I am strongly against the proposed APS rate hike and Solar Grid Access Charge.</t>
  </si>
  <si>
    <t xml:space="preserve">Who let this happen? The correction in billing method should have been planned for </t>
  </si>
  <si>
    <t>No MEP R3-47 ($216.81)</t>
  </si>
  <si>
    <t>l am a retired postal employee and on a pension. I am sick and tired of APS ripping off its Customers</t>
  </si>
  <si>
    <t>APS has very high profits. They don't need yet another increase.</t>
  </si>
  <si>
    <t>I do not approve of allowing APS any new side steps to any rate hikes that by pass or skip the commission by the FRM</t>
  </si>
  <si>
    <t>No MEP R3-47 ($430.61)</t>
  </si>
  <si>
    <t>Sun City West Property Owners and Residents Association</t>
  </si>
  <si>
    <t>continued utility rate increases have become unsustainablew for many, Rate increases must also be dligently reviewed by RUCO without any shortcuts.</t>
  </si>
  <si>
    <t>https://docket.images.azcc.gov/E000049488.pdf</t>
  </si>
  <si>
    <t>Ybarra</t>
  </si>
  <si>
    <t>David C (or C David)</t>
  </si>
  <si>
    <t>Advanced Customer Service Advisor at APS for 2 years</t>
  </si>
  <si>
    <t>https://docket.images.azcc.gov/E000049493.pdf</t>
  </si>
  <si>
    <t>Wesolowski</t>
  </si>
  <si>
    <t>Spent over 140k on solar to negate the costs of my electricity bills and used to actually get credit on my bill each month. 2025 I never once had a month where I got a credit</t>
  </si>
  <si>
    <t>Pratt</t>
  </si>
  <si>
    <t>As a retiree, fixed income, invested in solar, prior APS rate increase negated much of my actual financial benefit and anticipated return on investment.</t>
  </si>
  <si>
    <t>Hawthorne</t>
  </si>
  <si>
    <t>Jewell</t>
  </si>
  <si>
    <t>Three rate hikes in the past three years. And to make matters worse, the utility's proposed "formula rates" would allow them to increase annually</t>
  </si>
  <si>
    <t>reject the rate increase and not allow any other tax or fee APS throws on the monthly bill.</t>
  </si>
  <si>
    <t>No MEP R3-47 ($53.67)</t>
  </si>
  <si>
    <t>Docketed 2x, Participated in public comment session on 2/18</t>
  </si>
  <si>
    <t>Conn</t>
  </si>
  <si>
    <t>IM on a fixed income and another increase. We'II be taking food off my table simple as that</t>
  </si>
  <si>
    <t>McClellan</t>
  </si>
  <si>
    <t xml:space="preserve">I am putting in more energy to their grid with my solar panels then I take out and yet they have still found back door methods to take money from  me. </t>
  </si>
  <si>
    <t>Soto</t>
  </si>
  <si>
    <t xml:space="preserve">Ratepayers should not be asked to keep footing the bill for old, expensive coal plant when cleaner, cheaper options are available. </t>
  </si>
  <si>
    <t>we need to stop this because we cannot afford these rate hikes. We are on fixed incomes.</t>
  </si>
  <si>
    <t>Ayyar</t>
  </si>
  <si>
    <t>Adarsh</t>
  </si>
  <si>
    <t>concern with APS's proposed rate increases, particularly the solar Grid Access Charge</t>
  </si>
  <si>
    <t>R-TOUE47</t>
  </si>
  <si>
    <t>Fero</t>
  </si>
  <si>
    <t>example of the already unfair and irrational penalties placed on Solar contributors to the grid.</t>
  </si>
  <si>
    <t>No MEP R3-47 ($81.32)</t>
  </si>
  <si>
    <t>Rings</t>
  </si>
  <si>
    <t xml:space="preserve">After rate increases in both 2023 and 2024, this is unconscionable, especially when APS profits last year were over $6 million. </t>
  </si>
  <si>
    <t>I am presenting this public comment on behalf of Poder Latinx</t>
  </si>
  <si>
    <t>https://docket.images.azcc.gov/E000049524.pdf</t>
  </si>
  <si>
    <t>Participated in public comment session on 2/18</t>
  </si>
  <si>
    <t>Lyall</t>
  </si>
  <si>
    <t xml:space="preserve">I am an 80 y/o low income senior citizen of Prescott Valley, AZ. I have trouble making ends meet on my Social Security income. </t>
  </si>
  <si>
    <t>Chuppa</t>
  </si>
  <si>
    <t xml:space="preserve">SRP is a not-for-profit entity... and works just fine. In cotnrast, APS is focused on making huge profits for inevestors and executieves. </t>
  </si>
  <si>
    <t>No MEP R3-47 ($319.00)</t>
  </si>
  <si>
    <t>Fine</t>
  </si>
  <si>
    <t>Jovita</t>
  </si>
  <si>
    <t>installed solar on my house a few years ago, which I appreciate having, but already APS uses most of the energy</t>
  </si>
  <si>
    <t>Tyquiengco Wilson</t>
  </si>
  <si>
    <t>Janae</t>
  </si>
  <si>
    <t>Frewer Jr.</t>
  </si>
  <si>
    <t xml:space="preserve">between the three of us, we're juggling four jobs. We work hard, pay our bills on time, and do everything America says one must do to afford a good life. Yet somehow, we're barely keeping our heads above water. </t>
  </si>
  <si>
    <t>Daily</t>
  </si>
  <si>
    <t xml:space="preserve">I think that a 14 % rate increase is a little to much to ask for all at once. Our COLA increase this year doesn't come clos to that. </t>
  </si>
  <si>
    <t>Bihary</t>
  </si>
  <si>
    <t>Judith</t>
  </si>
  <si>
    <t xml:space="preserve">We need some assurances that rate hikes will have public oversight, so future rate hikes will not be easy for APS to put through. </t>
  </si>
  <si>
    <t xml:space="preserve">considering their profits, and that they should be charging the data centers the appropriate rates they will consume, I believe they need to give consideration to permanent residents first, partial residents secondary and then businesses. </t>
  </si>
  <si>
    <t>Stallcop</t>
  </si>
  <si>
    <t>I vehemently oppose the "formula rates," which would allow the utility to fast-track rate increases every year</t>
  </si>
  <si>
    <t>Finch</t>
  </si>
  <si>
    <t>Jessie K</t>
  </si>
  <si>
    <t>Please stop charging the people of Arizona TO MAKE A PROFIT on what should be a utility FOR THE PEOPLE.</t>
  </si>
  <si>
    <t>No MEP R3-47 ($56.37)</t>
  </si>
  <si>
    <t>Sturnacle</t>
  </si>
  <si>
    <t>Arwin</t>
  </si>
  <si>
    <t>Requesting that Arizona Corporation Commission determine the relation of APS to Pinnacle West Capital Corporation</t>
  </si>
  <si>
    <t>AMI Opt-Out</t>
  </si>
  <si>
    <t xml:space="preserve">Member of Sun City PORA, with solar. </t>
  </si>
  <si>
    <t>https://docket.images.azcc.gov/0000216207.pdf</t>
  </si>
  <si>
    <t>No MEP R3-47 ($15.82)</t>
  </si>
  <si>
    <t>Opposes nuclear</t>
  </si>
  <si>
    <t>https://docket.images.azcc.gov/0000216208.pdf</t>
  </si>
  <si>
    <t>Hakari</t>
  </si>
  <si>
    <t>Lana</t>
  </si>
  <si>
    <t>The considerable increase of 14% would disproportionately affect fixed-income customers, such as myself</t>
  </si>
  <si>
    <t>https://docket.images.azcc.gov/E000049528.pdf</t>
  </si>
  <si>
    <t>Reeese</t>
  </si>
  <si>
    <t>Mykel</t>
  </si>
  <si>
    <t>The company is already profitable and the fact that they are demanding a rate increase is a great burden to folks like me who are on fixed incomes.</t>
  </si>
  <si>
    <t xml:space="preserve">I feel that APS is unfairly raising bills on homeowners without requiring the new chip manufacturers and the housing developers to pay their share of the rate increases. </t>
  </si>
  <si>
    <t>Steinert</t>
  </si>
  <si>
    <t>APS residential power rates have already increased far beyond those of SRP and I can see no good reason for this except a thirst for excessive profits</t>
  </si>
  <si>
    <t>Brame</t>
  </si>
  <si>
    <t>conern with APS's proposed rate increases, particularly the solar Grid Access Charge</t>
  </si>
  <si>
    <t>https://docket.images.azcc.gov/E000049547.pdf</t>
  </si>
  <si>
    <t>NO</t>
  </si>
  <si>
    <t>Kerata</t>
  </si>
  <si>
    <t>Pleas consider supporting solar power, solar tax credits and infrastructure so these electricity rates start to Go Down instead of continually UP.</t>
  </si>
  <si>
    <t>APS argues this increase is necessary for grid reliability, the burden is being unfairly placed on residential households</t>
  </si>
  <si>
    <t>Brianne</t>
  </si>
  <si>
    <t xml:space="preserve">Representing Arizona Alliance for Retired Americans (AARA) advocates for retirees and seniors to ensure social and economic justice after a lifetime of work. </t>
  </si>
  <si>
    <t>Engelman</t>
  </si>
  <si>
    <t xml:space="preserve">try living in the AZ heat with minimal air conditioning such as this. Try it, and I can assure you, you would never approve a rate hike. </t>
  </si>
  <si>
    <t>https://docket.images.azcc.gov/E000049561.pdf</t>
  </si>
  <si>
    <t>Hardin</t>
  </si>
  <si>
    <t xml:space="preserve">Is it possible for the company to have multi-tiered rates, considering that some power usage is for "WANTS" rather than "NEEDS". </t>
  </si>
  <si>
    <t>Arnon</t>
  </si>
  <si>
    <t xml:space="preserve">Oppose rate increase, FRM, APS will not allow solar customer to operate stand-alone facilities, deny Grid Access Charge, abandoned their clean energy goals. </t>
  </si>
  <si>
    <t>https://docket.images.azcc.gov/E000049585.pdf</t>
  </si>
  <si>
    <t>No MEP R3-47 ($310.50)</t>
  </si>
  <si>
    <t xml:space="preserve">They've made big profits and had several recent rate increases. </t>
  </si>
  <si>
    <t>https://docket.images.azcc.gov/E000049618.pdf</t>
  </si>
  <si>
    <t>Stambaugh</t>
  </si>
  <si>
    <t>Alice</t>
  </si>
  <si>
    <t>APS does NOT need to make life harder for the masses and more lucrative for shareholders,</t>
  </si>
  <si>
    <t>Left VM 10/03/2025 - Initiated rate change to MEP on 10/10 - MAY NEED MORE ASSISTANCE</t>
  </si>
  <si>
    <t>COR will remain on current serv plan, Assistance?</t>
  </si>
  <si>
    <t>Associate Name</t>
  </si>
  <si>
    <t>Date Called</t>
  </si>
  <si>
    <t>VM?</t>
  </si>
  <si>
    <t>Outcome</t>
  </si>
  <si>
    <t/>
  </si>
  <si>
    <t>Joaquin</t>
  </si>
  <si>
    <t>CLOSED ACCT 07/09/2015</t>
  </si>
  <si>
    <t>SOLAR ACCT</t>
  </si>
  <si>
    <t>PHONE DISCONNECTED / NOT ON BEST PLAN</t>
  </si>
  <si>
    <t>DID NOT WANT TO TALK / NOT ON BEST RATE PLAN</t>
  </si>
  <si>
    <t>VERY UP SET ABOUT THE RATES POSSIBLY GOING UP</t>
  </si>
  <si>
    <t>Rate Change</t>
  </si>
  <si>
    <t>ON PA, DID ADVISE BB AFTER PA IS DONE</t>
  </si>
  <si>
    <t>BETTER RATE TIME OF USE WITH DEMAND $1046</t>
  </si>
  <si>
    <t>E3/E4</t>
  </si>
  <si>
    <t>General Education</t>
  </si>
  <si>
    <t>solar acct////WILL CB TO REVIEW OPTION TO LOWER BILL</t>
  </si>
  <si>
    <t>ON THE BEST PLAN</t>
  </si>
  <si>
    <t>NUMBER OUT OF SERVICE /2ND PH # CALL CANT BE COMPLETED</t>
  </si>
  <si>
    <t>SOLAR</t>
  </si>
  <si>
    <t>SOLAR, PA</t>
  </si>
  <si>
    <t>PA, ON BEST RATE PLAN</t>
  </si>
  <si>
    <t>GAVE ASSISTANCE NUMBERS AND ADVISED TO APPLY FOR E-3</t>
  </si>
  <si>
    <t>SAID SHE DID SIGN PETITION</t>
  </si>
  <si>
    <t># ON ACCT NO GOOD CALLED 12/6/25</t>
  </si>
  <si>
    <t>LEFT VM, ON BEST PLAN, NOT ON BB, NOT E-3</t>
  </si>
  <si>
    <t>PHONE WAS PICKED UP AND HUNG UP</t>
  </si>
  <si>
    <t>LEFT VM, NOT ON BEST PLAN, NOT BB, NOT E-3</t>
  </si>
  <si>
    <t>SAID HE WAS GOOD</t>
  </si>
  <si>
    <t>LEFT VM</t>
  </si>
  <si>
    <t>Updated/New PA</t>
  </si>
  <si>
    <t>LEFT VOICE MAIL</t>
  </si>
  <si>
    <t>SOLAR ACCT,  VERY UNHAPPY WITH RATE INCREASE CASE</t>
  </si>
  <si>
    <t>HUNG UP ON ME</t>
  </si>
  <si>
    <t>UNHAPPY WITH THE RATE INCREASE CASE</t>
  </si>
  <si>
    <t>Utility Assistance</t>
  </si>
  <si>
    <t>NUMBER DISCONNECTED</t>
  </si>
  <si>
    <t>COULD NOT LEAVE MESSAGE, VM NOT SET UP</t>
  </si>
  <si>
    <t>VM NOT SET UP</t>
  </si>
  <si>
    <t>NOT FOR THE RATE CASE PROPOSAL</t>
  </si>
  <si>
    <t>LEFT VOICE MESSAGE</t>
  </si>
  <si>
    <t>BB NEW 148.00 NEXT BILL DATE 3/5/26</t>
  </si>
  <si>
    <t>S-A WAS STOPPED AS OF 12/11/25</t>
  </si>
  <si>
    <t>POSITIVE WITH OPTION OFFERED TO SAVE OR LOWER BILL</t>
  </si>
  <si>
    <t>PENDING STOP OF SERVICES FOR 1/7/25</t>
  </si>
  <si>
    <t>PENDING STOP OF SERVICES FOR 1/23/26</t>
  </si>
  <si>
    <t>CLOSED ACCT 10/27/25</t>
  </si>
  <si>
    <t>WILL APPLY ON LINE FOR E-3</t>
  </si>
  <si>
    <t>not for rate increases</t>
  </si>
  <si>
    <t>2ND TIME LEAVING V-M</t>
  </si>
  <si>
    <t>SOLAR ACCT GRANDFATHER  PLAN 9-9</t>
  </si>
  <si>
    <t>STREETLIGHT ISSUE REPORTED  CONFIRMATION # SR660870</t>
  </si>
  <si>
    <t>BB PROGRAM 114.00</t>
  </si>
  <si>
    <t>DID CB TO GET ON BETER RATE ON 1/5/26</t>
  </si>
  <si>
    <t>VMs</t>
  </si>
  <si>
    <t>Zip Code</t>
  </si>
  <si>
    <t>Last Date of Account Review</t>
  </si>
  <si>
    <t>Call Notes</t>
  </si>
  <si>
    <t>CALL QUEUE</t>
  </si>
  <si>
    <t>Remaining in Queue:</t>
  </si>
  <si>
    <t>CUSTOMER DETAILS</t>
  </si>
  <si>
    <t>Name:</t>
  </si>
  <si>
    <t>Account #:</t>
  </si>
  <si>
    <t>Rate Plan:</t>
  </si>
  <si>
    <t>City / Zip:</t>
  </si>
  <si>
    <t>Issue / Complaint:</t>
  </si>
  <si>
    <t>Docketed Comment:</t>
  </si>
  <si>
    <t>MEP Status:</t>
  </si>
  <si>
    <t>Payment Arrangement:</t>
  </si>
  <si>
    <t>Payoff Balance:</t>
  </si>
  <si>
    <t>E3?:</t>
  </si>
  <si>
    <t>MCP?:</t>
  </si>
  <si>
    <t>Team Reviewed:</t>
  </si>
  <si>
    <t>Last Account Review:</t>
  </si>
  <si>
    <t>Notes:</t>
  </si>
  <si>
    <t>Comments:</t>
  </si>
  <si>
    <t>LOG THIS CALL</t>
  </si>
  <si>
    <t>Associate Name:</t>
  </si>
  <si>
    <t>Date Called:</t>
  </si>
  <si>
    <t>Voicemail?:</t>
  </si>
  <si>
    <t>Outcome:</t>
  </si>
  <si>
    <t>Call Notes:</t>
  </si>
  <si>
    <t>Recommended MEP:</t>
  </si>
  <si>
    <t>RATE CASE OUTREACH — EXECUTIVE SUMMARY</t>
  </si>
  <si>
    <t>Total Docketed</t>
  </si>
  <si>
    <t>Comments Filed</t>
  </si>
  <si>
    <t>Callable</t>
  </si>
  <si>
    <t>Valid Customers</t>
  </si>
  <si>
    <t>Contacted</t>
  </si>
  <si>
    <t>Calls Made</t>
  </si>
  <si>
    <t>Remaining</t>
  </si>
  <si>
    <t>To Contact</t>
  </si>
  <si>
    <t>Progress</t>
  </si>
  <si>
    <t>Completion</t>
  </si>
  <si>
    <t>Avg Calls/Week</t>
  </si>
  <si>
    <t>Per Week</t>
  </si>
  <si>
    <t>WEEKLY PERFORMANCE</t>
  </si>
  <si>
    <t>Week Of</t>
  </si>
  <si>
    <t>Total Calls</t>
  </si>
  <si>
    <t>Spoke With</t>
  </si>
  <si>
    <t>Other</t>
  </si>
  <si>
    <t>ASSOCIATE PERFORMANCE</t>
  </si>
  <si>
    <t>Associate</t>
  </si>
  <si>
    <t>Utility Asst.</t>
  </si>
  <si>
    <t>New PA</t>
  </si>
  <si>
    <t>TOTAL</t>
  </si>
  <si>
    <t>Count</t>
  </si>
  <si>
    <t>Calls</t>
  </si>
  <si>
    <t>DID TALK PHILLIPS,CRYSTAL OFFER REVIEW ACCT</t>
  </si>
  <si>
    <t>DID TALK TO CORE OFFER TO REVIEW ACCT</t>
  </si>
  <si>
    <t>CORE ON BB PROGRAM</t>
  </si>
  <si>
    <t>IS ON DEMAND &amp; IS VERY HIGH</t>
  </si>
  <si>
    <t>UNHAPPY W/ RATE CASE</t>
  </si>
  <si>
    <t>REFUSED TOTAKE CALL HUNG UP</t>
  </si>
  <si>
    <t>DID NOT WANT TO SPEAK WITH ME AND HUNG UP</t>
  </si>
  <si>
    <t>RATE CHANGE</t>
  </si>
  <si>
    <t>BETTER RATE TIME OF USE WITH DEMAND</t>
  </si>
  <si>
    <t>WANTED INFO DATA CENTER RATES</t>
  </si>
  <si>
    <t>VOICE MAIL WAS FULL</t>
  </si>
  <si>
    <t>ACT 0644019886</t>
  </si>
  <si>
    <t>SENT E3</t>
  </si>
  <si>
    <t>VOICE MESSAGE</t>
  </si>
  <si>
    <t>sent claim form to fill out updated contact#</t>
  </si>
  <si>
    <t>TIME OF USE WITH DEMAND BEST PLAN</t>
  </si>
  <si>
    <t>WILL CALL US BACK</t>
  </si>
  <si>
    <t>SET UP BB $123</t>
  </si>
  <si>
    <t>UN ABLE TO LEAVE MESSAGE</t>
  </si>
  <si>
    <t>WILL CB TO MAKE CHANGES</t>
  </si>
  <si>
    <t>LEFT V-M</t>
  </si>
  <si>
    <t>NO GOOD CBR# ON FILE</t>
  </si>
  <si>
    <t>RATE CHANGE  NEXT BILL DATE 2/21/26</t>
  </si>
  <si>
    <t>NO V-M OPTION</t>
  </si>
  <si>
    <t>SOLAR ACT</t>
  </si>
  <si>
    <t>PROVIDED TIPS LINE #S</t>
  </si>
  <si>
    <t>CORE HUNG UP CALL</t>
  </si>
  <si>
    <t>STOPPED S-A 2025-06-04 to 2025-11-03</t>
  </si>
  <si>
    <t>MAILED OUT E3</t>
  </si>
  <si>
    <t>OFFER OPTION TO LOWER BILL</t>
  </si>
  <si>
    <t>NO VOICE MAIL OPTION</t>
  </si>
  <si>
    <t>POSITIVE INFO</t>
  </si>
  <si>
    <t>WILL REVIEW ON LINE THEN MAKE CHANGES</t>
  </si>
  <si>
    <t>COULD SAVE MONEY ON TOU 4-7 W/DEMAND</t>
  </si>
  <si>
    <t>DID REVIEW OPTION TO LOWER BILL</t>
  </si>
  <si>
    <t>SENT E3 TO APPLY</t>
  </si>
  <si>
    <t>NO GOOD CONTACT # ON ACCT</t>
  </si>
  <si>
    <t>DID OFFER OPTION TO LOWER BILL</t>
  </si>
  <si>
    <t>NO VM OPTION</t>
  </si>
  <si>
    <t>DID TALK TO CORE BUT HUNG UP</t>
  </si>
  <si>
    <t>WILL CB IF NEEDED</t>
  </si>
  <si>
    <t>BETTER RATE</t>
  </si>
  <si>
    <t>NOT  FOR RATE INCREASE</t>
  </si>
  <si>
    <t>IS ON P-A &amp;  NO E3 ON ACCT</t>
  </si>
  <si>
    <t>CALLER HUNG UP</t>
  </si>
  <si>
    <t>ACCT CURRENT NO PAST DUE NO E3</t>
  </si>
  <si>
    <t>OPTIONS TO HELP LOWER BILL</t>
  </si>
  <si>
    <t>DID TALK TO ROMINA LYNDH IS ON P-A MAILED E3</t>
  </si>
  <si>
    <t>DID OFFER OPTION CALLER HUNG UP</t>
  </si>
  <si>
    <t>DID TALK TO CORE WILL APPLY ON LINE FOR E3</t>
  </si>
  <si>
    <t>CURRENT ON ACT LEFT VM</t>
  </si>
  <si>
    <t>CORE HUNG UP</t>
  </si>
  <si>
    <t>ACCT IS ON P-A PAST DUE NO E3 ON ACCT</t>
  </si>
  <si>
    <t>BETTER PLAN TIME OF USE WITH DEMAND</t>
  </si>
  <si>
    <t>MOVED OUT OF STATE</t>
  </si>
  <si>
    <t>ACCT CURRENT NO E3 LEFT VM</t>
  </si>
  <si>
    <t>TIME OF USE WITH DEMAND</t>
  </si>
  <si>
    <t>DID TALK TO CORE IS ON P-A SENT E3</t>
  </si>
  <si>
    <t>ACCT CURRENT NO E3</t>
  </si>
  <si>
    <t>ACCT IS ON P-A NO E3 OR MED</t>
  </si>
  <si>
    <t>STILL NOT FOR RATE INCREASE</t>
  </si>
  <si>
    <t>NO E3 ON ACCT IS ON PAYMENT ARRANGEMENT</t>
  </si>
  <si>
    <t>ACCT IS CURRENT .NO E3  LEFT VM</t>
  </si>
  <si>
    <t>ACCT IS CURRENT .NO E3</t>
  </si>
  <si>
    <t>CHANGE PLAN TIME OF USE PLAN ACCT CURRENT</t>
  </si>
  <si>
    <t>IS ON PAYMENT ARRANGEMENT</t>
  </si>
  <si>
    <t>NOT SAME NAME FOR ACCT HAS CREDIT 1122.94</t>
  </si>
  <si>
    <t>DID TALK TO MS BARBOSA ENROLLED IN BB PROGRAM</t>
  </si>
  <si>
    <t>WILL CB TO REVIEW OPTIONS TO LOWER BILL</t>
  </si>
  <si>
    <t>WILL REVIEW THEN CB TO MAKE CHANGES TO ACT</t>
  </si>
  <si>
    <t>CONTACT # NEEDS TO BE UPDATED ON ACCT</t>
  </si>
  <si>
    <t>AGENCYS #S TO ASSIST WITH BILL</t>
  </si>
  <si>
    <t>WILL APPLY ON LINE</t>
  </si>
  <si>
    <t>JUST NOT HAPPY WITH  HIGHER PRICES</t>
  </si>
  <si>
    <t>E-3 BB PROGRAM</t>
  </si>
  <si>
    <t>NEW BB  AMOUNT 309.00</t>
  </si>
  <si>
    <t>BETTER RATE FIXXED ENERGY PLAN</t>
  </si>
  <si>
    <t>DID NOT WANT TO BE CALLED</t>
  </si>
  <si>
    <t>OFFER OPTION TO LOWER BILL E3 --SOLAR ACCT</t>
  </si>
  <si>
    <t>REJECTED CALL</t>
  </si>
  <si>
    <t>DOUBLE IN SPREAD SHEET</t>
  </si>
  <si>
    <t>DOUBLE IN SPREAD DHEET</t>
  </si>
  <si>
    <t>BETTER PLAN TIME OF WITH DEMAND</t>
  </si>
  <si>
    <t>NEW BB  Total Budget Amount $237.00Next Bill Date 03-10-2026</t>
  </si>
  <si>
    <t>ACT HAS 2 SERVICES ADDRESS</t>
  </si>
  <si>
    <t>ED ON PLANS TO HELP SAVE &amp; REBATE INFO</t>
  </si>
  <si>
    <t>CORE WAS PROVIDED WITH AGENCYS #</t>
  </si>
  <si>
    <t>HUNG UP</t>
  </si>
  <si>
    <t>TUCSON NOT APS</t>
  </si>
  <si>
    <t>E3</t>
  </si>
  <si>
    <t>WILL CB NEXT  WEEK</t>
  </si>
  <si>
    <t>INFO ON E3</t>
  </si>
  <si>
    <t>WILL REVIEW BILL THEN CB</t>
  </si>
  <si>
    <t>SETTINGS</t>
  </si>
  <si>
    <t>Associate Names</t>
  </si>
  <si>
    <t>↑ Add new names above</t>
  </si>
  <si>
    <t>Reason Removed</t>
  </si>
  <si>
    <t>Unknown Account</t>
  </si>
  <si>
    <t>Priority Score</t>
  </si>
  <si>
    <t>Queue Rank</t>
  </si>
  <si>
    <t>Highest Priority Customer</t>
  </si>
  <si>
    <t>Unable to Locate</t>
  </si>
  <si>
    <t xml:space="preserve">9549931000 // Lisa Hobson // </t>
  </si>
  <si>
    <t>TEAM_LIST</t>
  </si>
  <si>
    <t>Prior Contact:</t>
  </si>
  <si>
    <t>CUSTOMER INSIGHTS</t>
  </si>
  <si>
    <t>On MEP</t>
  </si>
  <si>
    <t>Currently Enrolled</t>
  </si>
  <si>
    <t>Removed from Queue</t>
  </si>
  <si>
    <t>Not on MEP Left</t>
  </si>
  <si>
    <t>Payoff Balance Left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</si>
</sst>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164" formatCode="&quot;$&quot;#,##0.00"/>
    <numFmt numFmtId="165" formatCode="mm/dd/yyyy"/>
    <numFmt numFmtId="166" formatCode="0.0%"/>
    <numFmt numFmtId="167" formatCode="0.0"/>
  </numFmts>
  <fonts count="43">
    <font>
      <sz val="11"/>
      <color theme="1"/>
      <name val="Aptos Narrow"/>
      <family val="2"/>
      <scheme val="minor"/>
    </font>
    <font>
      <u/>
      <sz val="11"/>
      <color theme="10"/>
      <name val="Aptos Narrow"/>
      <family val="2"/>
      <scheme val="minor"/>
    </font>
    <font>
      <b/>
      <sz val="9"/>
      <color rgb="FF000000"/>
      <name val="Arial Nova Cond"/>
      <family val="2"/>
    </font>
    <font>
      <b/>
      <sz val="9"/>
      <color theme="1"/>
      <name val="Arial Nova Cond"/>
      <family val="2"/>
    </font>
    <font>
      <sz val="9"/>
      <color theme="1"/>
      <name val="Arial Nova Cond"/>
      <family val="2"/>
    </font>
    <font>
      <sz val="9"/>
      <color rgb="FF212121"/>
      <name val="Arial Nova Cond"/>
      <family val="2"/>
    </font>
    <font>
      <u/>
      <sz val="9"/>
      <color theme="10"/>
      <name val="Arial Nova Cond"/>
      <family val="2"/>
    </font>
    <font>
      <sz val="9"/>
      <name val="Arial Nova Cond"/>
      <family val="2"/>
    </font>
    <font>
      <sz val="9"/>
      <color rgb="FFFF0000"/>
      <name val="Arial Nova Cond"/>
      <family val="2"/>
    </font>
    <font>
      <sz val="9"/>
      <color rgb="FF000000"/>
      <name val="Arial Nova Cond"/>
      <family val="2"/>
    </font>
    <font>
      <sz val="9"/>
      <color rgb="FF000000"/>
      <name val="Arial Nova Cond"/>
    </font>
    <font>
      <sz val="9"/>
      <color theme="1"/>
      <name val="Arial Unicode MS"/>
      <family val="2"/>
    </font>
    <font>
      <sz val="9"/>
      <color rgb="FFFF0000"/>
      <name val="Arial Unicode MS"/>
      <family val="2"/>
    </font>
    <font>
      <sz val="9"/>
      <color theme="1"/>
      <name val="Arial Nova Cond"/>
    </font>
    <font>
      <sz val="9"/>
      <color rgb="FFFF0000"/>
      <name val="Arial Nova Cond"/>
    </font>
    <font>
      <sz val="9"/>
      <color rgb="FF000000"/>
      <name val="Arial Unicode MS"/>
      <family val="2"/>
    </font>
    <font>
      <sz val="9"/>
      <color rgb="FFFF0000"/>
      <name val="Source Sans Pro"/>
      <charset val="1"/>
    </font>
    <font>
      <b/>
      <sz val="11"/>
      <color theme="1"/>
      <name val="Aptos Narrow"/>
      <scheme val="minor"/>
    </font>
    <font>
      <b/>
      <sz val="11"/>
      <color rgb="FFFFFFFF"/>
      <name val="Aptos Narrow"/>
      <scheme val="minor"/>
    </font>
    <font>
      <sz val="11"/>
      <color theme="1"/>
      <name val="Aptos Narrow"/>
      <scheme val="minor"/>
    </font>
    <font>
      <sz val="10"/>
      <color theme="1"/>
      <name val="Aptos Narrow"/>
      <scheme val="minor"/>
    </font>
    <font>
      <b/>
      <sz val="22"/>
      <color rgb="FF1F4E79"/>
      <name val="Aptos Display"/>
    </font>
    <font>
      <b/>
      <sz val="11"/>
      <color rgb="FF1F4E79"/>
      <name val="Aptos Narrow"/>
      <scheme val="minor"/>
    </font>
    <font>
      <b/>
      <sz val="14"/>
      <color rgb="FF1F4E79"/>
      <name val="Aptos Narrow"/>
      <scheme val="minor"/>
    </font>
    <font>
      <b/>
      <sz val="14"/>
      <color rgb="FF1F4E79"/>
      <name val="Aptos Display"/>
    </font>
    <font>
      <sz val="11"/>
      <color rgb="FFFFFFFF"/>
      <name val="Aptos Narrow"/>
      <family val="2"/>
      <scheme val="minor"/>
    </font>
    <font>
      <b/>
      <sz val="18"/>
      <color rgb="FFC00000"/>
      <name val="Aptos Display"/>
    </font>
    <font>
      <b/>
      <sz val="12"/>
      <color theme="1"/>
      <name val="Aptos Narrow"/>
      <scheme val="minor"/>
    </font>
    <font>
      <b/>
      <sz val="20"/>
      <color rgb="FF1F4E79"/>
      <name val="Aptos Display"/>
    </font>
    <font>
      <b/>
      <sz val="10"/>
      <color rgb="FF666666"/>
      <name val="Aptos Narrow"/>
      <family val="2"/>
      <scheme val="minor"/>
    </font>
    <font>
      <sz val="9"/>
      <color rgb="FF999999"/>
      <name val="Aptos Narrow"/>
      <family val="2"/>
      <scheme val="minor"/>
    </font>
    <font>
      <b/>
      <sz val="10"/>
      <color theme="1"/>
      <name val="Aptos Narrow"/>
      <scheme val="minor"/>
    </font>
    <font>
      <b/>
      <sz val="10"/>
      <color rgb="FFFFFFFF"/>
      <name val="Aptos Narrow"/>
      <scheme val="minor"/>
    </font>
    <font>
      <b/>
      <sz val="12"/>
      <color rgb="FF1F4E79"/>
      <name val="Aptos Display"/>
    </font>
    <font>
      <i/>
      <sz val="8"/>
      <color rgb="FF999999"/>
      <name val="Aptos Narrow"/>
      <family val="2"/>
      <scheme val="minor"/>
    </font>
    <font>
      <b/>
      <sz val="11"/>
      <color rgb="FFFFFFFF"/>
      <name val="Aptos Narrow"/>
      <family val="2"/>
      <scheme val="minor"/>
    </font>
    <font>
      <sz val="10"/>
      <color theme="1"/>
      <name val="Aptos Narrow"/>
      <family val="2"/>
      <scheme val="minor"/>
    </font>
    <font>
      <i/>
      <sz val="12"/>
      <color rgb="FF666666"/>
      <name val="Aptos Narrow"/>
      <family val="2"/>
      <scheme val="minor"/>
    </font>
    <font>
      <b/>
      <sz val="11"/>
      <color rgb="FF1F4E79"/>
      <name val="Aptos Narrow"/>
      <family val="2"/>
      <scheme val="minor"/>
    </font>
    <font>
      <sz val="11"/>
      <color rgb="FFBF6900"/>
      <name val="Aptos Narrow"/>
      <family val="2"/>
      <scheme val="minor"/>
    </font>
    <font>
      <b/>
      <sz val="28"/>
      <color rgb="FF1F4E79"/>
      <name val="Aptos Display"/>
      <family val="2"/>
    </font>
    <font>
      <b/>
      <sz val="28"/>
      <color rgb="FF2E75B6"/>
      <name val="Aptos Display"/>
      <family val="2"/>
    </font>
    <font>
      <b/>
      <sz val="14"/>
      <color rgb="FF1F4E79"/>
      <name val="Aptos Display"/>
      <family val="2"/>
    </font>
  </fonts>
  <fills count="27">
    <fill>
      <patternFill patternType="none"/>
    </fill>
    <fill>
      <patternFill patternType="gray125"/>
    </fill>
    <fill>
      <patternFill patternType="solid">
        <fgColor theme="5" tint="0.39997558519241921"/>
        <bgColor rgb="FF000000"/>
      </patternFill>
    </fill>
    <fill>
      <patternFill patternType="solid">
        <fgColor theme="5" tint="0.39997558519241921"/>
        <bgColor indexed="64"/>
      </patternFill>
    </fill>
    <fill>
      <patternFill patternType="solid">
        <fgColor rgb="FF00FF0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D9D9D9"/>
        <bgColor rgb="FF000000"/>
      </patternFill>
    </fill>
    <fill>
      <patternFill patternType="solid">
        <fgColor theme="0" tint="-0.14999847407452621"/>
        <bgColor indexed="64"/>
      </patternFill>
    </fill>
    <fill>
      <patternFill patternType="solid">
        <fgColor rgb="FF1F4E79"/>
        <bgColor indexed="64"/>
      </patternFill>
    </fill>
    <fill>
      <patternFill patternType="solid">
        <fgColor rgb="FF2E75B6"/>
        <bgColor indexed="64"/>
      </patternFill>
    </fill>
    <fill>
      <patternFill patternType="solid">
        <fgColor rgb="FFF2F7FB"/>
        <bgColor indexed="64"/>
      </patternFill>
    </fill>
    <fill>
      <patternFill patternType="solid">
        <fgColor rgb="FFF7F9FC"/>
        <bgColor indexed="64"/>
      </patternFill>
    </fill>
    <fill>
      <patternFill patternType="solid">
        <fgColor rgb="FFFFF9EC"/>
        <bgColor indexed="64"/>
      </patternFill>
    </fill>
    <fill>
      <patternFill patternType="solid">
        <fgColor rgb="FFEBF0F7"/>
        <bgColor indexed="64"/>
      </patternFill>
    </fill>
    <fill>
      <patternFill patternType="solid">
        <fgColor rgb="FFE8F0FE"/>
        <bgColor indexed="64"/>
      </patternFill>
    </fill>
    <fill>
      <patternFill patternType="solid">
        <fgColor rgb="FFE8F5E9"/>
        <bgColor indexed="64"/>
      </patternFill>
    </fill>
    <fill>
      <patternFill patternType="solid">
        <fgColor rgb="FFFDECEC"/>
        <bgColor indexed="64"/>
      </patternFill>
    </fill>
    <fill>
      <patternFill patternType="solid">
        <fgColor rgb="FFF3E8FF"/>
        <bgColor indexed="64"/>
      </patternFill>
    </fill>
    <fill>
      <patternFill patternType="solid">
        <fgColor rgb="FFFFF8E1"/>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FF"/>
        <bgColor indexed="64"/>
      </patternFill>
    </fill>
    <fill>
      <patternFill patternType="solid">
        <fgColor rgb="FF7F7F7F"/>
        <bgColor indexed="64"/>
      </patternFill>
    </fill>
    <fill>
      <patternFill patternType="solid">
        <fgColor rgb="FFF2F2F2"/>
        <bgColor indexed="64"/>
      </patternFill>
    </fill>
    <fill>
      <patternFill patternType="solid">
        <fgColor rgb="FFE0F2F1"/>
        <bgColor indexed="64"/>
      </patternFill>
    </fill>
    <fill>
      <patternFill patternType="solid">
        <fgColor rgb="FFEFEBE9"/>
        <bgColor indexed="64"/>
      </patternFill>
    </fill>
  </fills>
  <borders count="28">
    <border>
      <left/>
      <right/>
      <top/>
      <bottom/>
      <diagonal/>
    </border>
    <border>
      <left style="thin">
        <color auto="1"/>
      </left>
      <right style="thin">
        <color auto="1"/>
      </right>
      <top/>
      <bottom/>
      <diagonal/>
    </border>
    <border>
      <left/>
      <right/>
      <top/>
      <bottom style="medium">
        <color rgb="FF0D3B66"/>
      </bottom>
      <diagonal/>
    </border>
    <border>
      <left/>
      <right style="thin">
        <color rgb="FFFFFFFF"/>
      </right>
      <top/>
      <bottom style="medium">
        <color rgb="FF0D3B66"/>
      </bottom>
      <diagonal/>
    </border>
    <border>
      <left style="thin">
        <color rgb="FFFFFFFF"/>
      </left>
      <right style="thin">
        <color rgb="FFFFFFFF"/>
      </right>
      <top/>
      <bottom style="medium">
        <color rgb="FF0D3B66"/>
      </bottom>
      <diagonal/>
    </border>
    <border>
      <left style="thin">
        <color rgb="FFFFFFFF"/>
      </left>
      <right/>
      <top/>
      <bottom style="medium">
        <color rgb="FF0D3B66"/>
      </bottom>
      <diagonal/>
    </border>
    <border>
      <left style="thick">
        <color rgb="FF1F4E79"/>
      </left>
      <right/>
      <top/>
      <bottom/>
      <diagonal/>
    </border>
    <border>
      <left/>
      <right style="thin">
        <color rgb="FFD6E4F0"/>
      </right>
      <top/>
      <bottom/>
      <diagonal/>
    </border>
    <border>
      <left style="thick">
        <color rgb="FF1F4E79"/>
      </left>
      <right/>
      <top style="thin">
        <color rgb="FFD6E4F0"/>
      </top>
      <bottom/>
      <diagonal/>
    </border>
    <border>
      <left/>
      <right style="thin">
        <color rgb="FFD6E4F0"/>
      </right>
      <top style="thin">
        <color rgb="FFD6E4F0"/>
      </top>
      <bottom/>
      <diagonal/>
    </border>
    <border>
      <left style="thick">
        <color rgb="FFD4A017"/>
      </left>
      <right/>
      <top/>
      <bottom/>
      <diagonal/>
    </border>
    <border>
      <left/>
      <right style="thin">
        <color rgb="FFF0E0B0"/>
      </right>
      <top/>
      <bottom/>
      <diagonal/>
    </border>
    <border>
      <left/>
      <right style="thin">
        <color rgb="FFF0E0B0"/>
      </right>
      <top/>
      <bottom style="thin">
        <color rgb="FF1F4E79"/>
      </bottom>
      <diagonal/>
    </border>
    <border>
      <left/>
      <right style="thin">
        <color rgb="FFF0E0B0"/>
      </right>
      <top style="thin">
        <color rgb="FFF0E0B0"/>
      </top>
      <bottom/>
      <diagonal/>
    </border>
    <border>
      <left/>
      <right/>
      <top style="thin">
        <color rgb="FFD6D6D6"/>
      </top>
      <bottom/>
      <diagonal/>
    </border>
    <border>
      <left/>
      <right/>
      <top/>
      <bottom style="thin">
        <color rgb="FFD6D6D6"/>
      </bottom>
      <diagonal/>
    </border>
    <border>
      <left style="thin">
        <color rgb="FFD6D6D6"/>
      </left>
      <right/>
      <top style="thin">
        <color rgb="FFD6D6D6"/>
      </top>
      <bottom/>
      <diagonal/>
    </border>
    <border>
      <left style="thin">
        <color rgb="FFD6D6D6"/>
      </left>
      <right/>
      <top/>
      <bottom/>
      <diagonal/>
    </border>
    <border>
      <left style="thin">
        <color rgb="FFD6D6D6"/>
      </left>
      <right/>
      <top/>
      <bottom style="thin">
        <color rgb="FFD6D6D6"/>
      </bottom>
      <diagonal/>
    </border>
    <border>
      <left style="thin">
        <color rgb="FFD6D6D6"/>
      </left>
      <right style="thin">
        <color rgb="FFD6D6D6"/>
      </right>
      <top style="thin">
        <color rgb="FFD6D6D6"/>
      </top>
      <bottom/>
      <diagonal/>
    </border>
    <border>
      <left style="thin">
        <color rgb="FFD6D6D6"/>
      </left>
      <right style="thin">
        <color rgb="FFD6D6D6"/>
      </right>
      <top/>
      <bottom/>
      <diagonal/>
    </border>
    <border>
      <left style="thin">
        <color rgb="FFD6D6D6"/>
      </left>
      <right style="thin">
        <color rgb="FFD6D6D6"/>
      </right>
      <top/>
      <bottom style="thin">
        <color rgb="FFD6D6D6"/>
      </bottom>
      <diagonal/>
    </border>
    <border>
      <left/>
      <right/>
      <top/>
      <bottom style="thin">
        <color rgb="FF0D3B66"/>
      </bottom>
      <diagonal/>
    </border>
    <border>
      <left/>
      <right/>
      <top style="medium">
        <color rgb="FF1F4E79"/>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rgb="FFFFFFFF"/>
      </left>
      <right/>
      <top/>
      <bottom style="thin">
        <color rgb="FF0D3B66"/>
      </bottom>
      <diagonal/>
    </border>
    <border>
      <left style="thick">
        <color rgb="FF1F4E79"/>
      </left>
      <right/>
      <top/>
      <bottom style="thin">
        <color rgb="FFF0E0B0"/>
      </bottom>
      <diagonal/>
    </border>
  </borders>
  <cellStyleXfs count="2">
    <xf numFmtId="0" fontId="0" fillId="0" borderId="0"/>
    <xf numFmtId="0" fontId="1" fillId="0" borderId="0" applyNumberFormat="0" applyFill="0" applyBorder="0" applyAlignment="0" applyProtection="0"/>
  </cellStyleXfs>
  <cellXfs count="199">
    <xf numFmtId="0" fontId="0" fillId="0" borderId="0" xfId="0"/>
    <xf numFmtId="0" fontId="4" fillId="0" borderId="0" xfId="0" applyFont="1"/>
    <xf numFmtId="14" fontId="4" fillId="0" borderId="0" xfId="0" applyNumberFormat="1" applyFont="1" applyAlignment="1">
      <alignment horizontal="center"/>
    </xf>
    <xf numFmtId="0" fontId="4" fillId="0" borderId="0" xfId="0" applyFont="1" applyAlignment="1">
      <alignment wrapText="1"/>
    </xf>
    <xf numFmtId="49" fontId="4" fillId="0" borderId="0" xfId="0" applyNumberFormat="1"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4" fillId="4" borderId="0" xfId="0" applyFont="1" applyFill="1" applyAlignment="1">
      <alignment horizontal="center"/>
    </xf>
    <xf numFmtId="0" fontId="6" fillId="0" borderId="0" xfId="1" applyFont="1"/>
    <xf numFmtId="49" fontId="4" fillId="4" borderId="0" xfId="0" applyNumberFormat="1" applyFont="1" applyFill="1" applyAlignment="1">
      <alignment horizontal="center"/>
    </xf>
    <xf numFmtId="0" fontId="7" fillId="0" borderId="0" xfId="0" applyFont="1" applyAlignment="1">
      <alignment horizontal="center"/>
    </xf>
    <xf numFmtId="0" fontId="4" fillId="5" borderId="0" xfId="0" applyFont="1" applyFill="1" applyAlignment="1">
      <alignment wrapText="1"/>
    </xf>
    <xf numFmtId="49" fontId="4" fillId="0" borderId="0" xfId="0" applyNumberFormat="1" applyFont="1" applyAlignment="1">
      <alignment horizontal="center" vertical="top"/>
    </xf>
    <xf numFmtId="8" fontId="4" fillId="0" borderId="0" xfId="0" applyNumberFormat="1" applyFont="1" applyAlignment="1">
      <alignment horizontal="center"/>
    </xf>
    <xf numFmtId="14" fontId="4" fillId="5" borderId="0" xfId="0" applyNumberFormat="1" applyFont="1" applyFill="1" applyAlignment="1">
      <alignment horizontal="center"/>
    </xf>
    <xf numFmtId="8" fontId="4" fillId="4" borderId="0" xfId="0" applyNumberFormat="1" applyFont="1" applyFill="1" applyAlignment="1">
      <alignment horizontal="center"/>
    </xf>
    <xf numFmtId="0" fontId="7" fillId="0" borderId="0" xfId="1" applyFont="1" applyAlignment="1">
      <alignment horizontal="center"/>
    </xf>
    <xf numFmtId="0" fontId="4" fillId="5" borderId="0" xfId="0" applyFont="1" applyFill="1" applyAlignment="1">
      <alignment horizontal="center"/>
    </xf>
    <xf numFmtId="0" fontId="9" fillId="0" borderId="0" xfId="0" applyFont="1" applyAlignment="1">
      <alignment horizontal="center" vertical="center"/>
    </xf>
    <xf numFmtId="0" fontId="9" fillId="0" borderId="0" xfId="0" applyFont="1" applyAlignment="1">
      <alignment horizontal="center"/>
    </xf>
    <xf numFmtId="6" fontId="4" fillId="0" borderId="0" xfId="0" applyNumberFormat="1" applyFont="1" applyAlignment="1">
      <alignment horizontal="center"/>
    </xf>
    <xf numFmtId="16" fontId="4" fillId="0" borderId="0" xfId="0" applyNumberFormat="1" applyFont="1"/>
    <xf numFmtId="49" fontId="9" fillId="0" borderId="0" xfId="0" applyNumberFormat="1" applyFont="1" applyAlignment="1">
      <alignment horizontal="center"/>
    </xf>
    <xf numFmtId="14" fontId="4" fillId="0" borderId="0" xfId="0" applyNumberFormat="1" applyFont="1"/>
    <xf numFmtId="0" fontId="4" fillId="0" borderId="0" xfId="0" applyFont="1" applyAlignment="1">
      <alignment horizontal="right"/>
    </xf>
    <xf numFmtId="0" fontId="4" fillId="5" borderId="0" xfId="0" applyFont="1" applyFill="1"/>
    <xf numFmtId="49" fontId="4" fillId="5" borderId="0" xfId="0" applyNumberFormat="1" applyFont="1" applyFill="1" applyAlignment="1">
      <alignment horizontal="center"/>
    </xf>
    <xf numFmtId="49" fontId="4" fillId="0" borderId="0" xfId="0" applyNumberFormat="1" applyFont="1" applyAlignment="1">
      <alignment horizontal="left"/>
    </xf>
    <xf numFmtId="0" fontId="7" fillId="0" borderId="0" xfId="0" applyFont="1"/>
    <xf numFmtId="0" fontId="4" fillId="6" borderId="0" xfId="0" applyFont="1" applyFill="1"/>
    <xf numFmtId="14" fontId="4" fillId="4" borderId="0" xfId="0" applyNumberFormat="1" applyFont="1" applyFill="1" applyAlignment="1">
      <alignment horizontal="center"/>
    </xf>
    <xf numFmtId="0" fontId="4" fillId="0" borderId="0" xfId="0" applyFont="1" applyAlignment="1">
      <alignment horizontal="left"/>
    </xf>
    <xf numFmtId="0" fontId="6" fillId="0" borderId="0" xfId="1" applyFont="1" applyFill="1"/>
    <xf numFmtId="0" fontId="8" fillId="0" borderId="0" xfId="0" applyFont="1"/>
    <xf numFmtId="14" fontId="9" fillId="0" borderId="0" xfId="0" applyNumberFormat="1" applyFont="1" applyAlignment="1">
      <alignment horizontal="center"/>
    </xf>
    <xf numFmtId="0" fontId="9" fillId="0" borderId="0" xfId="0" applyFont="1"/>
    <xf numFmtId="0" fontId="10" fillId="0" borderId="0" xfId="0" applyFont="1"/>
    <xf numFmtId="14" fontId="9" fillId="7" borderId="0" xfId="0" applyNumberFormat="1" applyFont="1" applyFill="1" applyAlignment="1">
      <alignment horizontal="center"/>
    </xf>
    <xf numFmtId="0" fontId="9" fillId="7" borderId="0" xfId="0" applyFont="1" applyFill="1"/>
    <xf numFmtId="0" fontId="9" fillId="7" borderId="0" xfId="0" applyFont="1" applyFill="1" applyAlignment="1">
      <alignment horizontal="center"/>
    </xf>
    <xf numFmtId="0" fontId="11" fillId="0" borderId="0" xfId="0" applyFont="1"/>
    <xf numFmtId="0" fontId="1" fillId="0" borderId="0" xfId="1" applyFill="1"/>
    <xf numFmtId="14" fontId="8" fillId="0" borderId="0" xfId="0" applyNumberFormat="1" applyFont="1" applyAlignment="1">
      <alignment horizontal="center"/>
    </xf>
    <xf numFmtId="0" fontId="8" fillId="0" borderId="0" xfId="0" applyFont="1" applyAlignment="1">
      <alignment horizontal="center"/>
    </xf>
    <xf numFmtId="0" fontId="12" fillId="0" borderId="0" xfId="0" applyFont="1"/>
    <xf numFmtId="49" fontId="8" fillId="0" borderId="0" xfId="0" applyNumberFormat="1" applyFont="1" applyAlignment="1">
      <alignment horizontal="center"/>
    </xf>
    <xf numFmtId="0" fontId="4" fillId="8" borderId="0" xfId="0" applyFont="1" applyFill="1"/>
    <xf numFmtId="0" fontId="4" fillId="8" borderId="0" xfId="1" applyFont="1" applyFill="1"/>
    <xf numFmtId="8" fontId="8" fillId="0" borderId="0" xfId="0" applyNumberFormat="1" applyFont="1" applyAlignment="1">
      <alignment horizontal="center"/>
    </xf>
    <xf numFmtId="49" fontId="13" fillId="0" borderId="0" xfId="0" applyNumberFormat="1" applyFont="1" applyAlignment="1">
      <alignment horizontal="center"/>
    </xf>
    <xf numFmtId="0" fontId="11" fillId="0" borderId="0" xfId="0" applyFont="1" applyAlignment="1">
      <alignment horizontal="left"/>
    </xf>
    <xf numFmtId="0" fontId="13" fillId="0" borderId="0" xfId="0" applyFont="1" applyAlignment="1">
      <alignment horizontal="center"/>
    </xf>
    <xf numFmtId="0" fontId="10" fillId="0" borderId="0" xfId="1" applyFont="1" applyFill="1" applyAlignment="1">
      <alignment horizontal="left"/>
    </xf>
    <xf numFmtId="0" fontId="14" fillId="0" borderId="0" xfId="1" applyFont="1" applyFill="1" applyAlignment="1">
      <alignment horizontal="left"/>
    </xf>
    <xf numFmtId="14" fontId="10" fillId="8" borderId="0" xfId="0" applyNumberFormat="1" applyFont="1" applyFill="1"/>
    <xf numFmtId="0" fontId="10" fillId="8" borderId="0" xfId="0" applyFont="1" applyFill="1"/>
    <xf numFmtId="14" fontId="14" fillId="8" borderId="0" xfId="0" applyNumberFormat="1" applyFont="1" applyFill="1"/>
    <xf numFmtId="0" fontId="14" fillId="8" borderId="0" xfId="0" applyFont="1" applyFill="1"/>
    <xf numFmtId="14" fontId="10" fillId="0" borderId="0" xfId="0" applyNumberFormat="1" applyFont="1"/>
    <xf numFmtId="14" fontId="8" fillId="0" borderId="0" xfId="0" applyNumberFormat="1" applyFont="1"/>
    <xf numFmtId="0" fontId="13" fillId="0" borderId="0" xfId="0" applyFont="1"/>
    <xf numFmtId="14" fontId="9" fillId="0" borderId="0" xfId="0" applyNumberFormat="1" applyFont="1"/>
    <xf numFmtId="0" fontId="15" fillId="0" borderId="0" xfId="0" applyFont="1"/>
    <xf numFmtId="0" fontId="14" fillId="0" borderId="0" xfId="0" applyFont="1"/>
    <xf numFmtId="0" fontId="16" fillId="0" borderId="0" xfId="0" applyFont="1" applyAlignment="1">
      <alignment horizontal="center"/>
    </xf>
    <xf numFmtId="164" fontId="8" fillId="0" borderId="0" xfId="0" applyNumberFormat="1" applyFont="1" applyAlignment="1">
      <alignment horizontal="center"/>
    </xf>
    <xf numFmtId="0" fontId="4" fillId="0" borderId="0" xfId="0" quotePrefix="1" applyFont="1"/>
    <xf numFmtId="0" fontId="8" fillId="0" borderId="0" xfId="0" quotePrefix="1" applyFont="1"/>
    <xf numFmtId="0" fontId="10" fillId="0" borderId="0" xfId="0" applyFont="1" applyAlignment="1">
      <alignment horizontal="center"/>
    </xf>
    <xf numFmtId="14" fontId="10" fillId="0" borderId="0" xfId="0" applyNumberFormat="1" applyFont="1" applyAlignment="1">
      <alignment horizontal="center"/>
    </xf>
    <xf numFmtId="14" fontId="14" fillId="0" borderId="0" xfId="0" applyNumberFormat="1" applyFont="1"/>
    <xf numFmtId="0" fontId="14" fillId="0" borderId="0" xfId="0" applyFont="1" applyAlignment="1">
      <alignment horizontal="center"/>
    </xf>
    <xf numFmtId="8" fontId="14" fillId="0" borderId="0" xfId="0" applyNumberFormat="1" applyFont="1" applyAlignment="1">
      <alignment horizontal="center"/>
    </xf>
    <xf numFmtId="14" fontId="14" fillId="0" borderId="0" xfId="0" applyNumberFormat="1" applyFont="1" applyAlignment="1">
      <alignment horizontal="center"/>
    </xf>
    <xf numFmtId="8" fontId="14" fillId="0" borderId="0" xfId="0" applyNumberFormat="1" applyFont="1"/>
    <xf numFmtId="8" fontId="10" fillId="8" borderId="0" xfId="0" applyNumberFormat="1" applyFont="1" applyFill="1"/>
    <xf numFmtId="165" fontId="20" fillId="0" borderId="0" xfId="0" applyNumberFormat="1" applyFont="1"/>
    <xf numFmtId="0" fontId="20" fillId="0" borderId="0" xfId="0" applyFont="1"/>
    <xf numFmtId="0" fontId="20" fillId="11" borderId="0" xfId="0" applyFont="1" applyFill="1"/>
    <xf numFmtId="165" fontId="20" fillId="11" borderId="0" xfId="0" applyNumberFormat="1" applyFont="1" applyFill="1"/>
    <xf numFmtId="0" fontId="18" fillId="9" borderId="3" xfId="0" applyFont="1" applyFill="1" applyBorder="1" applyAlignment="1">
      <alignment horizontal="center" wrapText="1"/>
    </xf>
    <xf numFmtId="0" fontId="18" fillId="9" borderId="4" xfId="0" applyFont="1" applyFill="1" applyBorder="1" applyAlignment="1">
      <alignment horizontal="center" wrapText="1"/>
    </xf>
    <xf numFmtId="0" fontId="18" fillId="10" borderId="4" xfId="0" applyFont="1" applyFill="1" applyBorder="1" applyAlignment="1">
      <alignment horizontal="center" wrapText="1"/>
    </xf>
    <xf numFmtId="0" fontId="18" fillId="10" borderId="5" xfId="0" applyFont="1" applyFill="1" applyBorder="1" applyAlignment="1">
      <alignment horizontal="center" wrapText="1"/>
    </xf>
    <xf numFmtId="0" fontId="21" fillId="0" borderId="0" xfId="0" applyFont="1"/>
    <xf numFmtId="0" fontId="17" fillId="0" borderId="0" xfId="0" applyFont="1" applyAlignment="1">
      <alignment horizontal="right"/>
    </xf>
    <xf numFmtId="0" fontId="25" fillId="0" borderId="0" xfId="0" applyFont="1"/>
    <xf numFmtId="0" fontId="26" fillId="0" borderId="0" xfId="0" applyFont="1"/>
    <xf numFmtId="0" fontId="23" fillId="12" borderId="6" xfId="0" applyFont="1" applyFill="1" applyBorder="1" applyAlignment="1">
      <alignment horizontal="left"/>
    </xf>
    <xf numFmtId="0" fontId="22" fillId="12" borderId="6" xfId="0" applyFont="1" applyFill="1" applyBorder="1" applyAlignment="1">
      <alignment horizontal="right"/>
    </xf>
    <xf numFmtId="0" fontId="19" fillId="12" borderId="7" xfId="0" applyFont="1" applyFill="1" applyBorder="1"/>
    <xf numFmtId="0" fontId="27" fillId="12" borderId="7" xfId="0" applyFont="1" applyFill="1" applyBorder="1"/>
    <xf numFmtId="0" fontId="0" fillId="12" borderId="8" xfId="0" applyFill="1" applyBorder="1"/>
    <xf numFmtId="0" fontId="0" fillId="12" borderId="9" xfId="0" applyFill="1" applyBorder="1"/>
    <xf numFmtId="0" fontId="24" fillId="13" borderId="10" xfId="0" applyFont="1" applyFill="1" applyBorder="1" applyAlignment="1">
      <alignment horizontal="right"/>
    </xf>
    <xf numFmtId="0" fontId="0" fillId="13" borderId="10" xfId="0" applyFill="1" applyBorder="1"/>
    <xf numFmtId="0" fontId="22" fillId="13" borderId="10" xfId="0" applyFont="1" applyFill="1" applyBorder="1" applyAlignment="1">
      <alignment horizontal="right"/>
    </xf>
    <xf numFmtId="0" fontId="0" fillId="13" borderId="11" xfId="0" applyFill="1" applyBorder="1"/>
    <xf numFmtId="0" fontId="19" fillId="13" borderId="11" xfId="0" applyFont="1" applyFill="1" applyBorder="1"/>
    <xf numFmtId="165" fontId="19" fillId="13" borderId="11" xfId="0" applyNumberFormat="1" applyFont="1" applyFill="1" applyBorder="1"/>
    <xf numFmtId="0" fontId="19" fillId="13" borderId="12" xfId="0" applyFont="1" applyFill="1" applyBorder="1"/>
    <xf numFmtId="0" fontId="0" fillId="13" borderId="13" xfId="0" applyFill="1" applyBorder="1"/>
    <xf numFmtId="0" fontId="23" fillId="12" borderId="7" xfId="0" applyFont="1" applyFill="1" applyBorder="1"/>
    <xf numFmtId="0" fontId="28" fillId="0" borderId="0" xfId="0" applyFont="1"/>
    <xf numFmtId="0" fontId="24" fillId="0" borderId="0" xfId="0" applyFont="1"/>
    <xf numFmtId="0" fontId="32" fillId="9" borderId="0" xfId="0" applyFont="1" applyFill="1"/>
    <xf numFmtId="0" fontId="32" fillId="9" borderId="0" xfId="0" applyFont="1" applyFill="1" applyAlignment="1">
      <alignment horizontal="center" wrapText="1"/>
    </xf>
    <xf numFmtId="0" fontId="32" fillId="9" borderId="2" xfId="0" applyFont="1" applyFill="1" applyBorder="1" applyAlignment="1">
      <alignment horizontal="center" wrapText="1"/>
    </xf>
    <xf numFmtId="165" fontId="20" fillId="0" borderId="0" xfId="0" applyNumberFormat="1" applyFont="1" applyAlignment="1">
      <alignment horizontal="center"/>
    </xf>
    <xf numFmtId="0" fontId="20" fillId="0" borderId="0" xfId="0" applyFont="1" applyAlignment="1">
      <alignment horizontal="center"/>
    </xf>
    <xf numFmtId="165" fontId="20" fillId="11" borderId="0" xfId="0" applyNumberFormat="1" applyFont="1" applyFill="1" applyAlignment="1">
      <alignment horizontal="center"/>
    </xf>
    <xf numFmtId="0" fontId="20" fillId="11" borderId="0" xfId="0" applyFont="1" applyFill="1" applyAlignment="1">
      <alignment horizontal="center"/>
    </xf>
    <xf numFmtId="0" fontId="31" fillId="0" borderId="0" xfId="0" applyFont="1" applyAlignment="1">
      <alignment horizontal="left"/>
    </xf>
    <xf numFmtId="0" fontId="31" fillId="14" borderId="23" xfId="0" applyFont="1" applyFill="1" applyBorder="1" applyAlignment="1">
      <alignment horizontal="left"/>
    </xf>
    <xf numFmtId="0" fontId="20" fillId="14" borderId="23" xfId="0" applyFont="1" applyFill="1" applyBorder="1" applyAlignment="1">
      <alignment horizontal="center"/>
    </xf>
    <xf numFmtId="0" fontId="31" fillId="11" borderId="0" xfId="0" applyFont="1" applyFill="1" applyAlignment="1">
      <alignment horizontal="left"/>
    </xf>
    <xf numFmtId="0" fontId="33" fillId="0" borderId="0" xfId="0" applyFont="1"/>
    <xf numFmtId="0" fontId="34" fillId="0" borderId="0" xfId="0" applyFont="1"/>
    <xf numFmtId="14" fontId="2" fillId="2" borderId="1" xfId="0" applyNumberFormat="1" applyFont="1" applyFill="1" applyBorder="1" applyAlignment="1">
      <alignment wrapText="1"/>
    </xf>
    <xf numFmtId="0" fontId="2" fillId="2" borderId="1" xfId="0" applyFont="1" applyFill="1" applyBorder="1" applyAlignment="1">
      <alignment horizontal="center" wrapText="1"/>
    </xf>
    <xf numFmtId="0" fontId="2" fillId="2" borderId="1" xfId="0" applyFont="1" applyFill="1" applyBorder="1" applyAlignment="1">
      <alignment horizontal="center"/>
    </xf>
    <xf numFmtId="49" fontId="3" fillId="3" borderId="1" xfId="0" applyNumberFormat="1" applyFont="1" applyFill="1" applyBorder="1" applyAlignment="1">
      <alignment horizontal="center"/>
    </xf>
    <xf numFmtId="0" fontId="2" fillId="3" borderId="1" xfId="0" applyFont="1" applyFill="1" applyBorder="1" applyAlignment="1">
      <alignment horizontal="center" wrapText="1"/>
    </xf>
    <xf numFmtId="0" fontId="3" fillId="3" borderId="1" xfId="0" applyFont="1" applyFill="1" applyBorder="1" applyAlignment="1">
      <alignment horizontal="center"/>
    </xf>
    <xf numFmtId="0" fontId="3" fillId="3" borderId="1" xfId="0" applyFont="1" applyFill="1" applyBorder="1" applyAlignment="1">
      <alignment horizontal="center" wrapText="1"/>
    </xf>
    <xf numFmtId="0" fontId="2" fillId="2" borderId="1" xfId="0" applyFont="1" applyFill="1" applyBorder="1" applyAlignment="1">
      <alignment wrapText="1"/>
    </xf>
    <xf numFmtId="0" fontId="4" fillId="21" borderId="0" xfId="0" applyFont="1" applyFill="1"/>
    <xf numFmtId="0" fontId="0" fillId="22" borderId="0" xfId="0" applyFill="1"/>
    <xf numFmtId="0" fontId="17" fillId="12" borderId="7" xfId="0" applyFont="1" applyFill="1" applyBorder="1" applyAlignment="1">
      <alignment horizontal="left"/>
    </xf>
    <xf numFmtId="0" fontId="1" fillId="12" borderId="7" xfId="1" applyFill="1" applyBorder="1"/>
    <xf numFmtId="0" fontId="36" fillId="0" borderId="0" xfId="0" applyFont="1"/>
    <xf numFmtId="0" fontId="36" fillId="0" borderId="0" xfId="0" applyFont="1" applyAlignment="1">
      <alignment wrapText="1"/>
    </xf>
    <xf numFmtId="0" fontId="35" fillId="9" borderId="22" xfId="0" applyFont="1" applyFill="1" applyBorder="1" applyAlignment="1">
      <alignment horizontal="center"/>
    </xf>
    <xf numFmtId="0" fontId="35" fillId="23" borderId="26" xfId="0" applyFont="1" applyFill="1" applyBorder="1" applyAlignment="1">
      <alignment horizontal="center" wrapText="1"/>
    </xf>
    <xf numFmtId="0" fontId="37" fillId="0" borderId="0" xfId="0" applyFont="1"/>
    <xf numFmtId="0" fontId="0" fillId="24" borderId="0" xfId="0" applyFill="1"/>
    <xf numFmtId="49" fontId="25" fillId="0" borderId="0" xfId="0" applyNumberFormat="1" applyFont="1"/>
    <xf numFmtId="14" fontId="4" fillId="20" borderId="25" xfId="0" applyNumberFormat="1" applyFont="1" applyFill="1" applyBorder="1" applyAlignment="1">
      <alignment horizontal="center"/>
    </xf>
    <xf numFmtId="0" fontId="4" fillId="20" borderId="24" xfId="0" applyFont="1" applyFill="1" applyBorder="1"/>
    <xf numFmtId="0" fontId="4" fillId="20" borderId="24" xfId="0" applyFont="1" applyFill="1" applyBorder="1" applyAlignment="1">
      <alignment wrapText="1"/>
    </xf>
    <xf numFmtId="49" fontId="4" fillId="20" borderId="24" xfId="0" applyNumberFormat="1" applyFont="1" applyFill="1" applyBorder="1" applyAlignment="1">
      <alignment horizontal="center"/>
    </xf>
    <xf numFmtId="0" fontId="4" fillId="20" borderId="24" xfId="0" applyFont="1" applyFill="1" applyBorder="1" applyAlignment="1">
      <alignment horizontal="center"/>
    </xf>
    <xf numFmtId="14" fontId="4" fillId="0" borderId="25" xfId="0" applyNumberFormat="1" applyFont="1" applyBorder="1" applyAlignment="1">
      <alignment horizontal="center"/>
    </xf>
    <xf numFmtId="0" fontId="4" fillId="0" borderId="24" xfId="0" applyFont="1" applyBorder="1"/>
    <xf numFmtId="0" fontId="4" fillId="0" borderId="24" xfId="0" applyFont="1" applyBorder="1" applyAlignment="1">
      <alignment wrapText="1"/>
    </xf>
    <xf numFmtId="49" fontId="4" fillId="0" borderId="24" xfId="0" applyNumberFormat="1" applyFont="1" applyBorder="1" applyAlignment="1">
      <alignment horizontal="center"/>
    </xf>
    <xf numFmtId="0" fontId="4" fillId="0" borderId="24" xfId="0" applyFont="1" applyBorder="1" applyAlignment="1">
      <alignment horizontal="center"/>
    </xf>
    <xf numFmtId="0" fontId="5" fillId="0" borderId="24" xfId="0" applyFont="1" applyBorder="1" applyAlignment="1">
      <alignment horizontal="center"/>
    </xf>
    <xf numFmtId="0" fontId="5" fillId="20" borderId="24" xfId="0" applyFont="1" applyFill="1" applyBorder="1" applyAlignment="1">
      <alignment horizontal="center"/>
    </xf>
    <xf numFmtId="0" fontId="7" fillId="0" borderId="24" xfId="0" applyFont="1" applyBorder="1" applyAlignment="1">
      <alignment horizontal="center"/>
    </xf>
    <xf numFmtId="16" fontId="4" fillId="0" borderId="24" xfId="0" applyNumberFormat="1" applyFont="1" applyBorder="1"/>
    <xf numFmtId="14" fontId="4" fillId="5" borderId="25" xfId="0" applyNumberFormat="1" applyFont="1" applyFill="1" applyBorder="1" applyAlignment="1">
      <alignment horizontal="center"/>
    </xf>
    <xf numFmtId="0" fontId="4" fillId="5" borderId="24" xfId="0" applyFont="1" applyFill="1" applyBorder="1"/>
    <xf numFmtId="49" fontId="4" fillId="5" borderId="24" xfId="0" applyNumberFormat="1" applyFont="1" applyFill="1" applyBorder="1" applyAlignment="1">
      <alignment horizontal="center"/>
    </xf>
    <xf numFmtId="0" fontId="4" fillId="0" borderId="25" xfId="0" applyFont="1" applyBorder="1" applyAlignment="1">
      <alignment horizontal="center"/>
    </xf>
    <xf numFmtId="0" fontId="6" fillId="20" borderId="24" xfId="1" applyFont="1" applyFill="1" applyBorder="1"/>
    <xf numFmtId="0" fontId="6" fillId="0" borderId="24" xfId="1" applyFont="1" applyBorder="1"/>
    <xf numFmtId="14" fontId="4" fillId="0" borderId="24" xfId="0" applyNumberFormat="1" applyFont="1" applyBorder="1" applyAlignment="1">
      <alignment horizontal="center"/>
    </xf>
    <xf numFmtId="14" fontId="4" fillId="20" borderId="24" xfId="0" applyNumberFormat="1" applyFont="1" applyFill="1" applyBorder="1" applyAlignment="1">
      <alignment horizontal="center"/>
    </xf>
    <xf numFmtId="14" fontId="9" fillId="7" borderId="25" xfId="0" applyNumberFormat="1" applyFont="1" applyFill="1" applyBorder="1" applyAlignment="1">
      <alignment horizontal="center"/>
    </xf>
    <xf numFmtId="0" fontId="9" fillId="7" borderId="24" xfId="0" applyFont="1" applyFill="1" applyBorder="1"/>
    <xf numFmtId="0" fontId="9" fillId="7" borderId="24" xfId="0" applyFont="1" applyFill="1" applyBorder="1" applyAlignment="1">
      <alignment horizontal="center"/>
    </xf>
    <xf numFmtId="0" fontId="9" fillId="0" borderId="24" xfId="0" applyFont="1" applyBorder="1"/>
    <xf numFmtId="0" fontId="9" fillId="20" borderId="24" xfId="0" applyFont="1" applyFill="1" applyBorder="1"/>
    <xf numFmtId="0" fontId="11" fillId="20" borderId="24" xfId="0" applyFont="1" applyFill="1" applyBorder="1"/>
    <xf numFmtId="0" fontId="1" fillId="20" borderId="24" xfId="1" applyFill="1" applyBorder="1"/>
    <xf numFmtId="0" fontId="11" fillId="0" borderId="24" xfId="0" applyFont="1" applyBorder="1"/>
    <xf numFmtId="0" fontId="1" fillId="22" borderId="0" xfId="1" applyFill="1"/>
    <xf numFmtId="0" fontId="39" fillId="12" borderId="0" xfId="0" applyFont="1" applyFill="1"/>
    <xf numFmtId="0" fontId="38" fillId="12" borderId="27" xfId="0" applyFont="1" applyFill="1" applyBorder="1" applyAlignment="1">
      <alignment horizontal="right"/>
    </xf>
    <xf numFmtId="0" fontId="29" fillId="14" borderId="16" xfId="0" applyFont="1" applyFill="1" applyBorder="1" applyAlignment="1">
      <alignment horizontal="center"/>
    </xf>
    <xf numFmtId="0" fontId="29" fillId="15" borderId="16" xfId="0" applyFont="1" applyFill="1" applyBorder="1" applyAlignment="1">
      <alignment horizontal="center"/>
    </xf>
    <xf numFmtId="0" fontId="29" fillId="15" borderId="19" xfId="0" applyFont="1" applyFill="1" applyBorder="1" applyAlignment="1">
      <alignment horizontal="center"/>
    </xf>
    <xf numFmtId="0" fontId="29" fillId="16" borderId="16" xfId="0" applyFont="1" applyFill="1" applyBorder="1" applyAlignment="1">
      <alignment horizontal="center"/>
    </xf>
    <xf numFmtId="0" fontId="29" fillId="17" borderId="16" xfId="0" applyFont="1" applyFill="1" applyBorder="1" applyAlignment="1">
      <alignment horizontal="center"/>
    </xf>
    <xf numFmtId="0" fontId="29" fillId="18" borderId="19" xfId="0" applyFont="1" applyFill="1" applyBorder="1" applyAlignment="1">
      <alignment horizontal="center"/>
    </xf>
    <xf numFmtId="0" fontId="40" fillId="14" borderId="17" xfId="0" applyFont="1" applyFill="1" applyBorder="1" applyAlignment="1">
      <alignment horizontal="center"/>
    </xf>
    <xf numFmtId="0" fontId="41" fillId="15" borderId="17" xfId="0" applyFont="1" applyFill="1" applyBorder="1" applyAlignment="1">
      <alignment horizontal="center"/>
    </xf>
    <xf numFmtId="0" fontId="41" fillId="15" borderId="20" xfId="0" applyFont="1" applyFill="1" applyBorder="1" applyAlignment="1">
      <alignment horizontal="center"/>
    </xf>
    <xf numFmtId="0" fontId="30" fillId="14" borderId="18" xfId="0" applyFont="1" applyFill="1" applyBorder="1" applyAlignment="1">
      <alignment horizontal="center"/>
    </xf>
    <xf numFmtId="0" fontId="30" fillId="15" borderId="18" xfId="0" applyFont="1" applyFill="1" applyBorder="1" applyAlignment="1">
      <alignment horizontal="center"/>
    </xf>
    <xf numFmtId="0" fontId="30" fillId="15" borderId="21" xfId="0" applyFont="1" applyFill="1" applyBorder="1" applyAlignment="1">
      <alignment horizontal="center"/>
    </xf>
    <xf numFmtId="0" fontId="30" fillId="16" borderId="18" xfId="0" applyFont="1" applyFill="1" applyBorder="1" applyAlignment="1">
      <alignment horizontal="center"/>
    </xf>
    <xf numFmtId="0" fontId="30" fillId="17" borderId="18" xfId="0" applyFont="1" applyFill="1" applyBorder="1" applyAlignment="1">
      <alignment horizontal="center"/>
    </xf>
    <xf numFmtId="0" fontId="30" fillId="18" borderId="21" xfId="0" applyFont="1" applyFill="1" applyBorder="1" applyAlignment="1">
      <alignment horizontal="center"/>
    </xf>
    <xf numFmtId="0" fontId="42" fillId="22" borderId="0" xfId="0" applyFont="1" applyFill="1"/>
    <xf numFmtId="0" fontId="29" fillId="19" borderId="16" xfId="0" applyFont="1" applyFill="1" applyBorder="1" applyAlignment="1">
      <alignment horizontal="center"/>
    </xf>
    <xf numFmtId="0" fontId="29" fillId="26" borderId="19" xfId="0" applyFont="1" applyFill="1" applyBorder="1" applyAlignment="1">
      <alignment horizontal="center"/>
    </xf>
    <xf numFmtId="0" fontId="30" fillId="19" borderId="18" xfId="0" applyFont="1" applyFill="1" applyBorder="1" applyAlignment="1">
      <alignment horizontal="center"/>
    </xf>
    <xf numFmtId="0" fontId="30" fillId="26" borderId="21" xfId="0" applyFont="1" applyFill="1" applyBorder="1" applyAlignment="1">
      <alignment horizontal="center"/>
    </xf>
    <xf numFmtId="0" fontId="29" fillId="25" borderId="14" xfId="0" applyFont="1" applyFill="1" applyBorder="1" applyAlignment="1">
      <alignment horizontal="center"/>
    </xf>
    <xf numFmtId="0" fontId="30" fillId="25" borderId="15" xfId="0" applyFont="1" applyFill="1" applyBorder="1" applyAlignment="1">
      <alignment horizontal="center"/>
    </xf>
    <xf numFmtId="0" fontId="40" fillId="17" borderId="17" xfId="0" applyFont="1" applyFill="1" applyBorder="1" applyAlignment="1">
      <alignment horizontal="center"/>
    </xf>
    <xf numFmtId="167" fontId="40" fillId="19" borderId="17" xfId="0" applyNumberFormat="1" applyFont="1" applyFill="1" applyBorder="1" applyAlignment="1">
      <alignment horizontal="center"/>
    </xf>
    <xf numFmtId="0" fontId="40" fillId="15" borderId="17" xfId="0" applyFont="1" applyFill="1" applyBorder="1" applyAlignment="1">
      <alignment horizontal="center"/>
    </xf>
    <xf numFmtId="0" fontId="40" fillId="16" borderId="17" xfId="0" applyFont="1" applyFill="1" applyBorder="1" applyAlignment="1">
      <alignment horizontal="center"/>
    </xf>
    <xf numFmtId="166" fontId="40" fillId="18" borderId="20" xfId="0" applyNumberFormat="1" applyFont="1" applyFill="1" applyBorder="1" applyAlignment="1">
      <alignment horizontal="center"/>
    </xf>
    <xf numFmtId="0" fontId="40" fillId="25" borderId="0" xfId="0" applyFont="1" applyFill="1" applyAlignment="1">
      <alignment horizontal="center"/>
    </xf>
    <xf numFmtId="0" fontId="40" fillId="26" borderId="20" xfId="0" applyFont="1" applyFill="1" applyBorder="1" applyAlignment="1">
      <alignment horizontal="center"/>
    </xf>
  </cellXfs>
  <cellStyles count="2">
    <cellStyle name="Hyperlink" xfId="1" builtinId="8"/>
    <cellStyle name="Normal" xfId="0" builtinId="0"/>
  </cellStyles>
  <dxfs count="27">
    <dxf>
      <font>
        <color rgb="FFC00000"/>
      </font>
      <fill>
        <patternFill patternType="solid">
          <fgColor indexed="64"/>
          <bgColor rgb="FFFCE4EC"/>
        </patternFill>
      </fill>
    </dxf>
    <dxf>
      <font>
        <color rgb="FF7F6000"/>
      </font>
      <fill>
        <patternFill patternType="solid">
          <fgColor indexed="64"/>
          <bgColor rgb="FFFFF2CC"/>
        </patternFill>
      </fill>
    </dxf>
    <dxf>
      <font>
        <b val="0"/>
        <i val="0"/>
        <strike val="0"/>
        <condense val="0"/>
        <extend val="0"/>
        <outline val="0"/>
        <shadow val="0"/>
        <u val="none"/>
        <vertAlign val="baseline"/>
        <sz val="9"/>
        <color theme="1"/>
        <name val="Arial Nova Cond"/>
        <family val="2"/>
        <scheme val="none"/>
      </font>
      <numFmt numFmtId="0" formatCode="General"/>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Nova Cond"/>
        <family val="2"/>
        <scheme val="none"/>
      </font>
      <numFmt numFmtId="30" formatCode="@"/>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Unicode MS"/>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font>
        <b val="0"/>
        <i val="0"/>
        <strike val="0"/>
        <condense val="0"/>
        <extend val="0"/>
        <outline val="0"/>
        <shadow val="0"/>
        <u val="none"/>
        <vertAlign val="baseline"/>
        <sz val="9"/>
        <color theme="1"/>
        <name val="Arial Nova Cond"/>
        <family val="2"/>
        <scheme val="none"/>
      </font>
      <numFmt numFmtId="19" formatCode="m/d/yyyy"/>
      <fill>
        <patternFill patternType="solid">
          <fgColor indexed="64"/>
          <bgColor theme="0" tint="-0.14999847407452621"/>
        </patternFill>
      </fill>
      <alignment horizontal="center"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9"/>
        <color theme="1"/>
        <name val="Arial Nova Cond"/>
        <family val="2"/>
        <scheme val="none"/>
      </font>
      <fill>
        <patternFill patternType="solid">
          <fgColor indexed="64"/>
          <bgColor theme="0" tint="-0.14999847407452621"/>
        </patternFill>
      </fill>
    </dxf>
    <dxf>
      <border outline="0">
        <bottom style="thin">
          <color indexed="64"/>
        </bottom>
      </border>
    </dxf>
    <dxf>
      <font>
        <b/>
        <i val="0"/>
        <strike val="0"/>
        <condense val="0"/>
        <extend val="0"/>
        <outline val="0"/>
        <shadow val="0"/>
        <u val="none"/>
        <vertAlign val="baseline"/>
        <sz val="9"/>
        <color rgb="FF000000"/>
        <name val="Arial Nova Cond"/>
        <family val="2"/>
        <scheme val="none"/>
      </font>
      <fill>
        <patternFill patternType="solid">
          <fgColor rgb="FF000000"/>
          <bgColor theme="5" tint="0.39997558519241921"/>
        </patternFill>
      </fill>
      <alignment horizontal="general"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Dashboard!$N$4</c:f>
              <c:strCache>
                <c:ptCount val="1"/>
                <c:pt idx="0">
                  <c:v>Count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72D-4552-9F26-42642F81E1C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72D-4552-9F26-42642F81E1C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72D-4552-9F26-42642F81E1C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72D-4552-9F26-42642F81E1C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72D-4552-9F26-42642F81E1C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72D-4552-9F26-42642F81E1C5}"/>
              </c:ext>
            </c:extLst>
          </c:dPt>
          <c:cat>
            <c:strRef>
              <c:f>Dashboard!$M$5:$M$10</c:f>
              <c:strCache>
                <c:ptCount val="6"/>
                <c:pt idx="0">
                  <c:v>General Education</c:v>
                </c:pt>
                <c:pt idx="1">
                  <c:v>Rate Change</c:v>
                </c:pt>
                <c:pt idx="2">
                  <c:v>E3/E4</c:v>
                </c:pt>
                <c:pt idx="3">
                  <c:v>Utility Assistance</c:v>
                </c:pt>
                <c:pt idx="4">
                  <c:v>Updated/New PA</c:v>
                </c:pt>
                <c:pt idx="5">
                  <c:v>Other</c:v>
                </c:pt>
              </c:strCache>
            </c:strRef>
          </c:cat>
          <c:val>
            <c:numRef>
              <c:f>Dashboard!$N$5:$N$10</c:f>
              <c:numCache>
                <c:formatCode>General</c:formatCode>
                <c:ptCount val="6"/>
                <c:pt idx="0">
                  <c:v>88</c:v>
                </c:pt>
                <c:pt idx="1">
                  <c:v>11</c:v>
                </c:pt>
                <c:pt idx="2">
                  <c:v>10</c:v>
                </c:pt>
                <c:pt idx="3">
                  <c:v>3</c:v>
                </c:pt>
                <c:pt idx="4">
                  <c:v>1</c:v>
                </c:pt>
                <c:pt idx="5">
                  <c:v>10</c:v>
                </c:pt>
              </c:numCache>
            </c:numRef>
          </c:val>
          <c:extLst>
            <c:ext xmlns:c16="http://schemas.microsoft.com/office/drawing/2014/chart" uri="{C3380CC4-5D6E-409C-BE32-E72D297353CC}">
              <c16:uniqueId val="{00000000-3493-40E3-99AD-DC328AF22FB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Calls by Associate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Dashboard!$N$12</c:f>
              <c:strCache>
                <c:ptCount val="1"/>
                <c:pt idx="0">
                  <c:v>Calls</c:v>
                </c:pt>
              </c:strCache>
            </c:strRef>
          </c:tx>
          <c:spPr>
            <a:solidFill>
              <a:schemeClr val="accent1"/>
            </a:solidFill>
            <a:ln>
              <a:noFill/>
            </a:ln>
            <a:effectLst/>
          </c:spPr>
          <c:invertIfNegative val="0"/>
          <c:cat>
            <c:strRef>
              <c:f>Dashboard!$M$13:$M$14</c:f>
              <c:strCache>
                <c:ptCount val="2"/>
                <c:pt idx="0">
                  <c:v>Michelle</c:v>
                </c:pt>
                <c:pt idx="1">
                  <c:v>Joaquin</c:v>
                </c:pt>
              </c:strCache>
            </c:strRef>
          </c:cat>
          <c:val>
            <c:numRef>
              <c:f>Dashboard!$N$13:$N$14</c:f>
              <c:numCache>
                <c:formatCode>General</c:formatCode>
                <c:ptCount val="2"/>
                <c:pt idx="0">
                  <c:v>172</c:v>
                </c:pt>
                <c:pt idx="1">
                  <c:v>313</c:v>
                </c:pt>
              </c:numCache>
            </c:numRef>
          </c:val>
          <c:extLst>
            <c:ext xmlns:c16="http://schemas.microsoft.com/office/drawing/2014/chart" uri="{C3380CC4-5D6E-409C-BE32-E72D297353CC}">
              <c16:uniqueId val="{00000000-9763-4829-BBC9-9D802FE8CC59}"/>
            </c:ext>
          </c:extLst>
        </c:ser>
        <c:dLbls>
          <c:showLegendKey val="0"/>
          <c:showVal val="0"/>
          <c:showCatName val="0"/>
          <c:showSerName val="0"/>
          <c:showPercent val="0"/>
          <c:showBubbleSize val="0"/>
        </c:dLbls>
        <c:gapWidth val="182"/>
        <c:axId val="1857597920"/>
        <c:axId val="1857598880"/>
      </c:barChart>
      <c:catAx>
        <c:axId val="1857597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598880"/>
        <c:crosses val="autoZero"/>
        <c:auto val="1"/>
        <c:lblAlgn val="ctr"/>
        <c:lblOffset val="100"/>
        <c:noMultiLvlLbl val="0"/>
      </c:catAx>
      <c:valAx>
        <c:axId val="1857598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5979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66675</xdr:colOff>
      <xdr:row>1</xdr:row>
      <xdr:rowOff>25400</xdr:rowOff>
    </xdr:from>
    <xdr:to>
      <xdr:col>15</xdr:col>
      <xdr:colOff>952500</xdr:colOff>
      <xdr:row>2</xdr:row>
      <xdr:rowOff>203200</xdr:rowOff>
    </xdr:to>
    <xdr:sp macro="[0]!UpdateCallLog" textlink="">
      <xdr:nvSpPr>
        <xdr:cNvPr id="3" name="btn_UpdateCallLog">
          <a:extLst>
            <a:ext uri="{FF2B5EF4-FFF2-40B4-BE49-F238E27FC236}">
              <a16:creationId xmlns:a16="http://schemas.microsoft.com/office/drawing/2014/main" id="{2455F05F-75AA-4147-9E97-2C7CB6124911}"/>
            </a:ext>
          </a:extLst>
        </xdr:cNvPr>
        <xdr:cNvSpPr/>
      </xdr:nvSpPr>
      <xdr:spPr>
        <a:xfrm>
          <a:off x="66675" y="177800"/>
          <a:ext cx="17345025" cy="406400"/>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n-US" sz="1200" b="1" i="0" u="none" strike="noStrike" kern="0" cap="none" spc="0" normalizeH="0" baseline="0" noProof="0">
              <a:ln>
                <a:noFill/>
              </a:ln>
              <a:solidFill>
                <a:srgbClr val="FFFFFF"/>
              </a:solidFill>
              <a:effectLst/>
              <a:uLnTx/>
              <a:uFillTx/>
              <a:latin typeface="Aptos"/>
            </a:rPr>
            <a:t>Update Call Log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123825</xdr:colOff>
      <xdr:row>25</xdr:row>
      <xdr:rowOff>95250</xdr:rowOff>
    </xdr:from>
    <xdr:to>
      <xdr:col>6</xdr:col>
      <xdr:colOff>444500</xdr:colOff>
      <xdr:row>28</xdr:row>
      <xdr:rowOff>196850</xdr:rowOff>
    </xdr:to>
    <xdr:sp macro="[0]!GoToPrevious" textlink="">
      <xdr:nvSpPr>
        <xdr:cNvPr id="8" name="btn_Previous">
          <a:extLst>
            <a:ext uri="{FF2B5EF4-FFF2-40B4-BE49-F238E27FC236}">
              <a16:creationId xmlns:a16="http://schemas.microsoft.com/office/drawing/2014/main" id="{E16077A4-586F-4AF5-A298-8BAA014BCD85}"/>
            </a:ext>
          </a:extLst>
        </xdr:cNvPr>
        <xdr:cNvSpPr/>
      </xdr:nvSpPr>
      <xdr:spPr>
        <a:xfrm>
          <a:off x="7048500" y="5143500"/>
          <a:ext cx="1968500" cy="482600"/>
        </a:xfrm>
        <a:prstGeom prst="roundRect">
          <a:avLst/>
        </a:prstGeom>
        <a:solidFill>
          <a:srgbClr val="1F4E79"/>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n-US" sz="1200" b="1" i="0" u="none" strike="noStrike" kern="0" cap="none" spc="0" normalizeH="0" baseline="0" noProof="0">
              <a:ln>
                <a:noFill/>
              </a:ln>
              <a:solidFill>
                <a:srgbClr val="FFFFFF"/>
              </a:solidFill>
              <a:effectLst/>
              <a:uLnTx/>
              <a:uFillTx/>
              <a:latin typeface="Aptos"/>
            </a:rPr>
            <a:t>← Previous</a:t>
          </a:r>
        </a:p>
      </xdr:txBody>
    </xdr:sp>
    <xdr:clientData/>
  </xdr:twoCellAnchor>
  <xdr:twoCellAnchor>
    <xdr:from>
      <xdr:col>5</xdr:col>
      <xdr:colOff>123825</xdr:colOff>
      <xdr:row>29</xdr:row>
      <xdr:rowOff>111125</xdr:rowOff>
    </xdr:from>
    <xdr:to>
      <xdr:col>6</xdr:col>
      <xdr:colOff>444500</xdr:colOff>
      <xdr:row>32</xdr:row>
      <xdr:rowOff>22225</xdr:rowOff>
    </xdr:to>
    <xdr:sp macro="[0]!GoToNext" textlink="">
      <xdr:nvSpPr>
        <xdr:cNvPr id="9" name="btn_Next">
          <a:extLst>
            <a:ext uri="{FF2B5EF4-FFF2-40B4-BE49-F238E27FC236}">
              <a16:creationId xmlns:a16="http://schemas.microsoft.com/office/drawing/2014/main" id="{7C16A606-16A4-4819-86B9-A1AE81957980}"/>
            </a:ext>
          </a:extLst>
        </xdr:cNvPr>
        <xdr:cNvSpPr/>
      </xdr:nvSpPr>
      <xdr:spPr>
        <a:xfrm>
          <a:off x="7048500" y="5778500"/>
          <a:ext cx="1968500" cy="482600"/>
        </a:xfrm>
        <a:prstGeom prst="roundRect">
          <a:avLst/>
        </a:prstGeom>
        <a:solidFill>
          <a:srgbClr val="0078D4"/>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n-US" sz="1200" b="1" i="0" u="none" strike="noStrike" kern="0" cap="none" spc="0" normalizeH="0" baseline="0" noProof="0">
              <a:ln>
                <a:noFill/>
              </a:ln>
              <a:solidFill>
                <a:srgbClr val="FFFFFF"/>
              </a:solidFill>
              <a:effectLst/>
              <a:uLnTx/>
              <a:uFillTx/>
              <a:latin typeface="Aptos"/>
            </a:rPr>
            <a:t>Next →</a:t>
          </a:r>
        </a:p>
      </xdr:txBody>
    </xdr:sp>
    <xdr:clientData/>
  </xdr:twoCellAnchor>
  <xdr:twoCellAnchor>
    <xdr:from>
      <xdr:col>5</xdr:col>
      <xdr:colOff>123825</xdr:colOff>
      <xdr:row>32</xdr:row>
      <xdr:rowOff>174625</xdr:rowOff>
    </xdr:from>
    <xdr:to>
      <xdr:col>6</xdr:col>
      <xdr:colOff>444500</xdr:colOff>
      <xdr:row>35</xdr:row>
      <xdr:rowOff>85725</xdr:rowOff>
    </xdr:to>
    <xdr:sp macro="[0]!SaveAndNext" textlink="">
      <xdr:nvSpPr>
        <xdr:cNvPr id="10" name="btn_SaveNext">
          <a:extLst>
            <a:ext uri="{FF2B5EF4-FFF2-40B4-BE49-F238E27FC236}">
              <a16:creationId xmlns:a16="http://schemas.microsoft.com/office/drawing/2014/main" id="{2D20D65E-98AF-4191-9A39-EC1F77CA661F}"/>
            </a:ext>
          </a:extLst>
        </xdr:cNvPr>
        <xdr:cNvSpPr/>
      </xdr:nvSpPr>
      <xdr:spPr>
        <a:xfrm>
          <a:off x="7048500" y="6413500"/>
          <a:ext cx="1968500" cy="482600"/>
        </a:xfrm>
        <a:prstGeom prst="roundRect">
          <a:avLst/>
        </a:prstGeom>
        <a:solidFill>
          <a:srgbClr val="107C1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n-US" sz="1200" b="1" i="0" u="none" strike="noStrike" kern="0" cap="none" spc="0" normalizeH="0" baseline="0" noProof="0">
              <a:ln>
                <a:noFill/>
              </a:ln>
              <a:solidFill>
                <a:srgbClr val="FFFFFF"/>
              </a:solidFill>
              <a:effectLst/>
              <a:uLnTx/>
              <a:uFillTx/>
              <a:latin typeface="Aptos"/>
            </a:rPr>
            <a:t>Save &amp; Next ✓</a:t>
          </a:r>
        </a:p>
      </xdr:txBody>
    </xdr:sp>
    <xdr:clientData/>
  </xdr:twoCellAnchor>
  <xdr:twoCellAnchor>
    <xdr:from>
      <xdr:col>5</xdr:col>
      <xdr:colOff>123825</xdr:colOff>
      <xdr:row>22</xdr:row>
      <xdr:rowOff>158750</xdr:rowOff>
    </xdr:from>
    <xdr:to>
      <xdr:col>6</xdr:col>
      <xdr:colOff>444500</xdr:colOff>
      <xdr:row>24</xdr:row>
      <xdr:rowOff>184150</xdr:rowOff>
    </xdr:to>
    <xdr:sp macro="[0]!FindTopPriority" textlink="">
      <xdr:nvSpPr>
        <xdr:cNvPr id="11" name="btn_FindTopPriority">
          <a:extLst>
            <a:ext uri="{FF2B5EF4-FFF2-40B4-BE49-F238E27FC236}">
              <a16:creationId xmlns:a16="http://schemas.microsoft.com/office/drawing/2014/main" id="{C66FBE66-F559-464E-9D84-92E95915E9D3}"/>
            </a:ext>
          </a:extLst>
        </xdr:cNvPr>
        <xdr:cNvSpPr/>
      </xdr:nvSpPr>
      <xdr:spPr>
        <a:xfrm>
          <a:off x="7048500" y="4635500"/>
          <a:ext cx="1968500" cy="406400"/>
        </a:xfrm>
        <a:prstGeom prst="roundRect">
          <a:avLst/>
        </a:prstGeom>
        <a:solidFill>
          <a:srgbClr val="7F5F00"/>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en-US" sz="1100" b="1" i="0" u="none" strike="noStrike" kern="0" cap="none" spc="0" normalizeH="0" baseline="0" noProof="0">
              <a:ln>
                <a:noFill/>
              </a:ln>
              <a:solidFill>
                <a:srgbClr val="FFFFFF"/>
              </a:solidFill>
              <a:effectLst/>
              <a:uLnTx/>
              <a:uFillTx/>
              <a:latin typeface="Aptos"/>
            </a:rPr>
            <a:t>Top Priority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48</xdr:row>
      <xdr:rowOff>0</xdr:rowOff>
    </xdr:from>
    <xdr:to>
      <xdr:col>5</xdr:col>
      <xdr:colOff>400050</xdr:colOff>
      <xdr:row>61</xdr:row>
      <xdr:rowOff>57150</xdr:rowOff>
    </xdr:to>
    <xdr:graphicFrame macro="">
      <xdr:nvGraphicFramePr>
        <xdr:cNvPr id="12" name="Chart 11" hidden="1">
          <a:extLst>
            <a:ext uri="{FF2B5EF4-FFF2-40B4-BE49-F238E27FC236}">
              <a16:creationId xmlns:a16="http://schemas.microsoft.com/office/drawing/2014/main" id="{E3EC133B-6650-F92B-B68F-EB6798959B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48</xdr:row>
      <xdr:rowOff>0</xdr:rowOff>
    </xdr:from>
    <xdr:to>
      <xdr:col>8</xdr:col>
      <xdr:colOff>962025</xdr:colOff>
      <xdr:row>61</xdr:row>
      <xdr:rowOff>57150</xdr:rowOff>
    </xdr:to>
    <xdr:graphicFrame macro="">
      <xdr:nvGraphicFramePr>
        <xdr:cNvPr id="13" name="Chart 12" hidden="1">
          <a:extLst>
            <a:ext uri="{FF2B5EF4-FFF2-40B4-BE49-F238E27FC236}">
              <a16:creationId xmlns:a16="http://schemas.microsoft.com/office/drawing/2014/main" id="{BD902F62-5906-55D1-BE0A-987E65C899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3ECC22-5000-4B81-8AD9-7A0546146C56}" name="tblDocketedComments" displayName="tblDocketedComments" ref="A1:V1440" totalsRowShown="0" headerRowDxfId="26" dataDxfId="24" headerRowBorderDxfId="25" tableBorderDxfId="23">
  <autoFilter ref="A1:V1440" xr:uid="{553ECC22-5000-4B81-8AD9-7A0546146C56}">
    <filterColumn colId="21">
      <filters>
        <filter val="1"/>
      </filters>
    </filterColumn>
  </autoFilter>
  <tableColumns count="22">
    <tableColumn id="1" xr3:uid="{E4B9745C-4273-40E7-883A-9E596B402E74}" name="Date" dataDxfId="22"/>
    <tableColumn id="2" xr3:uid="{E95AB26C-A20E-401E-A50D-AD28831FDD6D}" name="Last Name" dataDxfId="21"/>
    <tableColumn id="3" xr3:uid="{2B0DC8A7-3C6B-4704-AA1A-FCEC82A05F6F}" name="First Name" dataDxfId="20"/>
    <tableColumn id="4" xr3:uid="{0AED137A-FEAB-44FF-BBB5-75C656A0C58C}" name="City" dataDxfId="19"/>
    <tableColumn id="5" xr3:uid="{0A255EA7-2F02-4036-AC79-92147DF412A5}" name="Zip code" dataDxfId="18"/>
    <tableColumn id="6" xr3:uid="{4465E407-E612-468D-8A5D-45EF1D685B0B}" name="Issue / Complaint" dataDxfId="17"/>
    <tableColumn id="7" xr3:uid="{86785CEF-DACE-4E84-A553-3F625DDFBA88}" name="Docketed Consumer Comments" dataDxfId="16"/>
    <tableColumn id="8" xr3:uid="{29884FE9-C9D9-4AC9-B77C-F6155ED83DD4}" name="Account #" dataDxfId="15"/>
    <tableColumn id="9" xr3:uid="{16DD30F1-9DD7-4A34-890F-E6A7FC8A7F55}" name="Rate Plan" dataDxfId="14"/>
    <tableColumn id="10" xr3:uid="{9F98B7C2-6EE6-409C-9460-281763628DEF}" name="E3?" dataDxfId="13"/>
    <tableColumn id="11" xr3:uid="{031E5A87-2562-4F54-ADE8-1A4092C917FC}" name="MCP?" dataDxfId="12"/>
    <tableColumn id="12" xr3:uid="{ECCB4753-5728-401B-98F5-1420A59F31D9}" name="Cust on MEP" dataDxfId="11"/>
    <tableColumn id="13" xr3:uid="{B1D89EB0-3E86-4B21-9834-AF8EAD79EE6A}" name="PA?" dataDxfId="10"/>
    <tableColumn id="14" xr3:uid="{844D0CEE-5708-4EDA-A10B-4A2306C6C9EB}" name="Payoff Balance" dataDxfId="9"/>
    <tableColumn id="15" xr3:uid="{24AB0749-49BF-4674-BB3F-C69CE98CB21F}" name="Team Reviewed" dataDxfId="8"/>
    <tableColumn id="16" xr3:uid="{30C7FE8B-5DF2-446D-8637-7F09233A8345}" name="Response Y(date)/N" dataDxfId="7"/>
    <tableColumn id="17" xr3:uid="{743F67D8-60FF-43A2-948E-DFA227732B8C}" name="Last date of Account review"/>
    <tableColumn id="18" xr3:uid="{DF85349F-1019-4882-B27E-89BC23EE4E80}" name="Notes" dataDxfId="6"/>
    <tableColumn id="19" xr3:uid="{8B1B90E2-EBC0-428E-8638-AF63AB1E69CA}" name="ACC Inquiry Sent to CA" dataDxfId="5"/>
    <tableColumn id="20" xr3:uid="{939C72A8-2207-43B3-8551-3EA069B26C66}" name="APS CA Referral" dataDxfId="4"/>
    <tableColumn id="21" xr3:uid="{B60A159D-8C37-4918-BC1D-247DC8A23F6E}" name="Comments" dataDxfId="3"/>
    <tableColumn id="22" xr3:uid="{B5C9691D-F0C1-4D7C-8CB5-08C931FABBFC}" name="Include_Row" dataDxfId="2">
      <calculatedColumnFormula>IF(
  OR(
    ISNUMBER(SEARCH("unable to locate acct", tblDocketedComments[[#This Row],[Docketed Consumer Comments]])),
    ISNUMBER(SEARCH("unknown", tblDocketedComments[[#This Row],[Docketed Consumer Comments]])),
    ISNUMBER(SEARCH("inactive", tblDocketedComments[[#This Row],[Docketed Consumer Comments]]))
  ),
  0,
  1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E3832A9-4075-4FFE-B704-51645E2C69C8}">
  <we:reference id="wa200009404" version="1.0.0.8" store="en-US" storeType="OMEX"/>
  <we:alternateReferences>
    <we:reference id="WA200009404" version="1.0.0.8" store="" storeType="OMEX"/>
  </we:alternateReferences>
  <we:properties>
    <we:property name="Office.AutoShowTaskpaneWithDocument" value="true"/>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hyperlink" Target="https://docket.images.azcc.gov/0000215712.pdf" TargetMode="External"/></Relationships>
</file>

<file path=xl/worksheets/_rels/sheet2.xml.rels><?xml version="1.0" encoding="UTF-8" standalone="yes"?>
<Relationships xmlns="http://schemas.openxmlformats.org/package/2006/relationships"><Relationship Id="rId1" Type="http://schemas.openxmlformats.org/officeDocument/2006/relationships/hyperlink" Target="https://docket.images.azcc.gov/0000215712.pdf"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9853-09AE-4EF9-A42C-C1B72D126E34}">
  <sheetPr codeName="Sheet1">
    <tabColor rgb="FF1F4E79"/>
  </sheetPr>
  <dimension ref="A1:W1952"/>
  <sheetViews>
    <sheetView workbookViewId="0">
      <pane ySplit="4" topLeftCell="A1842" activePane="bottomLeft" state="frozen"/>
      <selection pane="bottomLeft" activeCell="E206" sqref="E206"/>
    </sheetView>
  </sheetViews>
  <sheetFormatPr defaultColWidth="11.42578125" defaultRowHeight="12"/>
  <cols>
    <col min="1" max="1" width="13" style="23" bestFit="1" customWidth="1"/>
    <col min="2" max="2" width="17.140625" style="1" customWidth="1"/>
    <col min="3" max="3" width="18.7109375" style="1" bestFit="1" customWidth="1"/>
    <col min="4" max="4" width="14.7109375" style="1" customWidth="1"/>
    <col min="5" max="5" width="11.42578125" style="1"/>
    <col min="6" max="6" width="37.85546875" style="1" customWidth="1"/>
    <col min="7" max="7" width="24.85546875" style="1" customWidth="1"/>
    <col min="8" max="8" width="19" style="4" bestFit="1" customWidth="1"/>
    <col min="9" max="9" width="13.28515625" style="5" customWidth="1"/>
    <col min="10" max="10" width="9.5703125" style="5" customWidth="1"/>
    <col min="11" max="11" width="9.7109375" style="5" bestFit="1" customWidth="1"/>
    <col min="12" max="12" width="18.85546875" style="5" customWidth="1"/>
    <col min="13" max="13" width="11.140625" style="5" customWidth="1"/>
    <col min="14" max="14" width="13.42578125" style="5" customWidth="1"/>
    <col min="15" max="15" width="14.140625" style="5" customWidth="1"/>
    <col min="16" max="16" width="17" style="5" customWidth="1"/>
    <col min="17" max="17" width="22.42578125" style="5" customWidth="1"/>
    <col min="18" max="18" width="56.28515625" style="1" bestFit="1" customWidth="1"/>
    <col min="19" max="19" width="19.28515625" style="1" customWidth="1"/>
    <col min="20" max="20" width="14.5703125" style="1" customWidth="1"/>
    <col min="21" max="21" width="163.42578125" style="1" bestFit="1" customWidth="1"/>
    <col min="22" max="16384" width="11.42578125" style="1"/>
  </cols>
  <sheetData>
    <row r="1" spans="1:22">
      <c r="A1" s="118" t="s">
        <v>0</v>
      </c>
      <c r="B1" s="119" t="s">
        <v>1</v>
      </c>
      <c r="C1" s="119" t="s">
        <v>2</v>
      </c>
      <c r="D1" s="119" t="s">
        <v>3</v>
      </c>
      <c r="E1" s="119" t="s">
        <v>4</v>
      </c>
      <c r="F1" s="119" t="s">
        <v>5</v>
      </c>
      <c r="G1" s="120" t="s">
        <v>6</v>
      </c>
      <c r="H1" s="121" t="s">
        <v>7</v>
      </c>
      <c r="I1" s="122" t="s">
        <v>8</v>
      </c>
      <c r="J1" s="123" t="s">
        <v>9</v>
      </c>
      <c r="K1" s="123" t="s">
        <v>10</v>
      </c>
      <c r="L1" s="123" t="s">
        <v>11</v>
      </c>
      <c r="M1" s="123" t="s">
        <v>12</v>
      </c>
      <c r="N1" s="124" t="s">
        <v>13</v>
      </c>
      <c r="O1" s="124" t="s">
        <v>14</v>
      </c>
      <c r="P1" s="124" t="s">
        <v>15</v>
      </c>
      <c r="Q1" s="124" t="s">
        <v>16</v>
      </c>
      <c r="R1" s="125" t="s">
        <v>17</v>
      </c>
      <c r="S1" s="125" t="s">
        <v>18</v>
      </c>
      <c r="T1" s="125" t="s">
        <v>19</v>
      </c>
      <c r="U1" s="119" t="s">
        <v>20</v>
      </c>
      <c r="V1" s="125" t="s">
        <v>21</v>
      </c>
    </row>
    <row r="2" spans="1:22" s="126" customFormat="1" ht="18" customHeight="1">
      <c r="A2" s="135"/>
      <c r="B2" s="135"/>
      <c r="C2" s="135"/>
      <c r="D2" s="135"/>
      <c r="E2" s="135"/>
      <c r="F2" s="135"/>
      <c r="G2" s="135"/>
      <c r="H2" s="135"/>
      <c r="I2" s="135"/>
      <c r="J2" s="135"/>
      <c r="K2" s="135"/>
      <c r="L2" s="135"/>
      <c r="M2" s="135"/>
      <c r="N2" s="135"/>
      <c r="O2" s="135"/>
      <c r="P2" s="135"/>
      <c r="Q2" s="135"/>
      <c r="R2" s="135"/>
      <c r="S2" s="135"/>
      <c r="T2" s="135"/>
      <c r="U2" s="135"/>
      <c r="V2" s="135"/>
    </row>
    <row r="3" spans="1:22" s="126" customFormat="1" ht="18" customHeight="1">
      <c r="A3" s="135"/>
      <c r="B3" s="135"/>
      <c r="C3" s="135"/>
      <c r="D3" s="135"/>
      <c r="E3" s="135"/>
      <c r="F3" s="135"/>
      <c r="G3" s="135"/>
      <c r="H3" s="135"/>
      <c r="I3" s="135"/>
      <c r="J3" s="135"/>
      <c r="K3" s="135"/>
      <c r="L3" s="135"/>
      <c r="M3" s="135"/>
      <c r="N3" s="135"/>
      <c r="O3" s="135"/>
      <c r="P3" s="135"/>
      <c r="Q3" s="135"/>
      <c r="R3" s="135"/>
      <c r="S3" s="135"/>
      <c r="T3" s="135"/>
      <c r="U3" s="135"/>
      <c r="V3" s="135"/>
    </row>
    <row r="4" spans="1:22" s="126" customFormat="1" ht="15" hidden="1">
      <c r="A4" s="127"/>
      <c r="B4" s="127"/>
      <c r="C4" s="127"/>
      <c r="D4" s="127"/>
      <c r="E4" s="127"/>
      <c r="F4" s="127"/>
      <c r="G4" s="127"/>
      <c r="H4" s="127"/>
      <c r="I4" s="127"/>
      <c r="J4" s="127"/>
      <c r="K4" s="127"/>
      <c r="L4" s="127"/>
      <c r="M4" s="127"/>
      <c r="N4" s="127"/>
      <c r="O4" s="127"/>
      <c r="P4" s="127"/>
      <c r="Q4" s="127"/>
      <c r="R4" s="127"/>
      <c r="S4" s="127"/>
      <c r="T4" s="127"/>
      <c r="U4" s="127"/>
      <c r="V4" s="127"/>
    </row>
    <row r="5" spans="1:22">
      <c r="A5" s="2">
        <v>45796</v>
      </c>
      <c r="B5" s="1" t="s">
        <v>22</v>
      </c>
      <c r="C5" s="1" t="s">
        <v>23</v>
      </c>
      <c r="D5" s="1" t="s">
        <v>24</v>
      </c>
      <c r="E5" s="1">
        <v>85308</v>
      </c>
      <c r="F5" s="3" t="s">
        <v>25</v>
      </c>
      <c r="G5" s="1" t="s">
        <v>26</v>
      </c>
      <c r="H5" s="4" t="s">
        <v>27</v>
      </c>
      <c r="V5" s="46">
        <f>IF(
  OR(
    ISNUMBER(SEARCH("unable to locate acct", tblDocketedComments[[#This Row],[Docketed Consumer Comments]])),
    ISNUMBER(SEARCH("unknown", tblDocketedComments[[#This Row],[Docketed Consumer Comments]])),
    ISNUMBER(SEARCH("inactive", tblDocketedComments[[#This Row],[Docketed Consumer Comments]]))
  ),
  0,
  1
)</f>
        <v>1</v>
      </c>
    </row>
    <row r="6" spans="1:22">
      <c r="A6" s="2">
        <v>45797</v>
      </c>
      <c r="B6" s="1" t="s">
        <v>28</v>
      </c>
      <c r="C6" s="1" t="s">
        <v>29</v>
      </c>
      <c r="D6" s="1" t="s">
        <v>30</v>
      </c>
      <c r="E6" s="1" t="s">
        <v>30</v>
      </c>
      <c r="F6" s="3" t="s">
        <v>31</v>
      </c>
      <c r="G6" s="1" t="s">
        <v>32</v>
      </c>
      <c r="H6" s="4" t="s">
        <v>27</v>
      </c>
      <c r="V6" s="46">
        <f>IF(
  OR(
    ISNUMBER(SEARCH("unable to locate acct", tblDocketedComments[[#This Row],[Docketed Consumer Comments]])),
    ISNUMBER(SEARCH("unknown", tblDocketedComments[[#This Row],[Docketed Consumer Comments]])),
    ISNUMBER(SEARCH("inactive", tblDocketedComments[[#This Row],[Docketed Consumer Comments]]))
  ),
  0,
  1
)</f>
        <v>1</v>
      </c>
    </row>
    <row r="7" spans="1:22">
      <c r="A7" s="2">
        <v>45797</v>
      </c>
      <c r="B7" s="1" t="s">
        <v>33</v>
      </c>
      <c r="C7" s="1" t="s">
        <v>34</v>
      </c>
      <c r="D7" s="1" t="s">
        <v>24</v>
      </c>
      <c r="E7" s="1" t="s">
        <v>30</v>
      </c>
      <c r="F7" s="3" t="s">
        <v>31</v>
      </c>
      <c r="G7" s="1" t="s">
        <v>35</v>
      </c>
      <c r="H7" s="4">
        <v>5494061000</v>
      </c>
      <c r="I7" s="6" t="s">
        <v>36</v>
      </c>
      <c r="J7" s="5" t="s">
        <v>37</v>
      </c>
      <c r="K7" s="5" t="s">
        <v>37</v>
      </c>
      <c r="L7" s="5" t="s">
        <v>38</v>
      </c>
      <c r="M7" s="5" t="s">
        <v>37</v>
      </c>
      <c r="N7" s="5" t="s">
        <v>37</v>
      </c>
      <c r="O7" s="5" t="s">
        <v>38</v>
      </c>
      <c r="P7" s="5" t="s">
        <v>39</v>
      </c>
      <c r="Q7" s="2">
        <v>45589</v>
      </c>
      <c r="U7" s="1" t="s">
        <v>40</v>
      </c>
      <c r="V7" s="46">
        <f>IF(
  OR(
    ISNUMBER(SEARCH("unable to locate acct", tblDocketedComments[[#This Row],[Docketed Consumer Comments]])),
    ISNUMBER(SEARCH("unknown", tblDocketedComments[[#This Row],[Docketed Consumer Comments]])),
    ISNUMBER(SEARCH("inactive", tblDocketedComments[[#This Row],[Docketed Consumer Comments]]))
  ),
  0,
  1
)</f>
        <v>1</v>
      </c>
    </row>
    <row r="8" spans="1:22">
      <c r="A8" s="2">
        <v>45798</v>
      </c>
      <c r="B8" s="1" t="s">
        <v>41</v>
      </c>
      <c r="C8" s="1" t="s">
        <v>42</v>
      </c>
      <c r="D8" s="1" t="s">
        <v>43</v>
      </c>
      <c r="E8" s="1">
        <v>85363</v>
      </c>
      <c r="F8" s="3" t="s">
        <v>31</v>
      </c>
      <c r="G8" s="1" t="s">
        <v>44</v>
      </c>
      <c r="H8" s="4" t="s">
        <v>45</v>
      </c>
      <c r="I8" s="6" t="s">
        <v>46</v>
      </c>
      <c r="J8" s="5" t="s">
        <v>37</v>
      </c>
      <c r="K8" s="5" t="s">
        <v>37</v>
      </c>
      <c r="L8" s="5" t="s">
        <v>47</v>
      </c>
      <c r="M8" s="5" t="s">
        <v>37</v>
      </c>
      <c r="N8" s="5" t="s">
        <v>37</v>
      </c>
      <c r="O8" s="5" t="s">
        <v>38</v>
      </c>
      <c r="P8" s="5" t="s">
        <v>39</v>
      </c>
      <c r="Q8" s="2">
        <v>45589</v>
      </c>
      <c r="R8" s="1" t="s">
        <v>48</v>
      </c>
      <c r="V8" s="46">
        <f>IF(
  OR(
    ISNUMBER(SEARCH("unable to locate acct", tblDocketedComments[[#This Row],[Docketed Consumer Comments]])),
    ISNUMBER(SEARCH("unknown", tblDocketedComments[[#This Row],[Docketed Consumer Comments]])),
    ISNUMBER(SEARCH("inactive", tblDocketedComments[[#This Row],[Docketed Consumer Comments]]))
  ),
  0,
  1
)</f>
        <v>1</v>
      </c>
    </row>
    <row r="9" spans="1:22">
      <c r="A9" s="2">
        <v>45798</v>
      </c>
      <c r="B9" s="1" t="s">
        <v>49</v>
      </c>
      <c r="C9" s="1" t="s">
        <v>50</v>
      </c>
      <c r="D9" s="1" t="s">
        <v>51</v>
      </c>
      <c r="E9" s="1">
        <v>85554</v>
      </c>
      <c r="F9" s="3" t="s">
        <v>31</v>
      </c>
      <c r="G9" s="1" t="s">
        <v>44</v>
      </c>
      <c r="H9" s="4">
        <v>4823746138</v>
      </c>
      <c r="I9" s="5" t="s">
        <v>36</v>
      </c>
      <c r="J9" s="5" t="s">
        <v>37</v>
      </c>
      <c r="K9" s="5" t="s">
        <v>37</v>
      </c>
      <c r="L9" s="5" t="s">
        <v>38</v>
      </c>
      <c r="M9" s="5" t="s">
        <v>37</v>
      </c>
      <c r="N9" s="5" t="s">
        <v>37</v>
      </c>
      <c r="O9" s="5" t="s">
        <v>38</v>
      </c>
      <c r="P9" s="5" t="s">
        <v>39</v>
      </c>
      <c r="Q9" s="2">
        <v>45589</v>
      </c>
      <c r="V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 spans="1:22">
      <c r="A10" s="2">
        <v>45799</v>
      </c>
      <c r="B10" s="1" t="s">
        <v>52</v>
      </c>
      <c r="C10" s="1" t="s">
        <v>53</v>
      </c>
      <c r="D10" s="1" t="s">
        <v>30</v>
      </c>
      <c r="E10" s="1" t="s">
        <v>30</v>
      </c>
      <c r="F10" s="3" t="s">
        <v>54</v>
      </c>
      <c r="G10" s="1" t="s">
        <v>55</v>
      </c>
      <c r="H10" s="4" t="s">
        <v>56</v>
      </c>
      <c r="I10" s="5" t="s">
        <v>57</v>
      </c>
      <c r="J10" s="5" t="s">
        <v>37</v>
      </c>
      <c r="K10" s="5" t="s">
        <v>37</v>
      </c>
      <c r="L10" s="7" t="s">
        <v>58</v>
      </c>
      <c r="M10" s="5" t="s">
        <v>37</v>
      </c>
      <c r="N10" s="5" t="s">
        <v>37</v>
      </c>
      <c r="O10" s="5" t="s">
        <v>38</v>
      </c>
      <c r="P10" s="2">
        <v>45964</v>
      </c>
      <c r="Q10" s="2">
        <v>45954</v>
      </c>
      <c r="R10" s="1" t="s">
        <v>59</v>
      </c>
      <c r="U10" s="1" t="s">
        <v>60</v>
      </c>
      <c r="V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 spans="1:22">
      <c r="A11" s="2">
        <v>45800</v>
      </c>
      <c r="B11" s="1" t="s">
        <v>61</v>
      </c>
      <c r="C11" s="1" t="s">
        <v>62</v>
      </c>
      <c r="D11" s="1" t="s">
        <v>63</v>
      </c>
      <c r="E11" s="1">
        <v>85009</v>
      </c>
      <c r="F11" s="3" t="s">
        <v>31</v>
      </c>
      <c r="G11" s="1" t="s">
        <v>64</v>
      </c>
      <c r="H11" s="4" t="s">
        <v>30</v>
      </c>
      <c r="U11" s="1" t="s">
        <v>65</v>
      </c>
      <c r="V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 spans="1:22">
      <c r="A12" s="2">
        <v>45804</v>
      </c>
      <c r="B12" s="1" t="s">
        <v>66</v>
      </c>
      <c r="C12" s="1" t="s">
        <v>67</v>
      </c>
      <c r="D12" s="1" t="s">
        <v>68</v>
      </c>
      <c r="E12" s="1">
        <v>85331</v>
      </c>
      <c r="F12" s="3" t="s">
        <v>31</v>
      </c>
      <c r="G12" s="1" t="s">
        <v>69</v>
      </c>
      <c r="H12" s="4">
        <v>5900820000</v>
      </c>
      <c r="I12" s="6" t="s">
        <v>36</v>
      </c>
      <c r="J12" s="5" t="s">
        <v>37</v>
      </c>
      <c r="K12" s="5" t="s">
        <v>37</v>
      </c>
      <c r="L12" s="5" t="s">
        <v>38</v>
      </c>
      <c r="M12" s="5" t="s">
        <v>37</v>
      </c>
      <c r="N12" s="5" t="s">
        <v>37</v>
      </c>
      <c r="O12" s="5" t="s">
        <v>38</v>
      </c>
      <c r="P12" s="5" t="s">
        <v>39</v>
      </c>
      <c r="Q12" s="2">
        <v>45954</v>
      </c>
      <c r="V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 spans="1:22">
      <c r="A13" s="2">
        <v>45805</v>
      </c>
      <c r="B13" s="1" t="s">
        <v>70</v>
      </c>
      <c r="C13" s="1" t="s">
        <v>71</v>
      </c>
      <c r="D13" s="1" t="s">
        <v>30</v>
      </c>
      <c r="E13" s="1" t="s">
        <v>30</v>
      </c>
      <c r="F13" s="3" t="s">
        <v>31</v>
      </c>
      <c r="G13" s="1" t="s">
        <v>72</v>
      </c>
      <c r="H13" s="4">
        <v>1569851000</v>
      </c>
      <c r="I13" s="5" t="s">
        <v>73</v>
      </c>
      <c r="J13" s="5" t="s">
        <v>37</v>
      </c>
      <c r="K13" s="5" t="s">
        <v>37</v>
      </c>
      <c r="L13" s="5" t="s">
        <v>38</v>
      </c>
      <c r="M13" s="5" t="s">
        <v>37</v>
      </c>
      <c r="N13" s="5" t="s">
        <v>37</v>
      </c>
      <c r="O13" s="5" t="s">
        <v>38</v>
      </c>
      <c r="P13" s="5" t="s">
        <v>39</v>
      </c>
      <c r="Q13" s="2">
        <v>45954</v>
      </c>
      <c r="V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4" spans="1:22">
      <c r="A14" s="2">
        <v>45812</v>
      </c>
      <c r="B14" s="1" t="s">
        <v>74</v>
      </c>
      <c r="C14" s="1" t="s">
        <v>75</v>
      </c>
      <c r="D14" s="1" t="s">
        <v>30</v>
      </c>
      <c r="E14" s="1" t="s">
        <v>30</v>
      </c>
      <c r="F14" s="3" t="s">
        <v>31</v>
      </c>
      <c r="G14" s="1" t="s">
        <v>76</v>
      </c>
      <c r="H14" s="4" t="s">
        <v>27</v>
      </c>
      <c r="U14" s="1" t="s">
        <v>77</v>
      </c>
      <c r="V14" s="47">
        <f>IF(
  OR(
    ISNUMBER(SEARCH("unable to locate acct", tblDocketedComments[[#This Row],[Docketed Consumer Comments]])),
    ISNUMBER(SEARCH("unknown", tblDocketedComments[[#This Row],[Docketed Consumer Comments]])),
    ISNUMBER(SEARCH("inactive", tblDocketedComments[[#This Row],[Docketed Consumer Comments]]))
  ),
  0,
  1
)</f>
        <v>1</v>
      </c>
    </row>
    <row r="15" spans="1:22">
      <c r="A15" s="2">
        <v>45812</v>
      </c>
      <c r="B15" s="1" t="s">
        <v>78</v>
      </c>
      <c r="C15" s="1" t="s">
        <v>79</v>
      </c>
      <c r="D15" s="1" t="s">
        <v>30</v>
      </c>
      <c r="E15" s="1" t="s">
        <v>30</v>
      </c>
      <c r="F15" s="3" t="s">
        <v>31</v>
      </c>
      <c r="G15" s="1" t="s">
        <v>76</v>
      </c>
      <c r="H15" s="4" t="s">
        <v>80</v>
      </c>
      <c r="I15" s="5" t="s">
        <v>81</v>
      </c>
      <c r="J15" s="5" t="s">
        <v>37</v>
      </c>
      <c r="K15" s="5" t="s">
        <v>37</v>
      </c>
      <c r="L15" s="5" t="s">
        <v>82</v>
      </c>
      <c r="M15" s="5" t="s">
        <v>37</v>
      </c>
      <c r="N15" s="5" t="s">
        <v>37</v>
      </c>
      <c r="O15" s="5" t="s">
        <v>38</v>
      </c>
      <c r="P15" s="5" t="s">
        <v>39</v>
      </c>
      <c r="Q15" s="2">
        <v>45957</v>
      </c>
      <c r="V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6" spans="1:22">
      <c r="A16" s="2">
        <v>45813</v>
      </c>
      <c r="B16" s="1" t="s">
        <v>83</v>
      </c>
      <c r="C16" s="1" t="s">
        <v>84</v>
      </c>
      <c r="D16" s="1" t="s">
        <v>85</v>
      </c>
      <c r="E16" s="1" t="s">
        <v>30</v>
      </c>
      <c r="F16" s="3" t="s">
        <v>31</v>
      </c>
      <c r="G16" s="1" t="s">
        <v>86</v>
      </c>
      <c r="H16" s="4">
        <v>2009184288</v>
      </c>
      <c r="I16" s="6" t="s">
        <v>46</v>
      </c>
      <c r="J16" s="5" t="s">
        <v>37</v>
      </c>
      <c r="K16" s="5" t="s">
        <v>37</v>
      </c>
      <c r="L16" s="5" t="s">
        <v>38</v>
      </c>
      <c r="M16" s="5" t="s">
        <v>37</v>
      </c>
      <c r="N16" s="5" t="s">
        <v>37</v>
      </c>
      <c r="O16" s="5" t="s">
        <v>38</v>
      </c>
      <c r="P16" s="5" t="s">
        <v>39</v>
      </c>
      <c r="Q16" s="2">
        <v>45957</v>
      </c>
      <c r="V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7" spans="1:22">
      <c r="A17" s="2">
        <v>45813</v>
      </c>
      <c r="B17" s="1" t="s">
        <v>87</v>
      </c>
      <c r="C17" s="1" t="s">
        <v>88</v>
      </c>
      <c r="D17" s="1" t="s">
        <v>89</v>
      </c>
      <c r="E17" s="1">
        <v>86336</v>
      </c>
      <c r="F17" s="3" t="s">
        <v>31</v>
      </c>
      <c r="G17" s="1" t="s">
        <v>86</v>
      </c>
      <c r="H17" s="4" t="s">
        <v>90</v>
      </c>
      <c r="J17" s="5" t="s">
        <v>37</v>
      </c>
      <c r="V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8" spans="1:22">
      <c r="A18" s="2">
        <v>45814</v>
      </c>
      <c r="B18" s="1" t="s">
        <v>91</v>
      </c>
      <c r="C18" s="1" t="s">
        <v>92</v>
      </c>
      <c r="D18" s="1" t="s">
        <v>93</v>
      </c>
      <c r="E18" s="1">
        <v>85351</v>
      </c>
      <c r="F18" s="3" t="s">
        <v>31</v>
      </c>
      <c r="G18" s="1" t="s">
        <v>94</v>
      </c>
      <c r="H18" s="4">
        <v>1163301000</v>
      </c>
      <c r="I18" s="5" t="s">
        <v>73</v>
      </c>
      <c r="J18" s="5" t="s">
        <v>37</v>
      </c>
      <c r="K18" s="5" t="s">
        <v>37</v>
      </c>
      <c r="L18" s="5" t="s">
        <v>38</v>
      </c>
      <c r="M18" s="5" t="s">
        <v>37</v>
      </c>
      <c r="N18" s="5" t="s">
        <v>37</v>
      </c>
      <c r="O18" s="5" t="s">
        <v>38</v>
      </c>
      <c r="P18" s="5" t="s">
        <v>39</v>
      </c>
      <c r="Q18" s="2">
        <v>45957</v>
      </c>
      <c r="V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9" spans="1:22">
      <c r="A19" s="2">
        <v>45821</v>
      </c>
      <c r="B19" s="1" t="s">
        <v>95</v>
      </c>
      <c r="C19" s="1" t="s">
        <v>96</v>
      </c>
      <c r="D19" s="1" t="s">
        <v>30</v>
      </c>
      <c r="E19" s="1" t="s">
        <v>30</v>
      </c>
      <c r="F19" s="3" t="s">
        <v>31</v>
      </c>
      <c r="G19" s="1" t="s">
        <v>97</v>
      </c>
      <c r="H19" s="4" t="s">
        <v>98</v>
      </c>
      <c r="I19" s="6" t="s">
        <v>46</v>
      </c>
      <c r="J19" s="5" t="s">
        <v>37</v>
      </c>
      <c r="K19" s="5" t="s">
        <v>37</v>
      </c>
      <c r="L19" s="7" t="s">
        <v>99</v>
      </c>
      <c r="M19" s="5" t="s">
        <v>37</v>
      </c>
      <c r="N19" s="5" t="s">
        <v>37</v>
      </c>
      <c r="O19" s="5" t="s">
        <v>38</v>
      </c>
      <c r="P19" s="5" t="s">
        <v>39</v>
      </c>
      <c r="Q19" s="2">
        <v>45957</v>
      </c>
      <c r="R19" s="1" t="s">
        <v>100</v>
      </c>
      <c r="V19" s="46">
        <f>IF(
  OR(
    ISNUMBER(SEARCH("unable to locate acct", tblDocketedComments[[#This Row],[Docketed Consumer Comments]])),
    ISNUMBER(SEARCH("unknown", tblDocketedComments[[#This Row],[Docketed Consumer Comments]])),
    ISNUMBER(SEARCH("inactive", tblDocketedComments[[#This Row],[Docketed Consumer Comments]]))
  ),
  0,
  1
)</f>
        <v>1</v>
      </c>
    </row>
    <row r="20" spans="1:22" ht="10.15" customHeight="1">
      <c r="A20" s="2">
        <v>45824</v>
      </c>
      <c r="B20" s="1" t="s">
        <v>101</v>
      </c>
      <c r="C20" s="1" t="s">
        <v>102</v>
      </c>
      <c r="D20" s="1" t="s">
        <v>30</v>
      </c>
      <c r="E20" s="1" t="s">
        <v>30</v>
      </c>
      <c r="F20" s="3" t="s">
        <v>31</v>
      </c>
      <c r="G20" s="3" t="s">
        <v>103</v>
      </c>
      <c r="H20" s="4" t="s">
        <v>27</v>
      </c>
      <c r="I20" s="6"/>
      <c r="U20" s="1" t="s">
        <v>104</v>
      </c>
      <c r="V20" s="46">
        <f>IF(
  OR(
    ISNUMBER(SEARCH("unable to locate acct", tblDocketedComments[[#This Row],[Docketed Consumer Comments]])),
    ISNUMBER(SEARCH("unknown", tblDocketedComments[[#This Row],[Docketed Consumer Comments]])),
    ISNUMBER(SEARCH("inactive", tblDocketedComments[[#This Row],[Docketed Consumer Comments]]))
  ),
  0,
  1
)</f>
        <v>1</v>
      </c>
    </row>
    <row r="21" spans="1:22">
      <c r="A21" s="2">
        <v>45824</v>
      </c>
      <c r="B21" s="1" t="s">
        <v>105</v>
      </c>
      <c r="C21" s="1" t="s">
        <v>106</v>
      </c>
      <c r="D21" s="1" t="s">
        <v>30</v>
      </c>
      <c r="E21" s="1" t="s">
        <v>30</v>
      </c>
      <c r="F21" s="3" t="s">
        <v>31</v>
      </c>
      <c r="G21" s="1" t="s">
        <v>107</v>
      </c>
      <c r="H21" s="4" t="s">
        <v>27</v>
      </c>
      <c r="I21" s="6"/>
      <c r="V21" s="46">
        <f>IF(
  OR(
    ISNUMBER(SEARCH("unable to locate acct", tblDocketedComments[[#This Row],[Docketed Consumer Comments]])),
    ISNUMBER(SEARCH("unknown", tblDocketedComments[[#This Row],[Docketed Consumer Comments]])),
    ISNUMBER(SEARCH("inactive", tblDocketedComments[[#This Row],[Docketed Consumer Comments]]))
  ),
  0,
  1
)</f>
        <v>1</v>
      </c>
    </row>
    <row r="22" spans="1:22">
      <c r="A22" s="2">
        <v>45824</v>
      </c>
      <c r="B22" s="1" t="s">
        <v>28</v>
      </c>
      <c r="C22" s="1" t="s">
        <v>29</v>
      </c>
      <c r="D22" s="1" t="s">
        <v>30</v>
      </c>
      <c r="E22" s="1" t="s">
        <v>30</v>
      </c>
      <c r="F22" s="3" t="s">
        <v>31</v>
      </c>
      <c r="G22" s="1" t="s">
        <v>108</v>
      </c>
      <c r="H22" s="4" t="s">
        <v>27</v>
      </c>
      <c r="I22" s="6"/>
      <c r="U22" s="1" t="s">
        <v>109</v>
      </c>
      <c r="V22" s="46">
        <f>IF(
  OR(
    ISNUMBER(SEARCH("unable to locate acct", tblDocketedComments[[#This Row],[Docketed Consumer Comments]])),
    ISNUMBER(SEARCH("unknown", tblDocketedComments[[#This Row],[Docketed Consumer Comments]])),
    ISNUMBER(SEARCH("inactive", tblDocketedComments[[#This Row],[Docketed Consumer Comments]]))
  ),
  0,
  1
)</f>
        <v>1</v>
      </c>
    </row>
    <row r="23" spans="1:22">
      <c r="A23" s="2">
        <v>45825</v>
      </c>
      <c r="B23" s="1" t="s">
        <v>110</v>
      </c>
      <c r="C23" s="1" t="s">
        <v>111</v>
      </c>
      <c r="D23" s="1" t="s">
        <v>112</v>
      </c>
      <c r="E23" s="1">
        <v>85379</v>
      </c>
      <c r="F23" s="3" t="s">
        <v>31</v>
      </c>
      <c r="G23" s="1" t="s">
        <v>113</v>
      </c>
      <c r="H23" s="4" t="s">
        <v>27</v>
      </c>
      <c r="I23" s="6"/>
      <c r="V23" s="46">
        <f>IF(
  OR(
    ISNUMBER(SEARCH("unable to locate acct", tblDocketedComments[[#This Row],[Docketed Consumer Comments]])),
    ISNUMBER(SEARCH("unknown", tblDocketedComments[[#This Row],[Docketed Consumer Comments]])),
    ISNUMBER(SEARCH("inactive", tblDocketedComments[[#This Row],[Docketed Consumer Comments]]))
  ),
  0,
  1
)</f>
        <v>1</v>
      </c>
    </row>
    <row r="24" spans="1:22">
      <c r="A24" s="2">
        <v>45825</v>
      </c>
      <c r="B24" s="1" t="s">
        <v>114</v>
      </c>
      <c r="C24" s="1" t="s">
        <v>115</v>
      </c>
      <c r="D24" s="1" t="s">
        <v>112</v>
      </c>
      <c r="E24" s="1">
        <v>85387</v>
      </c>
      <c r="F24" s="3" t="s">
        <v>31</v>
      </c>
      <c r="G24" s="1" t="s">
        <v>113</v>
      </c>
      <c r="H24" s="4" t="s">
        <v>27</v>
      </c>
      <c r="I24" s="6"/>
      <c r="V24" s="46">
        <f>IF(
  OR(
    ISNUMBER(SEARCH("unable to locate acct", tblDocketedComments[[#This Row],[Docketed Consumer Comments]])),
    ISNUMBER(SEARCH("unknown", tblDocketedComments[[#This Row],[Docketed Consumer Comments]])),
    ISNUMBER(SEARCH("inactive", tblDocketedComments[[#This Row],[Docketed Consumer Comments]]))
  ),
  0,
  1
)</f>
        <v>1</v>
      </c>
    </row>
    <row r="25" spans="1:22">
      <c r="A25" s="2">
        <v>45825</v>
      </c>
      <c r="B25" s="1" t="s">
        <v>116</v>
      </c>
      <c r="C25" s="1" t="s">
        <v>117</v>
      </c>
      <c r="D25" s="1" t="s">
        <v>24</v>
      </c>
      <c r="E25" s="1">
        <v>85308</v>
      </c>
      <c r="F25" s="3" t="s">
        <v>31</v>
      </c>
      <c r="G25" s="1" t="s">
        <v>113</v>
      </c>
      <c r="H25" s="4" t="s">
        <v>118</v>
      </c>
      <c r="I25" s="6" t="s">
        <v>36</v>
      </c>
      <c r="J25" s="5" t="s">
        <v>37</v>
      </c>
      <c r="K25" s="5" t="s">
        <v>37</v>
      </c>
      <c r="L25" s="4" t="s">
        <v>38</v>
      </c>
      <c r="M25" s="4" t="s">
        <v>37</v>
      </c>
      <c r="N25" s="4" t="s">
        <v>37</v>
      </c>
      <c r="O25" s="5" t="s">
        <v>38</v>
      </c>
      <c r="P25" s="5" t="s">
        <v>39</v>
      </c>
      <c r="Q25" s="2">
        <v>45957</v>
      </c>
      <c r="V25" s="46">
        <f>IF(
  OR(
    ISNUMBER(SEARCH("unable to locate acct", tblDocketedComments[[#This Row],[Docketed Consumer Comments]])),
    ISNUMBER(SEARCH("unknown", tblDocketedComments[[#This Row],[Docketed Consumer Comments]])),
    ISNUMBER(SEARCH("inactive", tblDocketedComments[[#This Row],[Docketed Consumer Comments]]))
  ),
  0,
  1
)</f>
        <v>1</v>
      </c>
    </row>
    <row r="26" spans="1:22">
      <c r="A26" s="2">
        <v>45826</v>
      </c>
      <c r="B26" s="1" t="s">
        <v>119</v>
      </c>
      <c r="C26" s="1" t="s">
        <v>120</v>
      </c>
      <c r="D26" s="1" t="s">
        <v>63</v>
      </c>
      <c r="E26" s="1">
        <v>85027</v>
      </c>
      <c r="F26" s="3" t="s">
        <v>31</v>
      </c>
      <c r="G26" s="1" t="s">
        <v>121</v>
      </c>
      <c r="H26" s="4" t="s">
        <v>27</v>
      </c>
      <c r="U26" s="1" t="s">
        <v>122</v>
      </c>
      <c r="V26" s="46">
        <f>IF(
  OR(
    ISNUMBER(SEARCH("unable to locate acct", tblDocketedComments[[#This Row],[Docketed Consumer Comments]])),
    ISNUMBER(SEARCH("unknown", tblDocketedComments[[#This Row],[Docketed Consumer Comments]])),
    ISNUMBER(SEARCH("inactive", tblDocketedComments[[#This Row],[Docketed Consumer Comments]]))
  ),
  0,
  1
)</f>
        <v>1</v>
      </c>
    </row>
    <row r="27" spans="1:22">
      <c r="A27" s="2">
        <v>45826</v>
      </c>
      <c r="B27" s="1" t="s">
        <v>123</v>
      </c>
      <c r="C27" s="1" t="s">
        <v>124</v>
      </c>
      <c r="D27" s="1" t="s">
        <v>125</v>
      </c>
      <c r="E27" s="1">
        <v>85254</v>
      </c>
      <c r="F27" s="3" t="s">
        <v>31</v>
      </c>
      <c r="G27" s="1" t="s">
        <v>121</v>
      </c>
      <c r="H27" s="4">
        <v>7413433376</v>
      </c>
      <c r="I27" s="5" t="s">
        <v>126</v>
      </c>
      <c r="J27" s="5" t="s">
        <v>37</v>
      </c>
      <c r="K27" s="5" t="s">
        <v>37</v>
      </c>
      <c r="L27" s="5" t="s">
        <v>38</v>
      </c>
      <c r="M27" s="5" t="s">
        <v>37</v>
      </c>
      <c r="N27" s="5" t="s">
        <v>37</v>
      </c>
      <c r="O27" s="5" t="s">
        <v>38</v>
      </c>
      <c r="P27" s="5" t="s">
        <v>39</v>
      </c>
      <c r="Q27" s="2">
        <v>45957</v>
      </c>
      <c r="V27" s="46">
        <f>IF(
  OR(
    ISNUMBER(SEARCH("unable to locate acct", tblDocketedComments[[#This Row],[Docketed Consumer Comments]])),
    ISNUMBER(SEARCH("unknown", tblDocketedComments[[#This Row],[Docketed Consumer Comments]])),
    ISNUMBER(SEARCH("inactive", tblDocketedComments[[#This Row],[Docketed Consumer Comments]]))
  ),
  0,
  1
)</f>
        <v>1</v>
      </c>
    </row>
    <row r="28" spans="1:22">
      <c r="A28" s="2">
        <v>45826</v>
      </c>
      <c r="B28" s="1" t="s">
        <v>127</v>
      </c>
      <c r="C28" s="1" t="s">
        <v>128</v>
      </c>
      <c r="D28" s="1" t="s">
        <v>129</v>
      </c>
      <c r="E28" s="1">
        <v>85233</v>
      </c>
      <c r="F28" s="3" t="s">
        <v>31</v>
      </c>
      <c r="G28" s="1" t="s">
        <v>121</v>
      </c>
      <c r="H28" s="4">
        <v>6601188228</v>
      </c>
      <c r="I28" s="5" t="s">
        <v>36</v>
      </c>
      <c r="J28" s="5" t="s">
        <v>37</v>
      </c>
      <c r="K28" s="5" t="s">
        <v>37</v>
      </c>
      <c r="L28" s="5" t="s">
        <v>38</v>
      </c>
      <c r="M28" s="5" t="s">
        <v>37</v>
      </c>
      <c r="N28" s="5" t="s">
        <v>37</v>
      </c>
      <c r="O28" s="5" t="s">
        <v>38</v>
      </c>
      <c r="P28" s="5" t="s">
        <v>39</v>
      </c>
      <c r="Q28" s="2">
        <v>45957</v>
      </c>
      <c r="V28" s="46">
        <f>IF(
  OR(
    ISNUMBER(SEARCH("unable to locate acct", tblDocketedComments[[#This Row],[Docketed Consumer Comments]])),
    ISNUMBER(SEARCH("unknown", tblDocketedComments[[#This Row],[Docketed Consumer Comments]])),
    ISNUMBER(SEARCH("inactive", tblDocketedComments[[#This Row],[Docketed Consumer Comments]]))
  ),
  0,
  1
)</f>
        <v>1</v>
      </c>
    </row>
    <row r="29" spans="1:22">
      <c r="A29" s="2">
        <v>45826</v>
      </c>
      <c r="B29" s="1" t="s">
        <v>130</v>
      </c>
      <c r="C29" s="1" t="s">
        <v>131</v>
      </c>
      <c r="D29" s="1" t="s">
        <v>112</v>
      </c>
      <c r="E29" s="1">
        <v>85388</v>
      </c>
      <c r="F29" s="3" t="s">
        <v>31</v>
      </c>
      <c r="G29" s="1" t="s">
        <v>121</v>
      </c>
      <c r="H29" s="4">
        <v>7397110970</v>
      </c>
      <c r="I29" s="5" t="s">
        <v>36</v>
      </c>
      <c r="J29" s="5" t="s">
        <v>37</v>
      </c>
      <c r="K29" s="5" t="s">
        <v>37</v>
      </c>
      <c r="L29" s="5" t="s">
        <v>38</v>
      </c>
      <c r="M29" s="5" t="s">
        <v>37</v>
      </c>
      <c r="N29" s="5" t="s">
        <v>37</v>
      </c>
      <c r="O29" s="5" t="s">
        <v>38</v>
      </c>
      <c r="P29" s="5" t="s">
        <v>39</v>
      </c>
      <c r="Q29" s="2">
        <v>45957</v>
      </c>
      <c r="V29" s="46">
        <f>IF(
  OR(
    ISNUMBER(SEARCH("unable to locate acct", tblDocketedComments[[#This Row],[Docketed Consumer Comments]])),
    ISNUMBER(SEARCH("unknown", tblDocketedComments[[#This Row],[Docketed Consumer Comments]])),
    ISNUMBER(SEARCH("inactive", tblDocketedComments[[#This Row],[Docketed Consumer Comments]]))
  ),
  0,
  1
)</f>
        <v>1</v>
      </c>
    </row>
    <row r="30" spans="1:22">
      <c r="A30" s="2">
        <v>45826</v>
      </c>
      <c r="B30" s="1" t="s">
        <v>132</v>
      </c>
      <c r="C30" s="1" t="s">
        <v>133</v>
      </c>
      <c r="D30" s="1" t="s">
        <v>125</v>
      </c>
      <c r="E30" s="1">
        <v>85266</v>
      </c>
      <c r="F30" s="3" t="s">
        <v>31</v>
      </c>
      <c r="G30" s="1" t="s">
        <v>121</v>
      </c>
      <c r="H30" s="4">
        <v>5288831000</v>
      </c>
      <c r="I30" s="5" t="s">
        <v>36</v>
      </c>
      <c r="J30" s="5" t="s">
        <v>37</v>
      </c>
      <c r="K30" s="5" t="s">
        <v>37</v>
      </c>
      <c r="L30" s="5" t="s">
        <v>38</v>
      </c>
      <c r="M30" s="5" t="s">
        <v>37</v>
      </c>
      <c r="N30" s="5" t="s">
        <v>37</v>
      </c>
      <c r="O30" s="5" t="s">
        <v>38</v>
      </c>
      <c r="P30" s="5" t="s">
        <v>39</v>
      </c>
      <c r="Q30" s="2">
        <v>45957</v>
      </c>
      <c r="V30" s="46">
        <f>IF(
  OR(
    ISNUMBER(SEARCH("unable to locate acct", tblDocketedComments[[#This Row],[Docketed Consumer Comments]])),
    ISNUMBER(SEARCH("unknown", tblDocketedComments[[#This Row],[Docketed Consumer Comments]])),
    ISNUMBER(SEARCH("inactive", tblDocketedComments[[#This Row],[Docketed Consumer Comments]]))
  ),
  0,
  1
)</f>
        <v>1</v>
      </c>
    </row>
    <row r="31" spans="1:22">
      <c r="A31" s="2">
        <v>45826</v>
      </c>
      <c r="B31" s="1" t="s">
        <v>134</v>
      </c>
      <c r="C31" s="1" t="s">
        <v>135</v>
      </c>
      <c r="D31" s="1" t="s">
        <v>136</v>
      </c>
      <c r="E31" s="1" t="s">
        <v>30</v>
      </c>
      <c r="F31" s="3" t="s">
        <v>31</v>
      </c>
      <c r="G31" s="1" t="s">
        <v>137</v>
      </c>
      <c r="H31" s="4" t="s">
        <v>27</v>
      </c>
      <c r="I31" s="6"/>
      <c r="U31" s="1" t="s">
        <v>77</v>
      </c>
      <c r="V31" s="46">
        <f>IF(
  OR(
    ISNUMBER(SEARCH("unable to locate acct", tblDocketedComments[[#This Row],[Docketed Consumer Comments]])),
    ISNUMBER(SEARCH("unknown", tblDocketedComments[[#This Row],[Docketed Consumer Comments]])),
    ISNUMBER(SEARCH("inactive", tblDocketedComments[[#This Row],[Docketed Consumer Comments]]))
  ),
  0,
  1
)</f>
        <v>1</v>
      </c>
    </row>
    <row r="32" spans="1:22">
      <c r="A32" s="2">
        <v>45826</v>
      </c>
      <c r="B32" s="1" t="s">
        <v>138</v>
      </c>
      <c r="C32" s="1" t="s">
        <v>139</v>
      </c>
      <c r="D32" s="1" t="s">
        <v>125</v>
      </c>
      <c r="E32" s="1">
        <v>85254</v>
      </c>
      <c r="F32" s="3" t="s">
        <v>31</v>
      </c>
      <c r="G32" s="1" t="s">
        <v>137</v>
      </c>
      <c r="H32" s="4" t="s">
        <v>140</v>
      </c>
      <c r="I32" s="5" t="s">
        <v>57</v>
      </c>
      <c r="J32" s="5" t="s">
        <v>141</v>
      </c>
      <c r="K32" s="5" t="s">
        <v>37</v>
      </c>
      <c r="L32" s="5" t="s">
        <v>142</v>
      </c>
      <c r="M32" s="5" t="s">
        <v>37</v>
      </c>
      <c r="N32" s="5" t="s">
        <v>37</v>
      </c>
      <c r="O32" s="5" t="s">
        <v>38</v>
      </c>
      <c r="P32" s="5" t="s">
        <v>39</v>
      </c>
      <c r="Q32" s="2">
        <v>45957</v>
      </c>
      <c r="U32" s="1" t="s">
        <v>143</v>
      </c>
      <c r="V32" s="46">
        <f>IF(
  OR(
    ISNUMBER(SEARCH("unable to locate acct", tblDocketedComments[[#This Row],[Docketed Consumer Comments]])),
    ISNUMBER(SEARCH("unknown", tblDocketedComments[[#This Row],[Docketed Consumer Comments]])),
    ISNUMBER(SEARCH("inactive", tblDocketedComments[[#This Row],[Docketed Consumer Comments]]))
  ),
  0,
  1
)</f>
        <v>1</v>
      </c>
    </row>
    <row r="33" spans="1:22">
      <c r="A33" s="2">
        <v>45826</v>
      </c>
      <c r="B33" s="1" t="s">
        <v>144</v>
      </c>
      <c r="C33" s="1" t="s">
        <v>145</v>
      </c>
      <c r="D33" s="1" t="s">
        <v>63</v>
      </c>
      <c r="E33" s="1">
        <v>85029</v>
      </c>
      <c r="F33" s="3" t="s">
        <v>31</v>
      </c>
      <c r="G33" s="1" t="s">
        <v>137</v>
      </c>
      <c r="H33" s="4" t="s">
        <v>146</v>
      </c>
      <c r="I33" s="5" t="s">
        <v>36</v>
      </c>
      <c r="J33" s="5" t="s">
        <v>37</v>
      </c>
      <c r="K33" s="5" t="s">
        <v>37</v>
      </c>
      <c r="L33" s="7" t="s">
        <v>147</v>
      </c>
      <c r="M33" s="5" t="s">
        <v>37</v>
      </c>
      <c r="N33" s="5" t="s">
        <v>37</v>
      </c>
      <c r="O33" s="5" t="s">
        <v>38</v>
      </c>
      <c r="P33" s="2">
        <v>45964</v>
      </c>
      <c r="Q33" s="2">
        <v>45957</v>
      </c>
      <c r="R33" s="1" t="s">
        <v>148</v>
      </c>
      <c r="U33" s="1" t="s">
        <v>149</v>
      </c>
      <c r="V33" s="46">
        <f>IF(
  OR(
    ISNUMBER(SEARCH("unable to locate acct", tblDocketedComments[[#This Row],[Docketed Consumer Comments]])),
    ISNUMBER(SEARCH("unknown", tblDocketedComments[[#This Row],[Docketed Consumer Comments]])),
    ISNUMBER(SEARCH("inactive", tblDocketedComments[[#This Row],[Docketed Consumer Comments]]))
  ),
  0,
  1
)</f>
        <v>1</v>
      </c>
    </row>
    <row r="34" spans="1:22">
      <c r="A34" s="2">
        <v>45826</v>
      </c>
      <c r="B34" s="1" t="s">
        <v>150</v>
      </c>
      <c r="C34" s="1" t="s">
        <v>133</v>
      </c>
      <c r="D34" s="1" t="s">
        <v>30</v>
      </c>
      <c r="E34" s="1" t="s">
        <v>30</v>
      </c>
      <c r="F34" s="3" t="s">
        <v>31</v>
      </c>
      <c r="G34" s="1" t="s">
        <v>151</v>
      </c>
      <c r="H34" s="4" t="s">
        <v>27</v>
      </c>
      <c r="I34" s="6"/>
      <c r="U34" s="1" t="s">
        <v>77</v>
      </c>
      <c r="V34" s="46">
        <f>IF(
  OR(
    ISNUMBER(SEARCH("unable to locate acct", tblDocketedComments[[#This Row],[Docketed Consumer Comments]])),
    ISNUMBER(SEARCH("unknown", tblDocketedComments[[#This Row],[Docketed Consumer Comments]])),
    ISNUMBER(SEARCH("inactive", tblDocketedComments[[#This Row],[Docketed Consumer Comments]]))
  ),
  0,
  1
)</f>
        <v>1</v>
      </c>
    </row>
    <row r="35" spans="1:22">
      <c r="A35" s="2">
        <v>45826</v>
      </c>
      <c r="B35" s="1" t="s">
        <v>152</v>
      </c>
      <c r="C35" s="1" t="s">
        <v>153</v>
      </c>
      <c r="D35" s="1" t="s">
        <v>30</v>
      </c>
      <c r="E35" s="1" t="s">
        <v>30</v>
      </c>
      <c r="F35" s="3" t="s">
        <v>31</v>
      </c>
      <c r="G35" s="1" t="s">
        <v>151</v>
      </c>
      <c r="H35" s="4" t="s">
        <v>154</v>
      </c>
      <c r="I35" s="5" t="s">
        <v>73</v>
      </c>
      <c r="J35" s="5" t="s">
        <v>37</v>
      </c>
      <c r="K35" s="5" t="s">
        <v>37</v>
      </c>
      <c r="L35" s="4" t="s">
        <v>38</v>
      </c>
      <c r="M35" s="4" t="s">
        <v>37</v>
      </c>
      <c r="N35" s="4" t="s">
        <v>37</v>
      </c>
      <c r="O35" s="5" t="s">
        <v>38</v>
      </c>
      <c r="P35" s="5" t="s">
        <v>39</v>
      </c>
      <c r="Q35" s="2">
        <v>45957</v>
      </c>
      <c r="V35" s="46">
        <f>IF(
  OR(
    ISNUMBER(SEARCH("unable to locate acct", tblDocketedComments[[#This Row],[Docketed Consumer Comments]])),
    ISNUMBER(SEARCH("unknown", tblDocketedComments[[#This Row],[Docketed Consumer Comments]])),
    ISNUMBER(SEARCH("inactive", tblDocketedComments[[#This Row],[Docketed Consumer Comments]]))
  ),
  0,
  1
)</f>
        <v>1</v>
      </c>
    </row>
    <row r="36" spans="1:22">
      <c r="A36" s="2">
        <v>45826</v>
      </c>
      <c r="B36" s="1" t="s">
        <v>155</v>
      </c>
      <c r="C36" s="1" t="s">
        <v>156</v>
      </c>
      <c r="D36" s="1" t="s">
        <v>30</v>
      </c>
      <c r="E36" s="1" t="s">
        <v>30</v>
      </c>
      <c r="F36" s="3" t="s">
        <v>31</v>
      </c>
      <c r="G36" s="1" t="s">
        <v>151</v>
      </c>
      <c r="H36" s="4" t="s">
        <v>157</v>
      </c>
      <c r="I36" s="6" t="s">
        <v>36</v>
      </c>
      <c r="J36" s="5" t="s">
        <v>37</v>
      </c>
      <c r="K36" s="5" t="s">
        <v>37</v>
      </c>
      <c r="L36" s="4" t="s">
        <v>38</v>
      </c>
      <c r="M36" s="4" t="s">
        <v>37</v>
      </c>
      <c r="N36" s="4" t="s">
        <v>37</v>
      </c>
      <c r="O36" s="5" t="s">
        <v>38</v>
      </c>
      <c r="P36" s="5" t="s">
        <v>39</v>
      </c>
      <c r="Q36" s="2">
        <v>45957</v>
      </c>
      <c r="R36" s="1" t="s">
        <v>158</v>
      </c>
      <c r="U36" s="1" t="s">
        <v>159</v>
      </c>
      <c r="V36" s="46">
        <f>IF(
  OR(
    ISNUMBER(SEARCH("unable to locate acct", tblDocketedComments[[#This Row],[Docketed Consumer Comments]])),
    ISNUMBER(SEARCH("unknown", tblDocketedComments[[#This Row],[Docketed Consumer Comments]])),
    ISNUMBER(SEARCH("inactive", tblDocketedComments[[#This Row],[Docketed Consumer Comments]]))
  ),
  0,
  1
)</f>
        <v>1</v>
      </c>
    </row>
    <row r="37" spans="1:22">
      <c r="A37" s="2">
        <v>45826</v>
      </c>
      <c r="B37" s="1" t="s">
        <v>160</v>
      </c>
      <c r="C37" s="1" t="s">
        <v>117</v>
      </c>
      <c r="D37" s="1" t="s">
        <v>24</v>
      </c>
      <c r="E37" s="1">
        <v>85310</v>
      </c>
      <c r="F37" s="3" t="s">
        <v>31</v>
      </c>
      <c r="G37" s="1" t="s">
        <v>151</v>
      </c>
      <c r="H37" s="4" t="s">
        <v>27</v>
      </c>
      <c r="I37" s="6"/>
      <c r="U37" s="1" t="s">
        <v>77</v>
      </c>
      <c r="V37" s="46">
        <f>IF(
  OR(
    ISNUMBER(SEARCH("unable to locate acct", tblDocketedComments[[#This Row],[Docketed Consumer Comments]])),
    ISNUMBER(SEARCH("unknown", tblDocketedComments[[#This Row],[Docketed Consumer Comments]])),
    ISNUMBER(SEARCH("inactive", tblDocketedComments[[#This Row],[Docketed Consumer Comments]]))
  ),
  0,
  1
)</f>
        <v>1</v>
      </c>
    </row>
    <row r="38" spans="1:22">
      <c r="A38" s="2">
        <v>45826</v>
      </c>
      <c r="B38" s="1" t="s">
        <v>161</v>
      </c>
      <c r="C38" s="1" t="s">
        <v>162</v>
      </c>
      <c r="D38" s="1" t="s">
        <v>68</v>
      </c>
      <c r="E38" s="1">
        <v>85331</v>
      </c>
      <c r="F38" s="3" t="s">
        <v>31</v>
      </c>
      <c r="G38" s="1" t="s">
        <v>151</v>
      </c>
      <c r="H38" s="4" t="s">
        <v>163</v>
      </c>
      <c r="I38" s="6" t="s">
        <v>164</v>
      </c>
      <c r="J38" s="5" t="s">
        <v>37</v>
      </c>
      <c r="K38" s="5" t="s">
        <v>37</v>
      </c>
      <c r="L38" s="9" t="s">
        <v>165</v>
      </c>
      <c r="M38" s="4" t="s">
        <v>37</v>
      </c>
      <c r="N38" s="4" t="s">
        <v>37</v>
      </c>
      <c r="O38" s="5" t="s">
        <v>38</v>
      </c>
      <c r="P38" s="2">
        <v>45964</v>
      </c>
      <c r="Q38" s="2">
        <v>45957</v>
      </c>
      <c r="R38" s="1" t="s">
        <v>148</v>
      </c>
      <c r="U38" s="1" t="s">
        <v>166</v>
      </c>
      <c r="V38" s="46">
        <f>IF(
  OR(
    ISNUMBER(SEARCH("unable to locate acct", tblDocketedComments[[#This Row],[Docketed Consumer Comments]])),
    ISNUMBER(SEARCH("unknown", tblDocketedComments[[#This Row],[Docketed Consumer Comments]])),
    ISNUMBER(SEARCH("inactive", tblDocketedComments[[#This Row],[Docketed Consumer Comments]]))
  ),
  0,
  1
)</f>
        <v>1</v>
      </c>
    </row>
    <row r="39" spans="1:22">
      <c r="A39" s="2">
        <v>45827</v>
      </c>
      <c r="B39" s="1" t="s">
        <v>167</v>
      </c>
      <c r="C39" s="1" t="s">
        <v>168</v>
      </c>
      <c r="D39" s="1" t="s">
        <v>169</v>
      </c>
      <c r="E39" s="1" t="s">
        <v>30</v>
      </c>
      <c r="F39" s="3" t="s">
        <v>170</v>
      </c>
      <c r="G39" s="1" t="s">
        <v>171</v>
      </c>
      <c r="H39" s="4" t="s">
        <v>27</v>
      </c>
      <c r="I39" s="6"/>
      <c r="L39" s="4"/>
      <c r="M39" s="4"/>
      <c r="N39" s="4"/>
      <c r="U39" s="1" t="s">
        <v>77</v>
      </c>
      <c r="V39" s="46">
        <f>IF(
  OR(
    ISNUMBER(SEARCH("unable to locate acct", tblDocketedComments[[#This Row],[Docketed Consumer Comments]])),
    ISNUMBER(SEARCH("unknown", tblDocketedComments[[#This Row],[Docketed Consumer Comments]])),
    ISNUMBER(SEARCH("inactive", tblDocketedComments[[#This Row],[Docketed Consumer Comments]]))
  ),
  0,
  1
)</f>
        <v>1</v>
      </c>
    </row>
    <row r="40" spans="1:22">
      <c r="A40" s="2">
        <v>45827</v>
      </c>
      <c r="B40" s="1" t="s">
        <v>172</v>
      </c>
      <c r="C40" s="1" t="s">
        <v>173</v>
      </c>
      <c r="D40" s="1" t="s">
        <v>174</v>
      </c>
      <c r="E40" s="1" t="s">
        <v>30</v>
      </c>
      <c r="F40" s="3" t="s">
        <v>31</v>
      </c>
      <c r="G40" s="1" t="s">
        <v>175</v>
      </c>
      <c r="H40" s="4" t="s">
        <v>27</v>
      </c>
      <c r="I40" s="6"/>
      <c r="L40" s="4"/>
      <c r="M40" s="4"/>
      <c r="N40" s="4"/>
      <c r="U40" s="1" t="s">
        <v>77</v>
      </c>
      <c r="V40" s="46">
        <f>IF(
  OR(
    ISNUMBER(SEARCH("unable to locate acct", tblDocketedComments[[#This Row],[Docketed Consumer Comments]])),
    ISNUMBER(SEARCH("unknown", tblDocketedComments[[#This Row],[Docketed Consumer Comments]])),
    ISNUMBER(SEARCH("inactive", tblDocketedComments[[#This Row],[Docketed Consumer Comments]]))
  ),
  0,
  1
)</f>
        <v>1</v>
      </c>
    </row>
    <row r="41" spans="1:22">
      <c r="A41" s="2">
        <v>45827</v>
      </c>
      <c r="B41" s="1" t="s">
        <v>176</v>
      </c>
      <c r="C41" s="1" t="s">
        <v>177</v>
      </c>
      <c r="D41" s="1" t="s">
        <v>30</v>
      </c>
      <c r="E41" s="1" t="s">
        <v>30</v>
      </c>
      <c r="F41" s="3" t="s">
        <v>31</v>
      </c>
      <c r="G41" s="1" t="s">
        <v>175</v>
      </c>
      <c r="H41" s="4" t="s">
        <v>27</v>
      </c>
      <c r="I41" s="6"/>
      <c r="L41" s="4"/>
      <c r="M41" s="4"/>
      <c r="N41" s="4"/>
      <c r="U41" s="1" t="s">
        <v>77</v>
      </c>
      <c r="V41" s="46">
        <f>IF(
  OR(
    ISNUMBER(SEARCH("unable to locate acct", tblDocketedComments[[#This Row],[Docketed Consumer Comments]])),
    ISNUMBER(SEARCH("unknown", tblDocketedComments[[#This Row],[Docketed Consumer Comments]])),
    ISNUMBER(SEARCH("inactive", tblDocketedComments[[#This Row],[Docketed Consumer Comments]]))
  ),
  0,
  1
)</f>
        <v>1</v>
      </c>
    </row>
    <row r="42" spans="1:22">
      <c r="A42" s="2">
        <v>45827</v>
      </c>
      <c r="B42" s="1" t="s">
        <v>178</v>
      </c>
      <c r="C42" s="1" t="s">
        <v>179</v>
      </c>
      <c r="D42" s="1" t="s">
        <v>30</v>
      </c>
      <c r="E42" s="1" t="s">
        <v>30</v>
      </c>
      <c r="F42" s="3" t="s">
        <v>31</v>
      </c>
      <c r="G42" s="1" t="s">
        <v>175</v>
      </c>
      <c r="H42" s="4">
        <v>3007031000</v>
      </c>
      <c r="I42" s="6" t="s">
        <v>36</v>
      </c>
      <c r="J42" s="5" t="s">
        <v>37</v>
      </c>
      <c r="K42" s="5" t="s">
        <v>37</v>
      </c>
      <c r="L42" s="4" t="s">
        <v>38</v>
      </c>
      <c r="M42" s="4" t="s">
        <v>37</v>
      </c>
      <c r="N42" s="4" t="s">
        <v>37</v>
      </c>
      <c r="O42" s="5" t="s">
        <v>38</v>
      </c>
      <c r="P42" s="5" t="s">
        <v>39</v>
      </c>
      <c r="Q42" s="2">
        <v>45957</v>
      </c>
      <c r="V42" s="46">
        <f>IF(
  OR(
    ISNUMBER(SEARCH("unable to locate acct", tblDocketedComments[[#This Row],[Docketed Consumer Comments]])),
    ISNUMBER(SEARCH("unknown", tblDocketedComments[[#This Row],[Docketed Consumer Comments]])),
    ISNUMBER(SEARCH("inactive", tblDocketedComments[[#This Row],[Docketed Consumer Comments]]))
  ),
  0,
  1
)</f>
        <v>1</v>
      </c>
    </row>
    <row r="43" spans="1:22">
      <c r="A43" s="2">
        <v>45827</v>
      </c>
      <c r="B43" s="1" t="s">
        <v>180</v>
      </c>
      <c r="C43" s="1" t="s">
        <v>181</v>
      </c>
      <c r="D43" s="1" t="s">
        <v>63</v>
      </c>
      <c r="E43" s="1" t="s">
        <v>30</v>
      </c>
      <c r="F43" s="3" t="s">
        <v>31</v>
      </c>
      <c r="G43" s="1" t="s">
        <v>182</v>
      </c>
      <c r="H43" s="4" t="s">
        <v>27</v>
      </c>
      <c r="I43" s="6"/>
      <c r="L43" s="4"/>
      <c r="M43" s="4"/>
      <c r="N43" s="4"/>
      <c r="V43" s="46">
        <f>IF(
  OR(
    ISNUMBER(SEARCH("unable to locate acct", tblDocketedComments[[#This Row],[Docketed Consumer Comments]])),
    ISNUMBER(SEARCH("unknown", tblDocketedComments[[#This Row],[Docketed Consumer Comments]])),
    ISNUMBER(SEARCH("inactive", tblDocketedComments[[#This Row],[Docketed Consumer Comments]]))
  ),
  0,
  1
)</f>
        <v>1</v>
      </c>
    </row>
    <row r="44" spans="1:22">
      <c r="A44" s="2">
        <v>45827</v>
      </c>
      <c r="B44" s="1" t="s">
        <v>183</v>
      </c>
      <c r="C44" s="1" t="s">
        <v>184</v>
      </c>
      <c r="D44" s="1" t="s">
        <v>112</v>
      </c>
      <c r="E44" s="1">
        <v>85374</v>
      </c>
      <c r="F44" s="3" t="s">
        <v>31</v>
      </c>
      <c r="G44" s="1" t="s">
        <v>182</v>
      </c>
      <c r="H44" s="4" t="s">
        <v>185</v>
      </c>
      <c r="I44" s="6" t="s">
        <v>126</v>
      </c>
      <c r="J44" s="5" t="s">
        <v>37</v>
      </c>
      <c r="K44" s="5" t="s">
        <v>37</v>
      </c>
      <c r="L44" s="4" t="s">
        <v>38</v>
      </c>
      <c r="M44" s="4" t="s">
        <v>37</v>
      </c>
      <c r="N44" s="4" t="s">
        <v>37</v>
      </c>
      <c r="O44" s="5" t="s">
        <v>38</v>
      </c>
      <c r="P44" s="5" t="s">
        <v>39</v>
      </c>
      <c r="Q44" s="2">
        <v>45957</v>
      </c>
      <c r="V44" s="46">
        <f>IF(
  OR(
    ISNUMBER(SEARCH("unable to locate acct", tblDocketedComments[[#This Row],[Docketed Consumer Comments]])),
    ISNUMBER(SEARCH("unknown", tblDocketedComments[[#This Row],[Docketed Consumer Comments]])),
    ISNUMBER(SEARCH("inactive", tblDocketedComments[[#This Row],[Docketed Consumer Comments]]))
  ),
  0,
  1
)</f>
        <v>1</v>
      </c>
    </row>
    <row r="45" spans="1:22">
      <c r="A45" s="2">
        <v>45831</v>
      </c>
      <c r="B45" s="1" t="s">
        <v>186</v>
      </c>
      <c r="C45" s="1" t="s">
        <v>102</v>
      </c>
      <c r="D45" s="1" t="s">
        <v>169</v>
      </c>
      <c r="E45" s="1">
        <v>85338</v>
      </c>
      <c r="F45" s="3" t="s">
        <v>31</v>
      </c>
      <c r="H45" s="4" t="s">
        <v>27</v>
      </c>
      <c r="L45" s="4"/>
      <c r="M45" s="4"/>
      <c r="N45" s="4"/>
      <c r="V45" s="46">
        <f>IF(
  OR(
    ISNUMBER(SEARCH("unable to locate acct", tblDocketedComments[[#This Row],[Docketed Consumer Comments]])),
    ISNUMBER(SEARCH("unknown", tblDocketedComments[[#This Row],[Docketed Consumer Comments]])),
    ISNUMBER(SEARCH("inactive", tblDocketedComments[[#This Row],[Docketed Consumer Comments]]))
  ),
  0,
  1
)</f>
        <v>1</v>
      </c>
    </row>
    <row r="46" spans="1:22">
      <c r="A46" s="2">
        <v>45831</v>
      </c>
      <c r="B46" s="1" t="s">
        <v>187</v>
      </c>
      <c r="C46" s="1" t="s">
        <v>188</v>
      </c>
      <c r="D46" s="1" t="s">
        <v>174</v>
      </c>
      <c r="E46" s="1">
        <v>85326</v>
      </c>
      <c r="F46" s="3" t="s">
        <v>31</v>
      </c>
      <c r="H46" s="4" t="s">
        <v>27</v>
      </c>
      <c r="L46" s="4"/>
      <c r="M46" s="4"/>
      <c r="N46" s="4"/>
      <c r="V46" s="46">
        <f>IF(
  OR(
    ISNUMBER(SEARCH("unable to locate acct", tblDocketedComments[[#This Row],[Docketed Consumer Comments]])),
    ISNUMBER(SEARCH("unknown", tblDocketedComments[[#This Row],[Docketed Consumer Comments]])),
    ISNUMBER(SEARCH("inactive", tblDocketedComments[[#This Row],[Docketed Consumer Comments]]))
  ),
  0,
  1
)</f>
        <v>1</v>
      </c>
    </row>
    <row r="47" spans="1:22">
      <c r="A47" s="2">
        <v>45831</v>
      </c>
      <c r="B47" s="1" t="s">
        <v>189</v>
      </c>
      <c r="C47" s="1" t="s">
        <v>190</v>
      </c>
      <c r="D47" s="1" t="s">
        <v>174</v>
      </c>
      <c r="E47" s="1" t="s">
        <v>30</v>
      </c>
      <c r="F47" s="3" t="s">
        <v>25</v>
      </c>
      <c r="H47" s="4" t="s">
        <v>191</v>
      </c>
      <c r="I47" s="5" t="s">
        <v>126</v>
      </c>
      <c r="J47" s="5" t="s">
        <v>37</v>
      </c>
      <c r="K47" s="5" t="s">
        <v>37</v>
      </c>
      <c r="L47" s="4" t="s">
        <v>192</v>
      </c>
      <c r="M47" s="4" t="s">
        <v>37</v>
      </c>
      <c r="N47" s="4" t="s">
        <v>37</v>
      </c>
      <c r="O47" s="5" t="s">
        <v>38</v>
      </c>
      <c r="P47" s="5" t="s">
        <v>39</v>
      </c>
      <c r="Q47" s="2">
        <v>45957</v>
      </c>
      <c r="V47" s="46">
        <f>IF(
  OR(
    ISNUMBER(SEARCH("unable to locate acct", tblDocketedComments[[#This Row],[Docketed Consumer Comments]])),
    ISNUMBER(SEARCH("unknown", tblDocketedComments[[#This Row],[Docketed Consumer Comments]])),
    ISNUMBER(SEARCH("inactive", tblDocketedComments[[#This Row],[Docketed Consumer Comments]]))
  ),
  0,
  1
)</f>
        <v>1</v>
      </c>
    </row>
    <row r="48" spans="1:22">
      <c r="A48" s="2">
        <v>45831</v>
      </c>
      <c r="B48" s="1" t="s">
        <v>193</v>
      </c>
      <c r="C48" s="1" t="s">
        <v>194</v>
      </c>
      <c r="D48" s="1" t="s">
        <v>63</v>
      </c>
      <c r="E48" s="1">
        <v>85006</v>
      </c>
      <c r="F48" s="3" t="s">
        <v>25</v>
      </c>
      <c r="H48" s="4" t="s">
        <v>195</v>
      </c>
      <c r="I48" s="5" t="s">
        <v>196</v>
      </c>
      <c r="J48" s="5" t="s">
        <v>37</v>
      </c>
      <c r="K48" s="5" t="s">
        <v>37</v>
      </c>
      <c r="L48" s="4" t="s">
        <v>197</v>
      </c>
      <c r="M48" s="4" t="s">
        <v>37</v>
      </c>
      <c r="N48" s="4" t="s">
        <v>37</v>
      </c>
      <c r="O48" s="5" t="s">
        <v>38</v>
      </c>
      <c r="P48" s="5" t="s">
        <v>39</v>
      </c>
      <c r="Q48" s="2">
        <v>45957</v>
      </c>
      <c r="V48" s="46">
        <f>IF(
  OR(
    ISNUMBER(SEARCH("unable to locate acct", tblDocketedComments[[#This Row],[Docketed Consumer Comments]])),
    ISNUMBER(SEARCH("unknown", tblDocketedComments[[#This Row],[Docketed Consumer Comments]])),
    ISNUMBER(SEARCH("inactive", tblDocketedComments[[#This Row],[Docketed Consumer Comments]]))
  ),
  0,
  1
)</f>
        <v>1</v>
      </c>
    </row>
    <row r="49" spans="1:22">
      <c r="A49" s="2">
        <v>45831</v>
      </c>
      <c r="B49" s="1" t="s">
        <v>198</v>
      </c>
      <c r="C49" s="1" t="s">
        <v>199</v>
      </c>
      <c r="D49" s="1" t="s">
        <v>63</v>
      </c>
      <c r="E49" s="1">
        <v>85085</v>
      </c>
      <c r="F49" s="3" t="s">
        <v>25</v>
      </c>
      <c r="H49" s="4" t="s">
        <v>90</v>
      </c>
      <c r="L49" s="4"/>
      <c r="M49" s="4"/>
      <c r="N49" s="4"/>
      <c r="V49" s="46">
        <f>IF(
  OR(
    ISNUMBER(SEARCH("unable to locate acct", tblDocketedComments[[#This Row],[Docketed Consumer Comments]])),
    ISNUMBER(SEARCH("unknown", tblDocketedComments[[#This Row],[Docketed Consumer Comments]])),
    ISNUMBER(SEARCH("inactive", tblDocketedComments[[#This Row],[Docketed Consumer Comments]]))
  ),
  0,
  1
)</f>
        <v>1</v>
      </c>
    </row>
    <row r="50" spans="1:22">
      <c r="A50" s="2">
        <v>45831</v>
      </c>
      <c r="B50" s="1" t="s">
        <v>200</v>
      </c>
      <c r="C50" s="1" t="s">
        <v>201</v>
      </c>
      <c r="D50" s="1" t="s">
        <v>202</v>
      </c>
      <c r="E50" s="1">
        <v>85383</v>
      </c>
      <c r="F50" s="3" t="s">
        <v>25</v>
      </c>
      <c r="H50" s="4" t="s">
        <v>203</v>
      </c>
      <c r="I50" s="5" t="s">
        <v>36</v>
      </c>
      <c r="J50" s="5" t="s">
        <v>37</v>
      </c>
      <c r="K50" s="5" t="s">
        <v>37</v>
      </c>
      <c r="L50" s="4" t="s">
        <v>204</v>
      </c>
      <c r="M50" s="4" t="s">
        <v>37</v>
      </c>
      <c r="N50" s="4" t="s">
        <v>37</v>
      </c>
      <c r="O50" s="5" t="s">
        <v>38</v>
      </c>
      <c r="P50" s="5" t="s">
        <v>39</v>
      </c>
      <c r="Q50" s="2">
        <v>45957</v>
      </c>
      <c r="V50" s="46">
        <f>IF(
  OR(
    ISNUMBER(SEARCH("unable to locate acct", tblDocketedComments[[#This Row],[Docketed Consumer Comments]])),
    ISNUMBER(SEARCH("unknown", tblDocketedComments[[#This Row],[Docketed Consumer Comments]])),
    ISNUMBER(SEARCH("inactive", tblDocketedComments[[#This Row],[Docketed Consumer Comments]]))
  ),
  0,
  1
)</f>
        <v>1</v>
      </c>
    </row>
    <row r="51" spans="1:22">
      <c r="A51" s="2">
        <v>45831</v>
      </c>
      <c r="B51" s="1" t="s">
        <v>205</v>
      </c>
      <c r="C51" s="1" t="s">
        <v>206</v>
      </c>
      <c r="D51" s="1" t="s">
        <v>30</v>
      </c>
      <c r="E51" s="1" t="s">
        <v>30</v>
      </c>
      <c r="F51" s="3" t="s">
        <v>25</v>
      </c>
      <c r="H51" s="4" t="s">
        <v>27</v>
      </c>
      <c r="L51" s="4"/>
      <c r="M51" s="4"/>
      <c r="N51" s="4"/>
      <c r="V51" s="46">
        <f>IF(
  OR(
    ISNUMBER(SEARCH("unable to locate acct", tblDocketedComments[[#This Row],[Docketed Consumer Comments]])),
    ISNUMBER(SEARCH("unknown", tblDocketedComments[[#This Row],[Docketed Consumer Comments]])),
    ISNUMBER(SEARCH("inactive", tblDocketedComments[[#This Row],[Docketed Consumer Comments]]))
  ),
  0,
  1
)</f>
        <v>1</v>
      </c>
    </row>
    <row r="52" spans="1:22">
      <c r="A52" s="2">
        <v>45831</v>
      </c>
      <c r="B52" s="1" t="s">
        <v>207</v>
      </c>
      <c r="C52" s="1" t="s">
        <v>208</v>
      </c>
      <c r="D52" s="1" t="s">
        <v>30</v>
      </c>
      <c r="E52" s="1" t="s">
        <v>30</v>
      </c>
      <c r="F52" s="3" t="s">
        <v>25</v>
      </c>
      <c r="H52" s="4" t="s">
        <v>209</v>
      </c>
      <c r="V52" s="46">
        <f>IF(
  OR(
    ISNUMBER(SEARCH("unable to locate acct", tblDocketedComments[[#This Row],[Docketed Consumer Comments]])),
    ISNUMBER(SEARCH("unknown", tblDocketedComments[[#This Row],[Docketed Consumer Comments]])),
    ISNUMBER(SEARCH("inactive", tblDocketedComments[[#This Row],[Docketed Consumer Comments]]))
  ),
  0,
  1
)</f>
        <v>1</v>
      </c>
    </row>
    <row r="53" spans="1:22">
      <c r="A53" s="2">
        <v>45831</v>
      </c>
      <c r="B53" s="1" t="s">
        <v>210</v>
      </c>
      <c r="C53" s="1" t="s">
        <v>211</v>
      </c>
      <c r="D53" s="1" t="s">
        <v>85</v>
      </c>
      <c r="E53" s="1">
        <v>86323</v>
      </c>
      <c r="F53" s="3" t="s">
        <v>31</v>
      </c>
      <c r="G53" s="1" t="s">
        <v>212</v>
      </c>
      <c r="H53" s="4" t="s">
        <v>213</v>
      </c>
      <c r="I53" s="5" t="s">
        <v>73</v>
      </c>
      <c r="J53" s="5" t="s">
        <v>37</v>
      </c>
      <c r="K53" s="5" t="s">
        <v>37</v>
      </c>
      <c r="L53" s="5" t="s">
        <v>38</v>
      </c>
      <c r="M53" s="5" t="s">
        <v>37</v>
      </c>
      <c r="N53" s="5" t="s">
        <v>37</v>
      </c>
      <c r="O53" s="5" t="s">
        <v>38</v>
      </c>
      <c r="P53" s="5" t="s">
        <v>39</v>
      </c>
      <c r="Q53" s="2">
        <v>45958</v>
      </c>
      <c r="V53" s="46">
        <f>IF(
  OR(
    ISNUMBER(SEARCH("unable to locate acct", tblDocketedComments[[#This Row],[Docketed Consumer Comments]])),
    ISNUMBER(SEARCH("unknown", tblDocketedComments[[#This Row],[Docketed Consumer Comments]])),
    ISNUMBER(SEARCH("inactive", tblDocketedComments[[#This Row],[Docketed Consumer Comments]]))
  ),
  0,
  1
)</f>
        <v>1</v>
      </c>
    </row>
    <row r="54" spans="1:22">
      <c r="A54" s="2">
        <v>45833</v>
      </c>
      <c r="B54" s="1" t="s">
        <v>214</v>
      </c>
      <c r="C54" s="1" t="s">
        <v>215</v>
      </c>
      <c r="D54" s="1" t="s">
        <v>30</v>
      </c>
      <c r="E54" s="1" t="s">
        <v>30</v>
      </c>
      <c r="F54" s="3" t="s">
        <v>31</v>
      </c>
      <c r="H54" s="4" t="s">
        <v>27</v>
      </c>
      <c r="V54" s="46">
        <f>IF(
  OR(
    ISNUMBER(SEARCH("unable to locate acct", tblDocketedComments[[#This Row],[Docketed Consumer Comments]])),
    ISNUMBER(SEARCH("unknown", tblDocketedComments[[#This Row],[Docketed Consumer Comments]])),
    ISNUMBER(SEARCH("inactive", tblDocketedComments[[#This Row],[Docketed Consumer Comments]]))
  ),
  0,
  1
)</f>
        <v>1</v>
      </c>
    </row>
    <row r="55" spans="1:22">
      <c r="A55" s="2">
        <v>45835</v>
      </c>
      <c r="B55" s="1" t="s">
        <v>216</v>
      </c>
      <c r="C55" s="1" t="s">
        <v>217</v>
      </c>
      <c r="D55" s="1" t="s">
        <v>125</v>
      </c>
      <c r="E55" s="1">
        <v>85260</v>
      </c>
      <c r="F55" s="3" t="s">
        <v>31</v>
      </c>
      <c r="G55" s="1" t="s">
        <v>218</v>
      </c>
      <c r="H55" s="4" t="s">
        <v>27</v>
      </c>
      <c r="V55" s="46">
        <f>IF(
  OR(
    ISNUMBER(SEARCH("unable to locate acct", tblDocketedComments[[#This Row],[Docketed Consumer Comments]])),
    ISNUMBER(SEARCH("unknown", tblDocketedComments[[#This Row],[Docketed Consumer Comments]])),
    ISNUMBER(SEARCH("inactive", tblDocketedComments[[#This Row],[Docketed Consumer Comments]]))
  ),
  0,
  1
)</f>
        <v>1</v>
      </c>
    </row>
    <row r="56" spans="1:22">
      <c r="A56" s="2">
        <v>45839</v>
      </c>
      <c r="B56" s="1" t="s">
        <v>219</v>
      </c>
      <c r="C56" s="1" t="s">
        <v>220</v>
      </c>
      <c r="D56" s="1" t="s">
        <v>63</v>
      </c>
      <c r="E56" s="1">
        <v>85032</v>
      </c>
      <c r="F56" s="3" t="s">
        <v>31</v>
      </c>
      <c r="G56" s="1" t="s">
        <v>221</v>
      </c>
      <c r="H56" s="4" t="s">
        <v>222</v>
      </c>
      <c r="I56" s="6" t="s">
        <v>126</v>
      </c>
      <c r="J56" s="5" t="s">
        <v>37</v>
      </c>
      <c r="K56" s="5" t="s">
        <v>37</v>
      </c>
      <c r="L56" s="5" t="s">
        <v>38</v>
      </c>
      <c r="M56" s="5" t="s">
        <v>37</v>
      </c>
      <c r="N56" s="5" t="s">
        <v>37</v>
      </c>
      <c r="O56" s="5" t="s">
        <v>38</v>
      </c>
      <c r="P56" s="5" t="s">
        <v>39</v>
      </c>
      <c r="Q56" s="2">
        <v>45958</v>
      </c>
      <c r="U56" s="1" t="s">
        <v>223</v>
      </c>
      <c r="V56" s="46">
        <f>IF(
  OR(
    ISNUMBER(SEARCH("unable to locate acct", tblDocketedComments[[#This Row],[Docketed Consumer Comments]])),
    ISNUMBER(SEARCH("unknown", tblDocketedComments[[#This Row],[Docketed Consumer Comments]])),
    ISNUMBER(SEARCH("inactive", tblDocketedComments[[#This Row],[Docketed Consumer Comments]]))
  ),
  0,
  1
)</f>
        <v>1</v>
      </c>
    </row>
    <row r="57" spans="1:22">
      <c r="A57" s="2">
        <v>45840</v>
      </c>
      <c r="B57" s="1" t="s">
        <v>224</v>
      </c>
      <c r="C57" s="1" t="s">
        <v>225</v>
      </c>
      <c r="D57" s="1" t="s">
        <v>30</v>
      </c>
      <c r="E57" s="1" t="s">
        <v>30</v>
      </c>
      <c r="F57" s="3" t="s">
        <v>31</v>
      </c>
      <c r="G57" s="1" t="s">
        <v>226</v>
      </c>
      <c r="H57" s="4" t="s">
        <v>27</v>
      </c>
      <c r="U57" s="1" t="s">
        <v>77</v>
      </c>
      <c r="V57" s="46">
        <f>IF(
  OR(
    ISNUMBER(SEARCH("unable to locate acct", tblDocketedComments[[#This Row],[Docketed Consumer Comments]])),
    ISNUMBER(SEARCH("unknown", tblDocketedComments[[#This Row],[Docketed Consumer Comments]])),
    ISNUMBER(SEARCH("inactive", tblDocketedComments[[#This Row],[Docketed Consumer Comments]]))
  ),
  0,
  1
)</f>
        <v>1</v>
      </c>
    </row>
    <row r="58" spans="1:22">
      <c r="A58" s="2">
        <v>45840</v>
      </c>
      <c r="B58" s="1" t="s">
        <v>227</v>
      </c>
      <c r="C58" s="1" t="s">
        <v>228</v>
      </c>
      <c r="D58" s="1" t="s">
        <v>30</v>
      </c>
      <c r="E58" s="1" t="s">
        <v>30</v>
      </c>
      <c r="F58" s="3" t="s">
        <v>31</v>
      </c>
      <c r="G58" s="1" t="s">
        <v>226</v>
      </c>
      <c r="H58" s="4" t="s">
        <v>27</v>
      </c>
      <c r="I58" s="10"/>
      <c r="U58" s="1" t="s">
        <v>77</v>
      </c>
      <c r="V58" s="46">
        <f>IF(
  OR(
    ISNUMBER(SEARCH("unable to locate acct", tblDocketedComments[[#This Row],[Docketed Consumer Comments]])),
    ISNUMBER(SEARCH("unknown", tblDocketedComments[[#This Row],[Docketed Consumer Comments]])),
    ISNUMBER(SEARCH("inactive", tblDocketedComments[[#This Row],[Docketed Consumer Comments]]))
  ),
  0,
  1
)</f>
        <v>1</v>
      </c>
    </row>
    <row r="59" spans="1:22">
      <c r="A59" s="2">
        <v>45845</v>
      </c>
      <c r="B59" s="1" t="s">
        <v>229</v>
      </c>
      <c r="C59" s="1" t="s">
        <v>230</v>
      </c>
      <c r="D59" s="1" t="s">
        <v>63</v>
      </c>
      <c r="E59" s="1">
        <v>85022</v>
      </c>
      <c r="F59" s="3" t="s">
        <v>31</v>
      </c>
      <c r="G59" s="1" t="s">
        <v>231</v>
      </c>
      <c r="H59" s="4" t="s">
        <v>27</v>
      </c>
      <c r="V59" s="46">
        <f>IF(
  OR(
    ISNUMBER(SEARCH("unable to locate acct", tblDocketedComments[[#This Row],[Docketed Consumer Comments]])),
    ISNUMBER(SEARCH("unknown", tblDocketedComments[[#This Row],[Docketed Consumer Comments]])),
    ISNUMBER(SEARCH("inactive", tblDocketedComments[[#This Row],[Docketed Consumer Comments]]))
  ),
  0,
  1
)</f>
        <v>1</v>
      </c>
    </row>
    <row r="60" spans="1:22">
      <c r="A60" s="2">
        <v>45846</v>
      </c>
      <c r="B60" s="1" t="s">
        <v>232</v>
      </c>
      <c r="C60" s="1" t="s">
        <v>233</v>
      </c>
      <c r="D60" s="1" t="s">
        <v>89</v>
      </c>
      <c r="E60" s="1">
        <v>86351</v>
      </c>
      <c r="F60" s="3" t="s">
        <v>31</v>
      </c>
      <c r="G60" s="1" t="s">
        <v>234</v>
      </c>
      <c r="H60" s="4" t="s">
        <v>235</v>
      </c>
      <c r="I60" s="5" t="s">
        <v>57</v>
      </c>
      <c r="J60" s="5" t="s">
        <v>37</v>
      </c>
      <c r="K60" s="5" t="s">
        <v>37</v>
      </c>
      <c r="L60" s="7" t="s">
        <v>236</v>
      </c>
      <c r="M60" s="5" t="s">
        <v>37</v>
      </c>
      <c r="N60" s="5" t="s">
        <v>37</v>
      </c>
      <c r="O60" s="5" t="s">
        <v>38</v>
      </c>
      <c r="P60" s="2">
        <v>45964</v>
      </c>
      <c r="Q60" s="2">
        <v>45958</v>
      </c>
      <c r="R60" s="1" t="s">
        <v>237</v>
      </c>
      <c r="V60" s="46">
        <f>IF(
  OR(
    ISNUMBER(SEARCH("unable to locate acct", tblDocketedComments[[#This Row],[Docketed Consumer Comments]])),
    ISNUMBER(SEARCH("unknown", tblDocketedComments[[#This Row],[Docketed Consumer Comments]])),
    ISNUMBER(SEARCH("inactive", tblDocketedComments[[#This Row],[Docketed Consumer Comments]]))
  ),
  0,
  1
)</f>
        <v>1</v>
      </c>
    </row>
    <row r="61" spans="1:22">
      <c r="A61" s="2">
        <v>45847</v>
      </c>
      <c r="B61" s="1" t="s">
        <v>238</v>
      </c>
      <c r="C61" s="1" t="s">
        <v>239</v>
      </c>
      <c r="D61" s="1" t="s">
        <v>240</v>
      </c>
      <c r="E61" s="1">
        <v>85340</v>
      </c>
      <c r="F61" s="3" t="s">
        <v>31</v>
      </c>
      <c r="G61" s="1" t="s">
        <v>241</v>
      </c>
      <c r="H61" s="4" t="s">
        <v>242</v>
      </c>
      <c r="I61" s="5" t="s">
        <v>243</v>
      </c>
      <c r="J61" s="5" t="s">
        <v>37</v>
      </c>
      <c r="K61" s="5" t="s">
        <v>37</v>
      </c>
      <c r="L61" s="5" t="s">
        <v>244</v>
      </c>
      <c r="M61" s="5" t="s">
        <v>37</v>
      </c>
      <c r="N61" s="5" t="s">
        <v>37</v>
      </c>
      <c r="O61" s="5" t="s">
        <v>38</v>
      </c>
      <c r="P61" s="5" t="s">
        <v>39</v>
      </c>
      <c r="Q61" s="2">
        <v>45958</v>
      </c>
      <c r="V61" s="46">
        <f>IF(
  OR(
    ISNUMBER(SEARCH("unable to locate acct", tblDocketedComments[[#This Row],[Docketed Consumer Comments]])),
    ISNUMBER(SEARCH("unknown", tblDocketedComments[[#This Row],[Docketed Consumer Comments]])),
    ISNUMBER(SEARCH("inactive", tblDocketedComments[[#This Row],[Docketed Consumer Comments]]))
  ),
  0,
  1
)</f>
        <v>1</v>
      </c>
    </row>
    <row r="62" spans="1:22">
      <c r="A62" s="2">
        <v>45847</v>
      </c>
      <c r="B62" s="1" t="s">
        <v>245</v>
      </c>
      <c r="C62" s="1" t="s">
        <v>246</v>
      </c>
      <c r="D62" s="1" t="s">
        <v>63</v>
      </c>
      <c r="E62" s="1">
        <v>85029</v>
      </c>
      <c r="F62" s="11" t="s">
        <v>247</v>
      </c>
      <c r="G62" s="1" t="s">
        <v>248</v>
      </c>
      <c r="H62" s="4" t="s">
        <v>249</v>
      </c>
      <c r="I62" s="5" t="s">
        <v>250</v>
      </c>
      <c r="J62" s="5" t="s">
        <v>37</v>
      </c>
      <c r="K62" s="5" t="s">
        <v>37</v>
      </c>
      <c r="L62" s="5" t="s">
        <v>38</v>
      </c>
      <c r="M62" s="5" t="s">
        <v>37</v>
      </c>
      <c r="N62" s="5" t="s">
        <v>37</v>
      </c>
      <c r="O62" s="5" t="s">
        <v>38</v>
      </c>
      <c r="P62" s="5" t="s">
        <v>39</v>
      </c>
      <c r="Q62" s="2">
        <v>45958</v>
      </c>
      <c r="V62" s="46">
        <f>IF(
  OR(
    ISNUMBER(SEARCH("unable to locate acct", tblDocketedComments[[#This Row],[Docketed Consumer Comments]])),
    ISNUMBER(SEARCH("unknown", tblDocketedComments[[#This Row],[Docketed Consumer Comments]])),
    ISNUMBER(SEARCH("inactive", tblDocketedComments[[#This Row],[Docketed Consumer Comments]]))
  ),
  0,
  1
)</f>
        <v>1</v>
      </c>
    </row>
    <row r="63" spans="1:22">
      <c r="A63" s="2">
        <v>45848</v>
      </c>
      <c r="B63" s="1" t="s">
        <v>251</v>
      </c>
      <c r="C63" s="1" t="s">
        <v>252</v>
      </c>
      <c r="D63" s="1" t="s">
        <v>253</v>
      </c>
      <c r="E63" s="1">
        <v>87048</v>
      </c>
      <c r="F63" s="3" t="s">
        <v>31</v>
      </c>
      <c r="G63" s="1" t="s">
        <v>254</v>
      </c>
      <c r="H63" s="4" t="s">
        <v>27</v>
      </c>
      <c r="V63" s="46">
        <f>IF(
  OR(
    ISNUMBER(SEARCH("unable to locate acct", tblDocketedComments[[#This Row],[Docketed Consumer Comments]])),
    ISNUMBER(SEARCH("unknown", tblDocketedComments[[#This Row],[Docketed Consumer Comments]])),
    ISNUMBER(SEARCH("inactive", tblDocketedComments[[#This Row],[Docketed Consumer Comments]]))
  ),
  0,
  1
)</f>
        <v>1</v>
      </c>
    </row>
    <row r="64" spans="1:22">
      <c r="A64" s="2">
        <v>45848</v>
      </c>
      <c r="B64" s="1" t="s">
        <v>255</v>
      </c>
      <c r="C64" s="1" t="s">
        <v>256</v>
      </c>
      <c r="D64" s="1" t="s">
        <v>89</v>
      </c>
      <c r="E64" s="1">
        <v>86336</v>
      </c>
      <c r="F64" s="3" t="s">
        <v>257</v>
      </c>
      <c r="G64" s="1" t="s">
        <v>254</v>
      </c>
      <c r="H64" s="4" t="s">
        <v>90</v>
      </c>
      <c r="V64" s="46">
        <f>IF(
  OR(
    ISNUMBER(SEARCH("unable to locate acct", tblDocketedComments[[#This Row],[Docketed Consumer Comments]])),
    ISNUMBER(SEARCH("unknown", tblDocketedComments[[#This Row],[Docketed Consumer Comments]])),
    ISNUMBER(SEARCH("inactive", tblDocketedComments[[#This Row],[Docketed Consumer Comments]]))
  ),
  0,
  1
)</f>
        <v>1</v>
      </c>
    </row>
    <row r="65" spans="1:22">
      <c r="A65" s="2">
        <v>45852</v>
      </c>
      <c r="B65" s="1" t="s">
        <v>258</v>
      </c>
      <c r="C65" s="1" t="s">
        <v>230</v>
      </c>
      <c r="D65" s="1" t="s">
        <v>30</v>
      </c>
      <c r="E65" s="1" t="s">
        <v>30</v>
      </c>
      <c r="F65" s="3" t="s">
        <v>31</v>
      </c>
      <c r="G65" s="1" t="s">
        <v>259</v>
      </c>
      <c r="H65" s="4">
        <v>3049940000</v>
      </c>
      <c r="I65" s="5" t="s">
        <v>73</v>
      </c>
      <c r="J65" s="5" t="s">
        <v>37</v>
      </c>
      <c r="K65" s="5" t="s">
        <v>37</v>
      </c>
      <c r="L65" s="5" t="s">
        <v>260</v>
      </c>
      <c r="M65" s="5" t="s">
        <v>37</v>
      </c>
      <c r="N65" s="5" t="s">
        <v>37</v>
      </c>
      <c r="O65" s="5" t="s">
        <v>38</v>
      </c>
      <c r="P65" s="5" t="s">
        <v>39</v>
      </c>
      <c r="Q65" s="2">
        <v>45958</v>
      </c>
      <c r="V65" s="46">
        <f>IF(
  OR(
    ISNUMBER(SEARCH("unable to locate acct", tblDocketedComments[[#This Row],[Docketed Consumer Comments]])),
    ISNUMBER(SEARCH("unknown", tblDocketedComments[[#This Row],[Docketed Consumer Comments]])),
    ISNUMBER(SEARCH("inactive", tblDocketedComments[[#This Row],[Docketed Consumer Comments]]))
  ),
  0,
  1
)</f>
        <v>1</v>
      </c>
    </row>
    <row r="66" spans="1:22">
      <c r="A66" s="2">
        <v>45852</v>
      </c>
      <c r="B66" s="1" t="s">
        <v>144</v>
      </c>
      <c r="C66" s="1" t="s">
        <v>145</v>
      </c>
      <c r="D66" s="1" t="s">
        <v>261</v>
      </c>
      <c r="E66" s="1">
        <v>86314</v>
      </c>
      <c r="F66" s="3" t="s">
        <v>31</v>
      </c>
      <c r="G66" s="1" t="s">
        <v>259</v>
      </c>
      <c r="H66" s="4">
        <v>3736855436</v>
      </c>
      <c r="I66" s="5" t="s">
        <v>250</v>
      </c>
      <c r="J66" s="5" t="s">
        <v>37</v>
      </c>
      <c r="K66" s="5" t="s">
        <v>37</v>
      </c>
      <c r="L66" s="5" t="s">
        <v>38</v>
      </c>
      <c r="M66" s="5" t="s">
        <v>37</v>
      </c>
      <c r="N66" s="5" t="s">
        <v>37</v>
      </c>
      <c r="O66" s="5" t="s">
        <v>38</v>
      </c>
      <c r="P66" s="5" t="s">
        <v>39</v>
      </c>
      <c r="Q66" s="2">
        <v>45958</v>
      </c>
      <c r="V66" s="46">
        <f>IF(
  OR(
    ISNUMBER(SEARCH("unable to locate acct", tblDocketedComments[[#This Row],[Docketed Consumer Comments]])),
    ISNUMBER(SEARCH("unknown", tblDocketedComments[[#This Row],[Docketed Consumer Comments]])),
    ISNUMBER(SEARCH("inactive", tblDocketedComments[[#This Row],[Docketed Consumer Comments]]))
  ),
  0,
  1
)</f>
        <v>1</v>
      </c>
    </row>
    <row r="67" spans="1:22">
      <c r="A67" s="2">
        <v>45854</v>
      </c>
      <c r="B67" s="1" t="s">
        <v>262</v>
      </c>
      <c r="C67" s="1" t="s">
        <v>263</v>
      </c>
      <c r="D67" s="1" t="s">
        <v>264</v>
      </c>
      <c r="E67" s="1">
        <v>85541</v>
      </c>
      <c r="F67" s="3" t="s">
        <v>257</v>
      </c>
      <c r="G67" s="1" t="s">
        <v>265</v>
      </c>
      <c r="H67" s="4" t="s">
        <v>266</v>
      </c>
      <c r="I67" s="5" t="s">
        <v>57</v>
      </c>
      <c r="J67" s="5" t="s">
        <v>37</v>
      </c>
      <c r="K67" s="5" t="s">
        <v>37</v>
      </c>
      <c r="L67" s="7" t="s">
        <v>267</v>
      </c>
      <c r="M67" s="5" t="s">
        <v>37</v>
      </c>
      <c r="N67" s="5" t="s">
        <v>37</v>
      </c>
      <c r="O67" s="5" t="s">
        <v>38</v>
      </c>
      <c r="P67" s="2">
        <v>45964</v>
      </c>
      <c r="Q67" s="2">
        <v>45958</v>
      </c>
      <c r="R67" s="1" t="s">
        <v>148</v>
      </c>
      <c r="U67" s="1" t="s">
        <v>268</v>
      </c>
      <c r="V67" s="46">
        <f>IF(
  OR(
    ISNUMBER(SEARCH("unable to locate acct", tblDocketedComments[[#This Row],[Docketed Consumer Comments]])),
    ISNUMBER(SEARCH("unknown", tblDocketedComments[[#This Row],[Docketed Consumer Comments]])),
    ISNUMBER(SEARCH("inactive", tblDocketedComments[[#This Row],[Docketed Consumer Comments]]))
  ),
  0,
  1
)</f>
        <v>1</v>
      </c>
    </row>
    <row r="68" spans="1:22">
      <c r="A68" s="2">
        <v>45859</v>
      </c>
      <c r="B68" s="1" t="s">
        <v>269</v>
      </c>
      <c r="C68" s="1" t="s">
        <v>270</v>
      </c>
      <c r="D68" s="1" t="s">
        <v>63</v>
      </c>
      <c r="E68" s="1">
        <v>85029</v>
      </c>
      <c r="F68" s="3" t="s">
        <v>271</v>
      </c>
      <c r="G68" s="1" t="s">
        <v>272</v>
      </c>
      <c r="H68" s="12" t="s">
        <v>273</v>
      </c>
      <c r="I68" s="5" t="s">
        <v>36</v>
      </c>
      <c r="J68" s="5" t="s">
        <v>37</v>
      </c>
      <c r="K68" s="5" t="s">
        <v>37</v>
      </c>
      <c r="L68" s="7" t="s">
        <v>274</v>
      </c>
      <c r="M68" s="5" t="s">
        <v>37</v>
      </c>
      <c r="N68" s="5" t="s">
        <v>37</v>
      </c>
      <c r="O68" s="5" t="s">
        <v>38</v>
      </c>
      <c r="P68" s="2">
        <v>45964</v>
      </c>
      <c r="Q68" s="2">
        <v>45958</v>
      </c>
      <c r="R68" s="1" t="s">
        <v>275</v>
      </c>
      <c r="V68" s="46">
        <f>IF(
  OR(
    ISNUMBER(SEARCH("unable to locate acct", tblDocketedComments[[#This Row],[Docketed Consumer Comments]])),
    ISNUMBER(SEARCH("unknown", tblDocketedComments[[#This Row],[Docketed Consumer Comments]])),
    ISNUMBER(SEARCH("inactive", tblDocketedComments[[#This Row],[Docketed Consumer Comments]]))
  ),
  0,
  1
)</f>
        <v>1</v>
      </c>
    </row>
    <row r="69" spans="1:22">
      <c r="A69" s="2">
        <v>45861</v>
      </c>
      <c r="B69" s="1" t="s">
        <v>276</v>
      </c>
      <c r="C69" s="1" t="s">
        <v>117</v>
      </c>
      <c r="D69" s="1" t="s">
        <v>63</v>
      </c>
      <c r="E69" s="1">
        <v>85054</v>
      </c>
      <c r="F69" s="3" t="s">
        <v>31</v>
      </c>
      <c r="G69" s="1" t="s">
        <v>277</v>
      </c>
      <c r="H69" s="4" t="s">
        <v>278</v>
      </c>
      <c r="I69" s="5" t="s">
        <v>57</v>
      </c>
      <c r="J69" s="5" t="s">
        <v>37</v>
      </c>
      <c r="K69" s="5" t="s">
        <v>37</v>
      </c>
      <c r="L69" s="5" t="s">
        <v>279</v>
      </c>
      <c r="M69" s="5" t="s">
        <v>37</v>
      </c>
      <c r="N69" s="5" t="s">
        <v>37</v>
      </c>
      <c r="O69" s="5" t="s">
        <v>38</v>
      </c>
      <c r="P69" s="5" t="s">
        <v>39</v>
      </c>
      <c r="Q69" s="2">
        <v>45958</v>
      </c>
      <c r="R69" s="1" t="s">
        <v>280</v>
      </c>
      <c r="V69" s="46">
        <f>IF(
  OR(
    ISNUMBER(SEARCH("unable to locate acct", tblDocketedComments[[#This Row],[Docketed Consumer Comments]])),
    ISNUMBER(SEARCH("unknown", tblDocketedComments[[#This Row],[Docketed Consumer Comments]])),
    ISNUMBER(SEARCH("inactive", tblDocketedComments[[#This Row],[Docketed Consumer Comments]]))
  ),
  0,
  1
)</f>
        <v>1</v>
      </c>
    </row>
    <row r="70" spans="1:22">
      <c r="A70" s="2">
        <v>45861</v>
      </c>
      <c r="B70" s="1" t="s">
        <v>281</v>
      </c>
      <c r="C70" s="1" t="s">
        <v>153</v>
      </c>
      <c r="D70" s="1" t="s">
        <v>30</v>
      </c>
      <c r="E70" s="1" t="s">
        <v>30</v>
      </c>
      <c r="F70" s="3" t="s">
        <v>282</v>
      </c>
      <c r="G70" s="1" t="s">
        <v>277</v>
      </c>
      <c r="H70" s="4" t="s">
        <v>27</v>
      </c>
      <c r="V70" s="46">
        <f>IF(
  OR(
    ISNUMBER(SEARCH("unable to locate acct", tblDocketedComments[[#This Row],[Docketed Consumer Comments]])),
    ISNUMBER(SEARCH("unknown", tblDocketedComments[[#This Row],[Docketed Consumer Comments]])),
    ISNUMBER(SEARCH("inactive", tblDocketedComments[[#This Row],[Docketed Consumer Comments]]))
  ),
  0,
  1
)</f>
        <v>1</v>
      </c>
    </row>
    <row r="71" spans="1:22">
      <c r="A71" s="2">
        <v>45883</v>
      </c>
      <c r="B71" s="1" t="s">
        <v>283</v>
      </c>
      <c r="C71" s="1" t="s">
        <v>284</v>
      </c>
      <c r="D71" s="1" t="s">
        <v>89</v>
      </c>
      <c r="E71" s="1">
        <v>85336</v>
      </c>
      <c r="F71" s="3" t="s">
        <v>285</v>
      </c>
      <c r="G71" s="1" t="s">
        <v>286</v>
      </c>
      <c r="H71" s="4" t="s">
        <v>287</v>
      </c>
      <c r="I71" s="5" t="s">
        <v>288</v>
      </c>
      <c r="J71" s="5" t="s">
        <v>37</v>
      </c>
      <c r="K71" s="5" t="s">
        <v>37</v>
      </c>
      <c r="L71" s="5" t="s">
        <v>38</v>
      </c>
      <c r="M71" s="5" t="s">
        <v>37</v>
      </c>
      <c r="N71" s="5" t="s">
        <v>37</v>
      </c>
      <c r="O71" s="5" t="s">
        <v>38</v>
      </c>
      <c r="P71" s="5" t="s">
        <v>39</v>
      </c>
      <c r="Q71" s="2">
        <v>45958</v>
      </c>
      <c r="U71" s="1" t="s">
        <v>289</v>
      </c>
      <c r="V71" s="46">
        <f>IF(
  OR(
    ISNUMBER(SEARCH("unable to locate acct", tblDocketedComments[[#This Row],[Docketed Consumer Comments]])),
    ISNUMBER(SEARCH("unknown", tblDocketedComments[[#This Row],[Docketed Consumer Comments]])),
    ISNUMBER(SEARCH("inactive", tblDocketedComments[[#This Row],[Docketed Consumer Comments]]))
  ),
  0,
  1
)</f>
        <v>1</v>
      </c>
    </row>
    <row r="72" spans="1:22">
      <c r="A72" s="2">
        <v>45883</v>
      </c>
      <c r="B72" s="1" t="s">
        <v>290</v>
      </c>
      <c r="C72" s="1" t="s">
        <v>291</v>
      </c>
      <c r="D72" s="1" t="s">
        <v>63</v>
      </c>
      <c r="E72" s="1">
        <v>85023</v>
      </c>
      <c r="F72" s="3" t="s">
        <v>31</v>
      </c>
      <c r="G72" s="1" t="s">
        <v>286</v>
      </c>
      <c r="H72" s="4" t="s">
        <v>27</v>
      </c>
      <c r="V72" s="46">
        <f>IF(
  OR(
    ISNUMBER(SEARCH("unable to locate acct", tblDocketedComments[[#This Row],[Docketed Consumer Comments]])),
    ISNUMBER(SEARCH("unknown", tblDocketedComments[[#This Row],[Docketed Consumer Comments]])),
    ISNUMBER(SEARCH("inactive", tblDocketedComments[[#This Row],[Docketed Consumer Comments]]))
  ),
  0,
  1
)</f>
        <v>1</v>
      </c>
    </row>
    <row r="73" spans="1:22">
      <c r="A73" s="2">
        <v>45895</v>
      </c>
      <c r="B73" s="1" t="s">
        <v>292</v>
      </c>
      <c r="C73" s="1" t="s">
        <v>135</v>
      </c>
      <c r="D73" s="1" t="s">
        <v>293</v>
      </c>
      <c r="E73" s="1">
        <v>85139</v>
      </c>
      <c r="F73" s="3" t="s">
        <v>294</v>
      </c>
      <c r="G73" s="1" t="s">
        <v>295</v>
      </c>
      <c r="H73" s="4" t="s">
        <v>27</v>
      </c>
      <c r="V73" s="46">
        <f>IF(
  OR(
    ISNUMBER(SEARCH("unable to locate acct", tblDocketedComments[[#This Row],[Docketed Consumer Comments]])),
    ISNUMBER(SEARCH("unknown", tblDocketedComments[[#This Row],[Docketed Consumer Comments]])),
    ISNUMBER(SEARCH("inactive", tblDocketedComments[[#This Row],[Docketed Consumer Comments]]))
  ),
  0,
  1
)</f>
        <v>1</v>
      </c>
    </row>
    <row r="74" spans="1:22">
      <c r="A74" s="2">
        <v>45898</v>
      </c>
      <c r="B74" s="1" t="s">
        <v>296</v>
      </c>
      <c r="C74" s="1" t="s">
        <v>297</v>
      </c>
      <c r="D74" s="1" t="s">
        <v>30</v>
      </c>
      <c r="E74" s="1" t="s">
        <v>30</v>
      </c>
      <c r="F74" s="3" t="s">
        <v>25</v>
      </c>
      <c r="G74" s="1" t="s">
        <v>298</v>
      </c>
      <c r="H74" s="4" t="s">
        <v>299</v>
      </c>
      <c r="I74" s="5" t="s">
        <v>196</v>
      </c>
      <c r="J74" s="5" t="s">
        <v>38</v>
      </c>
      <c r="K74" s="5" t="s">
        <v>37</v>
      </c>
      <c r="L74" s="5" t="s">
        <v>300</v>
      </c>
      <c r="M74" s="5" t="s">
        <v>37</v>
      </c>
      <c r="N74" s="5" t="s">
        <v>37</v>
      </c>
      <c r="O74" s="5" t="s">
        <v>38</v>
      </c>
      <c r="P74" s="5" t="s">
        <v>39</v>
      </c>
      <c r="Q74" s="2">
        <v>45958</v>
      </c>
      <c r="V74" s="46">
        <f>IF(
  OR(
    ISNUMBER(SEARCH("unable to locate acct", tblDocketedComments[[#This Row],[Docketed Consumer Comments]])),
    ISNUMBER(SEARCH("unknown", tblDocketedComments[[#This Row],[Docketed Consumer Comments]])),
    ISNUMBER(SEARCH("inactive", tblDocketedComments[[#This Row],[Docketed Consumer Comments]]))
  ),
  0,
  1
)</f>
        <v>1</v>
      </c>
    </row>
    <row r="75" spans="1:22">
      <c r="A75" s="2">
        <v>45902</v>
      </c>
      <c r="B75" s="1" t="s">
        <v>301</v>
      </c>
      <c r="C75" s="1" t="s">
        <v>302</v>
      </c>
      <c r="D75" s="1" t="s">
        <v>112</v>
      </c>
      <c r="E75" s="1">
        <v>85374</v>
      </c>
      <c r="F75" s="3" t="s">
        <v>31</v>
      </c>
      <c r="G75" s="1" t="s">
        <v>303</v>
      </c>
      <c r="H75" s="5">
        <v>2721067262</v>
      </c>
      <c r="I75" s="5" t="s">
        <v>126</v>
      </c>
      <c r="J75" s="5" t="s">
        <v>39</v>
      </c>
      <c r="K75" s="5" t="s">
        <v>37</v>
      </c>
      <c r="L75" s="5" t="s">
        <v>204</v>
      </c>
      <c r="M75" s="5" t="s">
        <v>37</v>
      </c>
      <c r="N75" s="5" t="s">
        <v>37</v>
      </c>
      <c r="O75" s="5" t="s">
        <v>38</v>
      </c>
      <c r="P75" s="5" t="s">
        <v>39</v>
      </c>
      <c r="Q75" s="2">
        <v>45967</v>
      </c>
      <c r="V75" s="46">
        <f>IF(
  OR(
    ISNUMBER(SEARCH("unable to locate acct", tblDocketedComments[[#This Row],[Docketed Consumer Comments]])),
    ISNUMBER(SEARCH("unknown", tblDocketedComments[[#This Row],[Docketed Consumer Comments]])),
    ISNUMBER(SEARCH("inactive", tblDocketedComments[[#This Row],[Docketed Consumer Comments]]))
  ),
  0,
  1
)</f>
        <v>1</v>
      </c>
    </row>
    <row r="76" spans="1:22">
      <c r="A76" s="2">
        <v>45902</v>
      </c>
      <c r="B76" s="1" t="s">
        <v>304</v>
      </c>
      <c r="C76" s="1" t="s">
        <v>225</v>
      </c>
      <c r="D76" s="1" t="s">
        <v>125</v>
      </c>
      <c r="E76" s="1">
        <v>85254</v>
      </c>
      <c r="F76" s="3" t="s">
        <v>305</v>
      </c>
      <c r="G76" s="1" t="s">
        <v>303</v>
      </c>
      <c r="H76" s="4" t="s">
        <v>27</v>
      </c>
      <c r="V76" s="46">
        <f>IF(
  OR(
    ISNUMBER(SEARCH("unable to locate acct", tblDocketedComments[[#This Row],[Docketed Consumer Comments]])),
    ISNUMBER(SEARCH("unknown", tblDocketedComments[[#This Row],[Docketed Consumer Comments]])),
    ISNUMBER(SEARCH("inactive", tblDocketedComments[[#This Row],[Docketed Consumer Comments]]))
  ),
  0,
  1
)</f>
        <v>1</v>
      </c>
    </row>
    <row r="77" spans="1:22">
      <c r="A77" s="2">
        <v>56859</v>
      </c>
      <c r="B77" s="1" t="s">
        <v>306</v>
      </c>
      <c r="C77" s="1" t="s">
        <v>307</v>
      </c>
      <c r="D77" s="1" t="s">
        <v>202</v>
      </c>
      <c r="E77" s="1">
        <v>85382</v>
      </c>
      <c r="F77" s="3" t="s">
        <v>305</v>
      </c>
      <c r="G77" s="1" t="s">
        <v>303</v>
      </c>
      <c r="H77" s="4" t="s">
        <v>27</v>
      </c>
      <c r="V77" s="46">
        <f>IF(
  OR(
    ISNUMBER(SEARCH("unable to locate acct", tblDocketedComments[[#This Row],[Docketed Consumer Comments]])),
    ISNUMBER(SEARCH("unknown", tblDocketedComments[[#This Row],[Docketed Consumer Comments]])),
    ISNUMBER(SEARCH("inactive", tblDocketedComments[[#This Row],[Docketed Consumer Comments]]))
  ),
  0,
  1
)</f>
        <v>1</v>
      </c>
    </row>
    <row r="78" spans="1:22">
      <c r="A78" s="2">
        <v>45902</v>
      </c>
      <c r="B78" s="1" t="s">
        <v>308</v>
      </c>
      <c r="C78" s="1" t="s">
        <v>309</v>
      </c>
      <c r="D78" s="1" t="s">
        <v>112</v>
      </c>
      <c r="E78" s="1">
        <v>85387</v>
      </c>
      <c r="F78" s="1" t="s">
        <v>310</v>
      </c>
      <c r="G78" s="1" t="s">
        <v>303</v>
      </c>
      <c r="H78" s="4" t="s">
        <v>27</v>
      </c>
      <c r="V78" s="46">
        <f>IF(
  OR(
    ISNUMBER(SEARCH("unable to locate acct", tblDocketedComments[[#This Row],[Docketed Consumer Comments]])),
    ISNUMBER(SEARCH("unknown", tblDocketedComments[[#This Row],[Docketed Consumer Comments]])),
    ISNUMBER(SEARCH("inactive", tblDocketedComments[[#This Row],[Docketed Consumer Comments]]))
  ),
  0,
  1
)</f>
        <v>1</v>
      </c>
    </row>
    <row r="79" spans="1:22">
      <c r="A79" s="2">
        <v>45902</v>
      </c>
      <c r="B79" s="1" t="s">
        <v>311</v>
      </c>
      <c r="C79" s="1" t="s">
        <v>312</v>
      </c>
      <c r="D79" s="1" t="s">
        <v>313</v>
      </c>
      <c r="E79" s="1">
        <v>85381</v>
      </c>
      <c r="F79" s="3" t="s">
        <v>31</v>
      </c>
      <c r="G79" s="1" t="s">
        <v>303</v>
      </c>
      <c r="H79" s="4">
        <v>5237011424</v>
      </c>
      <c r="I79" s="5" t="s">
        <v>196</v>
      </c>
      <c r="J79" s="5" t="s">
        <v>37</v>
      </c>
      <c r="K79" s="5" t="s">
        <v>37</v>
      </c>
      <c r="L79" s="5" t="s">
        <v>38</v>
      </c>
      <c r="M79" s="5" t="s">
        <v>37</v>
      </c>
      <c r="N79" s="5" t="s">
        <v>37</v>
      </c>
      <c r="O79" s="5" t="s">
        <v>38</v>
      </c>
      <c r="P79" s="5" t="s">
        <v>39</v>
      </c>
      <c r="Q79" s="2">
        <v>45958</v>
      </c>
      <c r="V79" s="46">
        <f>IF(
  OR(
    ISNUMBER(SEARCH("unable to locate acct", tblDocketedComments[[#This Row],[Docketed Consumer Comments]])),
    ISNUMBER(SEARCH("unknown", tblDocketedComments[[#This Row],[Docketed Consumer Comments]])),
    ISNUMBER(SEARCH("inactive", tblDocketedComments[[#This Row],[Docketed Consumer Comments]]))
  ),
  0,
  1
)</f>
        <v>1</v>
      </c>
    </row>
    <row r="80" spans="1:22">
      <c r="A80" s="2">
        <v>45902</v>
      </c>
      <c r="B80" s="1" t="s">
        <v>314</v>
      </c>
      <c r="C80" s="1" t="s">
        <v>315</v>
      </c>
      <c r="D80" s="1" t="s">
        <v>174</v>
      </c>
      <c r="E80" s="1">
        <v>85326</v>
      </c>
      <c r="F80" s="3" t="s">
        <v>31</v>
      </c>
      <c r="G80" s="1" t="s">
        <v>303</v>
      </c>
      <c r="H80" s="4" t="s">
        <v>27</v>
      </c>
      <c r="V80" s="46">
        <f>IF(
  OR(
    ISNUMBER(SEARCH("unable to locate acct", tblDocketedComments[[#This Row],[Docketed Consumer Comments]])),
    ISNUMBER(SEARCH("unknown", tblDocketedComments[[#This Row],[Docketed Consumer Comments]])),
    ISNUMBER(SEARCH("inactive", tblDocketedComments[[#This Row],[Docketed Consumer Comments]]))
  ),
  0,
  1
)</f>
        <v>1</v>
      </c>
    </row>
    <row r="81" spans="1:22">
      <c r="A81" s="2">
        <v>45902</v>
      </c>
      <c r="B81" s="1" t="s">
        <v>316</v>
      </c>
      <c r="C81" s="1" t="s">
        <v>317</v>
      </c>
      <c r="D81" s="1" t="s">
        <v>174</v>
      </c>
      <c r="E81" s="1">
        <v>85326</v>
      </c>
      <c r="F81" s="3" t="s">
        <v>31</v>
      </c>
      <c r="G81" s="1" t="s">
        <v>303</v>
      </c>
      <c r="H81" s="4">
        <v>6062541000</v>
      </c>
      <c r="I81" s="5" t="s">
        <v>36</v>
      </c>
      <c r="J81" s="5" t="s">
        <v>37</v>
      </c>
      <c r="K81" s="5" t="s">
        <v>37</v>
      </c>
      <c r="L81" s="5" t="s">
        <v>38</v>
      </c>
      <c r="M81" s="5" t="s">
        <v>37</v>
      </c>
      <c r="N81" s="5" t="s">
        <v>37</v>
      </c>
      <c r="O81" s="5" t="s">
        <v>38</v>
      </c>
      <c r="P81" s="5" t="s">
        <v>39</v>
      </c>
      <c r="Q81" s="2">
        <v>45958</v>
      </c>
      <c r="V81" s="46">
        <f>IF(
  OR(
    ISNUMBER(SEARCH("unable to locate acct", tblDocketedComments[[#This Row],[Docketed Consumer Comments]])),
    ISNUMBER(SEARCH("unknown", tblDocketedComments[[#This Row],[Docketed Consumer Comments]])),
    ISNUMBER(SEARCH("inactive", tblDocketedComments[[#This Row],[Docketed Consumer Comments]]))
  ),
  0,
  1
)</f>
        <v>1</v>
      </c>
    </row>
    <row r="82" spans="1:22">
      <c r="A82" s="2">
        <v>45902</v>
      </c>
      <c r="B82" s="1" t="s">
        <v>318</v>
      </c>
      <c r="C82" s="1" t="s">
        <v>75</v>
      </c>
      <c r="D82" s="1" t="s">
        <v>63</v>
      </c>
      <c r="E82" s="1">
        <v>85016</v>
      </c>
      <c r="F82" s="1" t="s">
        <v>310</v>
      </c>
      <c r="G82" s="1" t="s">
        <v>303</v>
      </c>
      <c r="H82" s="4" t="s">
        <v>209</v>
      </c>
      <c r="V82" s="46">
        <f>IF(
  OR(
    ISNUMBER(SEARCH("unable to locate acct", tblDocketedComments[[#This Row],[Docketed Consumer Comments]])),
    ISNUMBER(SEARCH("unknown", tblDocketedComments[[#This Row],[Docketed Consumer Comments]])),
    ISNUMBER(SEARCH("inactive", tblDocketedComments[[#This Row],[Docketed Consumer Comments]]))
  ),
  0,
  1
)</f>
        <v>1</v>
      </c>
    </row>
    <row r="83" spans="1:22">
      <c r="A83" s="2">
        <v>45902</v>
      </c>
      <c r="B83" s="1" t="s">
        <v>319</v>
      </c>
      <c r="C83" s="1" t="s">
        <v>320</v>
      </c>
      <c r="D83" s="1" t="s">
        <v>125</v>
      </c>
      <c r="E83" s="1">
        <v>85260</v>
      </c>
      <c r="F83" s="3" t="s">
        <v>31</v>
      </c>
      <c r="G83" s="1" t="s">
        <v>303</v>
      </c>
      <c r="H83" s="4" t="s">
        <v>321</v>
      </c>
      <c r="I83" s="5" t="s">
        <v>196</v>
      </c>
      <c r="J83" s="5" t="s">
        <v>37</v>
      </c>
      <c r="K83" s="5" t="s">
        <v>37</v>
      </c>
      <c r="L83" s="5" t="s">
        <v>322</v>
      </c>
      <c r="M83" s="5" t="s">
        <v>37</v>
      </c>
      <c r="N83" s="5" t="s">
        <v>37</v>
      </c>
      <c r="O83" s="5" t="s">
        <v>38</v>
      </c>
      <c r="P83" s="5" t="s">
        <v>39</v>
      </c>
      <c r="Q83" s="2">
        <v>45957</v>
      </c>
      <c r="V83" s="46">
        <f>IF(
  OR(
    ISNUMBER(SEARCH("unable to locate acct", tblDocketedComments[[#This Row],[Docketed Consumer Comments]])),
    ISNUMBER(SEARCH("unknown", tblDocketedComments[[#This Row],[Docketed Consumer Comments]])),
    ISNUMBER(SEARCH("inactive", tblDocketedComments[[#This Row],[Docketed Consumer Comments]]))
  ),
  0,
  1
)</f>
        <v>1</v>
      </c>
    </row>
    <row r="84" spans="1:22">
      <c r="A84" s="2">
        <v>45902</v>
      </c>
      <c r="B84" s="1" t="s">
        <v>323</v>
      </c>
      <c r="C84" s="1" t="s">
        <v>324</v>
      </c>
      <c r="D84" s="1" t="s">
        <v>63</v>
      </c>
      <c r="E84" s="1">
        <v>85085</v>
      </c>
      <c r="F84" s="1" t="s">
        <v>310</v>
      </c>
      <c r="G84" s="1" t="s">
        <v>303</v>
      </c>
      <c r="H84" s="4">
        <v>7846277073</v>
      </c>
      <c r="I84" s="5" t="s">
        <v>36</v>
      </c>
      <c r="J84" s="5" t="s">
        <v>37</v>
      </c>
      <c r="K84" s="5" t="s">
        <v>37</v>
      </c>
      <c r="L84" s="5" t="s">
        <v>38</v>
      </c>
      <c r="M84" s="5" t="s">
        <v>37</v>
      </c>
      <c r="N84" s="5" t="s">
        <v>37</v>
      </c>
      <c r="O84" s="5" t="s">
        <v>38</v>
      </c>
      <c r="P84" s="5" t="s">
        <v>39</v>
      </c>
      <c r="Q84" s="2">
        <v>45958</v>
      </c>
      <c r="V84" s="46">
        <f>IF(
  OR(
    ISNUMBER(SEARCH("unable to locate acct", tblDocketedComments[[#This Row],[Docketed Consumer Comments]])),
    ISNUMBER(SEARCH("unknown", tblDocketedComments[[#This Row],[Docketed Consumer Comments]])),
    ISNUMBER(SEARCH("inactive", tblDocketedComments[[#This Row],[Docketed Consumer Comments]]))
  ),
  0,
  1
)</f>
        <v>1</v>
      </c>
    </row>
    <row r="85" spans="1:22">
      <c r="A85" s="2">
        <v>45902</v>
      </c>
      <c r="B85" s="1" t="s">
        <v>325</v>
      </c>
      <c r="C85" s="1" t="s">
        <v>135</v>
      </c>
      <c r="D85" s="1" t="s">
        <v>63</v>
      </c>
      <c r="E85" s="1">
        <v>85027</v>
      </c>
      <c r="F85" s="3" t="s">
        <v>31</v>
      </c>
      <c r="G85" s="1" t="s">
        <v>303</v>
      </c>
      <c r="H85" s="4" t="s">
        <v>326</v>
      </c>
      <c r="I85" s="5" t="s">
        <v>36</v>
      </c>
      <c r="J85" s="5" t="s">
        <v>37</v>
      </c>
      <c r="K85" s="5" t="s">
        <v>37</v>
      </c>
      <c r="L85" s="5" t="s">
        <v>38</v>
      </c>
      <c r="M85" s="5" t="s">
        <v>37</v>
      </c>
      <c r="N85" s="5" t="s">
        <v>37</v>
      </c>
      <c r="O85" s="5" t="s">
        <v>38</v>
      </c>
      <c r="P85" s="5" t="s">
        <v>39</v>
      </c>
      <c r="Q85" s="2">
        <v>45958</v>
      </c>
      <c r="V85" s="46">
        <f>IF(
  OR(
    ISNUMBER(SEARCH("unable to locate acct", tblDocketedComments[[#This Row],[Docketed Consumer Comments]])),
    ISNUMBER(SEARCH("unknown", tblDocketedComments[[#This Row],[Docketed Consumer Comments]])),
    ISNUMBER(SEARCH("inactive", tblDocketedComments[[#This Row],[Docketed Consumer Comments]]))
  ),
  0,
  1
)</f>
        <v>1</v>
      </c>
    </row>
    <row r="86" spans="1:22">
      <c r="A86" s="2">
        <v>45902</v>
      </c>
      <c r="B86" s="1" t="s">
        <v>327</v>
      </c>
      <c r="C86" s="1" t="s">
        <v>328</v>
      </c>
      <c r="D86" s="1" t="s">
        <v>63</v>
      </c>
      <c r="E86" s="1">
        <v>85027</v>
      </c>
      <c r="F86" s="1" t="s">
        <v>310</v>
      </c>
      <c r="G86" s="1" t="s">
        <v>303</v>
      </c>
      <c r="H86" s="4">
        <v>1113187095</v>
      </c>
      <c r="I86" s="5" t="s">
        <v>126</v>
      </c>
      <c r="J86" s="5" t="s">
        <v>37</v>
      </c>
      <c r="K86" s="5" t="s">
        <v>37</v>
      </c>
      <c r="L86" s="5" t="s">
        <v>38</v>
      </c>
      <c r="M86" s="5" t="s">
        <v>37</v>
      </c>
      <c r="N86" s="5" t="s">
        <v>37</v>
      </c>
      <c r="O86" s="5" t="s">
        <v>38</v>
      </c>
      <c r="P86" s="5" t="s">
        <v>39</v>
      </c>
      <c r="Q86" s="2">
        <v>45958</v>
      </c>
      <c r="V86" s="46">
        <f>IF(
  OR(
    ISNUMBER(SEARCH("unable to locate acct", tblDocketedComments[[#This Row],[Docketed Consumer Comments]])),
    ISNUMBER(SEARCH("unknown", tblDocketedComments[[#This Row],[Docketed Consumer Comments]])),
    ISNUMBER(SEARCH("inactive", tblDocketedComments[[#This Row],[Docketed Consumer Comments]]))
  ),
  0,
  1
)</f>
        <v>1</v>
      </c>
    </row>
    <row r="87" spans="1:22">
      <c r="A87" s="2">
        <v>45902</v>
      </c>
      <c r="B87" s="1" t="s">
        <v>144</v>
      </c>
      <c r="C87" s="1" t="s">
        <v>329</v>
      </c>
      <c r="D87" s="1" t="s">
        <v>63</v>
      </c>
      <c r="E87" s="1">
        <v>85008</v>
      </c>
      <c r="F87" s="1" t="s">
        <v>310</v>
      </c>
      <c r="G87" s="1" t="s">
        <v>303</v>
      </c>
      <c r="H87" s="4" t="s">
        <v>330</v>
      </c>
      <c r="I87" s="5" t="s">
        <v>57</v>
      </c>
      <c r="J87" s="5" t="s">
        <v>37</v>
      </c>
      <c r="K87" s="5" t="s">
        <v>37</v>
      </c>
      <c r="L87" s="7" t="s">
        <v>331</v>
      </c>
      <c r="M87" s="5" t="s">
        <v>37</v>
      </c>
      <c r="N87" s="5" t="s">
        <v>37</v>
      </c>
      <c r="O87" s="5" t="s">
        <v>38</v>
      </c>
      <c r="P87" s="2">
        <v>45932</v>
      </c>
      <c r="Q87" s="2">
        <v>45685</v>
      </c>
      <c r="R87" s="1" t="s">
        <v>332</v>
      </c>
      <c r="V87" s="46">
        <f>IF(
  OR(
    ISNUMBER(SEARCH("unable to locate acct", tblDocketedComments[[#This Row],[Docketed Consumer Comments]])),
    ISNUMBER(SEARCH("unknown", tblDocketedComments[[#This Row],[Docketed Consumer Comments]])),
    ISNUMBER(SEARCH("inactive", tblDocketedComments[[#This Row],[Docketed Consumer Comments]]))
  ),
  0,
  1
)</f>
        <v>1</v>
      </c>
    </row>
    <row r="88" spans="1:22">
      <c r="A88" s="2">
        <v>45902</v>
      </c>
      <c r="B88" s="1" t="s">
        <v>333</v>
      </c>
      <c r="C88" s="1" t="s">
        <v>334</v>
      </c>
      <c r="D88" s="1" t="s">
        <v>202</v>
      </c>
      <c r="E88" s="1">
        <v>85345</v>
      </c>
      <c r="F88" s="1" t="s">
        <v>310</v>
      </c>
      <c r="G88" s="1" t="s">
        <v>303</v>
      </c>
      <c r="H88" s="4">
        <v>6178141000</v>
      </c>
      <c r="I88" s="5" t="s">
        <v>36</v>
      </c>
      <c r="J88" s="5" t="s">
        <v>37</v>
      </c>
      <c r="K88" s="5" t="s">
        <v>37</v>
      </c>
      <c r="L88" s="5" t="s">
        <v>38</v>
      </c>
      <c r="M88" s="5" t="s">
        <v>38</v>
      </c>
      <c r="N88" s="5">
        <v>175.19</v>
      </c>
      <c r="O88" s="5" t="s">
        <v>38</v>
      </c>
      <c r="P88" s="5" t="s">
        <v>39</v>
      </c>
      <c r="Q88" s="2">
        <v>45958</v>
      </c>
      <c r="V88" s="46">
        <f>IF(
  OR(
    ISNUMBER(SEARCH("unable to locate acct", tblDocketedComments[[#This Row],[Docketed Consumer Comments]])),
    ISNUMBER(SEARCH("unknown", tblDocketedComments[[#This Row],[Docketed Consumer Comments]])),
    ISNUMBER(SEARCH("inactive", tblDocketedComments[[#This Row],[Docketed Consumer Comments]]))
  ),
  0,
  1
)</f>
        <v>1</v>
      </c>
    </row>
    <row r="89" spans="1:22">
      <c r="A89" s="2">
        <v>45902</v>
      </c>
      <c r="B89" s="1" t="s">
        <v>335</v>
      </c>
      <c r="C89" s="1" t="s">
        <v>336</v>
      </c>
      <c r="D89" s="1" t="s">
        <v>63</v>
      </c>
      <c r="E89" s="1">
        <v>85004</v>
      </c>
      <c r="F89" s="1" t="s">
        <v>310</v>
      </c>
      <c r="G89" s="1" t="s">
        <v>303</v>
      </c>
      <c r="H89" s="4" t="s">
        <v>337</v>
      </c>
      <c r="I89" s="5" t="s">
        <v>126</v>
      </c>
      <c r="J89" s="5" t="s">
        <v>37</v>
      </c>
      <c r="K89" s="5" t="s">
        <v>37</v>
      </c>
      <c r="L89" s="5" t="s">
        <v>338</v>
      </c>
      <c r="M89" s="5" t="s">
        <v>37</v>
      </c>
      <c r="N89" s="5" t="s">
        <v>37</v>
      </c>
      <c r="O89" s="5" t="s">
        <v>38</v>
      </c>
      <c r="P89" s="5" t="s">
        <v>39</v>
      </c>
      <c r="Q89" s="2">
        <v>45958</v>
      </c>
      <c r="V89" s="46">
        <f>IF(
  OR(
    ISNUMBER(SEARCH("unable to locate acct", tblDocketedComments[[#This Row],[Docketed Consumer Comments]])),
    ISNUMBER(SEARCH("unknown", tblDocketedComments[[#This Row],[Docketed Consumer Comments]])),
    ISNUMBER(SEARCH("inactive", tblDocketedComments[[#This Row],[Docketed Consumer Comments]]))
  ),
  0,
  1
)</f>
        <v>1</v>
      </c>
    </row>
    <row r="90" spans="1:22">
      <c r="A90" s="2">
        <v>45902</v>
      </c>
      <c r="B90" s="1" t="s">
        <v>339</v>
      </c>
      <c r="C90" s="1" t="s">
        <v>340</v>
      </c>
      <c r="D90" s="1" t="s">
        <v>63</v>
      </c>
      <c r="E90" s="1">
        <v>85027</v>
      </c>
      <c r="F90" s="3" t="s">
        <v>31</v>
      </c>
      <c r="G90" s="1" t="s">
        <v>303</v>
      </c>
      <c r="H90" s="4">
        <v>2779220471</v>
      </c>
      <c r="I90" s="5" t="s">
        <v>196</v>
      </c>
      <c r="J90" s="5" t="s">
        <v>37</v>
      </c>
      <c r="K90" s="5" t="s">
        <v>37</v>
      </c>
      <c r="L90" s="5" t="s">
        <v>341</v>
      </c>
      <c r="M90" s="5" t="s">
        <v>37</v>
      </c>
      <c r="N90" s="5" t="s">
        <v>37</v>
      </c>
      <c r="O90" s="5" t="s">
        <v>38</v>
      </c>
      <c r="P90" s="5" t="s">
        <v>39</v>
      </c>
      <c r="Q90" s="2">
        <v>45958</v>
      </c>
      <c r="V90" s="46">
        <f>IF(
  OR(
    ISNUMBER(SEARCH("unable to locate acct", tblDocketedComments[[#This Row],[Docketed Consumer Comments]])),
    ISNUMBER(SEARCH("unknown", tblDocketedComments[[#This Row],[Docketed Consumer Comments]])),
    ISNUMBER(SEARCH("inactive", tblDocketedComments[[#This Row],[Docketed Consumer Comments]]))
  ),
  0,
  1
)</f>
        <v>1</v>
      </c>
    </row>
    <row r="91" spans="1:22">
      <c r="A91" s="2">
        <v>45902</v>
      </c>
      <c r="B91" s="1" t="s">
        <v>342</v>
      </c>
      <c r="C91" s="1" t="s">
        <v>343</v>
      </c>
      <c r="D91" s="1" t="s">
        <v>174</v>
      </c>
      <c r="E91" s="1">
        <v>85326</v>
      </c>
      <c r="F91" s="3" t="s">
        <v>31</v>
      </c>
      <c r="G91" s="1" t="s">
        <v>303</v>
      </c>
      <c r="H91" s="4" t="s">
        <v>344</v>
      </c>
      <c r="I91" s="5" t="s">
        <v>196</v>
      </c>
      <c r="J91" s="5" t="s">
        <v>37</v>
      </c>
      <c r="K91" s="5" t="s">
        <v>37</v>
      </c>
      <c r="L91" s="5" t="s">
        <v>38</v>
      </c>
      <c r="M91" s="5" t="s">
        <v>37</v>
      </c>
      <c r="N91" s="5" t="s">
        <v>37</v>
      </c>
      <c r="O91" s="5" t="s">
        <v>38</v>
      </c>
      <c r="P91" s="5" t="s">
        <v>39</v>
      </c>
      <c r="Q91" s="2">
        <v>45958</v>
      </c>
      <c r="V91" s="46">
        <f>IF(
  OR(
    ISNUMBER(SEARCH("unable to locate acct", tblDocketedComments[[#This Row],[Docketed Consumer Comments]])),
    ISNUMBER(SEARCH("unknown", tblDocketedComments[[#This Row],[Docketed Consumer Comments]])),
    ISNUMBER(SEARCH("inactive", tblDocketedComments[[#This Row],[Docketed Consumer Comments]]))
  ),
  0,
  1
)</f>
        <v>1</v>
      </c>
    </row>
    <row r="92" spans="1:22">
      <c r="A92" s="2">
        <v>45902</v>
      </c>
      <c r="B92" s="1" t="s">
        <v>345</v>
      </c>
      <c r="C92" s="1" t="s">
        <v>346</v>
      </c>
      <c r="D92" s="1" t="s">
        <v>261</v>
      </c>
      <c r="E92" s="1">
        <v>86314</v>
      </c>
      <c r="F92" s="3" t="s">
        <v>31</v>
      </c>
      <c r="G92" s="1" t="s">
        <v>303</v>
      </c>
      <c r="H92" s="4" t="s">
        <v>347</v>
      </c>
      <c r="I92" s="5" t="s">
        <v>126</v>
      </c>
      <c r="J92" s="5" t="s">
        <v>37</v>
      </c>
      <c r="K92" s="5" t="s">
        <v>37</v>
      </c>
      <c r="L92" s="7" t="s">
        <v>348</v>
      </c>
      <c r="M92" s="5" t="s">
        <v>38</v>
      </c>
      <c r="N92" s="13">
        <v>605.92999999999995</v>
      </c>
      <c r="O92" s="5" t="s">
        <v>38</v>
      </c>
      <c r="P92" s="2">
        <v>45932</v>
      </c>
      <c r="Q92" s="2"/>
      <c r="R92" s="1" t="s">
        <v>332</v>
      </c>
      <c r="V92" s="46">
        <f>IF(
  OR(
    ISNUMBER(SEARCH("unable to locate acct", tblDocketedComments[[#This Row],[Docketed Consumer Comments]])),
    ISNUMBER(SEARCH("unknown", tblDocketedComments[[#This Row],[Docketed Consumer Comments]])),
    ISNUMBER(SEARCH("inactive", tblDocketedComments[[#This Row],[Docketed Consumer Comments]]))
  ),
  0,
  1
)</f>
        <v>1</v>
      </c>
    </row>
    <row r="93" spans="1:22">
      <c r="A93" s="2">
        <v>45902</v>
      </c>
      <c r="B93" s="1" t="s">
        <v>349</v>
      </c>
      <c r="C93" s="1" t="s">
        <v>350</v>
      </c>
      <c r="D93" s="1" t="s">
        <v>24</v>
      </c>
      <c r="E93" s="1">
        <v>85306</v>
      </c>
      <c r="F93" s="1" t="s">
        <v>310</v>
      </c>
      <c r="G93" s="1" t="s">
        <v>303</v>
      </c>
      <c r="H93" s="4" t="s">
        <v>351</v>
      </c>
      <c r="I93" s="5" t="s">
        <v>57</v>
      </c>
      <c r="J93" s="5" t="s">
        <v>37</v>
      </c>
      <c r="K93" s="5" t="s">
        <v>37</v>
      </c>
      <c r="L93" s="7" t="s">
        <v>352</v>
      </c>
      <c r="M93" s="5" t="s">
        <v>38</v>
      </c>
      <c r="N93" s="13">
        <v>591.48</v>
      </c>
      <c r="O93" s="5" t="s">
        <v>38</v>
      </c>
      <c r="P93" s="2">
        <v>45932</v>
      </c>
      <c r="Q93" s="2">
        <v>45968</v>
      </c>
      <c r="R93" s="1" t="s">
        <v>353</v>
      </c>
      <c r="V93" s="46">
        <f>IF(
  OR(
    ISNUMBER(SEARCH("unable to locate acct", tblDocketedComments[[#This Row],[Docketed Consumer Comments]])),
    ISNUMBER(SEARCH("unknown", tblDocketedComments[[#This Row],[Docketed Consumer Comments]])),
    ISNUMBER(SEARCH("inactive", tblDocketedComments[[#This Row],[Docketed Consumer Comments]]))
  ),
  0,
  1
)</f>
        <v>1</v>
      </c>
    </row>
    <row r="94" spans="1:22">
      <c r="A94" s="2">
        <v>45902</v>
      </c>
      <c r="B94" s="1" t="s">
        <v>354</v>
      </c>
      <c r="C94" s="1" t="s">
        <v>355</v>
      </c>
      <c r="D94" s="1" t="s">
        <v>112</v>
      </c>
      <c r="E94" s="1">
        <v>85387</v>
      </c>
      <c r="F94" s="1" t="s">
        <v>310</v>
      </c>
      <c r="G94" s="1" t="s">
        <v>303</v>
      </c>
      <c r="H94" s="4" t="s">
        <v>356</v>
      </c>
      <c r="I94" s="5" t="s">
        <v>196</v>
      </c>
      <c r="J94" s="5" t="s">
        <v>37</v>
      </c>
      <c r="K94" s="5" t="s">
        <v>37</v>
      </c>
      <c r="L94" s="5" t="s">
        <v>357</v>
      </c>
      <c r="M94" s="5" t="s">
        <v>37</v>
      </c>
      <c r="N94" s="5" t="s">
        <v>37</v>
      </c>
      <c r="O94" s="5" t="s">
        <v>38</v>
      </c>
      <c r="P94" s="5" t="s">
        <v>39</v>
      </c>
      <c r="Q94" s="2">
        <v>45968</v>
      </c>
      <c r="V94" s="46">
        <f>IF(
  OR(
    ISNUMBER(SEARCH("unable to locate acct", tblDocketedComments[[#This Row],[Docketed Consumer Comments]])),
    ISNUMBER(SEARCH("unknown", tblDocketedComments[[#This Row],[Docketed Consumer Comments]])),
    ISNUMBER(SEARCH("inactive", tblDocketedComments[[#This Row],[Docketed Consumer Comments]]))
  ),
  0,
  1
)</f>
        <v>1</v>
      </c>
    </row>
    <row r="95" spans="1:22">
      <c r="A95" s="2">
        <v>45902</v>
      </c>
      <c r="B95" s="1" t="s">
        <v>358</v>
      </c>
      <c r="C95" s="1" t="s">
        <v>359</v>
      </c>
      <c r="D95" s="1" t="s">
        <v>63</v>
      </c>
      <c r="E95" s="1">
        <v>85020</v>
      </c>
      <c r="F95" s="1" t="s">
        <v>310</v>
      </c>
      <c r="G95" s="1" t="s">
        <v>303</v>
      </c>
      <c r="H95" s="4" t="s">
        <v>360</v>
      </c>
      <c r="I95" s="5" t="s">
        <v>126</v>
      </c>
      <c r="J95" s="5" t="s">
        <v>37</v>
      </c>
      <c r="K95" s="5" t="s">
        <v>37</v>
      </c>
      <c r="L95" s="5" t="s">
        <v>361</v>
      </c>
      <c r="M95" s="5" t="s">
        <v>37</v>
      </c>
      <c r="N95" s="5" t="s">
        <v>37</v>
      </c>
      <c r="O95" s="5" t="s">
        <v>38</v>
      </c>
      <c r="P95" s="5" t="s">
        <v>39</v>
      </c>
      <c r="Q95" s="2">
        <v>45968</v>
      </c>
      <c r="V95" s="46">
        <f>IF(
  OR(
    ISNUMBER(SEARCH("unable to locate acct", tblDocketedComments[[#This Row],[Docketed Consumer Comments]])),
    ISNUMBER(SEARCH("unknown", tblDocketedComments[[#This Row],[Docketed Consumer Comments]])),
    ISNUMBER(SEARCH("inactive", tblDocketedComments[[#This Row],[Docketed Consumer Comments]]))
  ),
  0,
  1
)</f>
        <v>1</v>
      </c>
    </row>
    <row r="96" spans="1:22">
      <c r="A96" s="2">
        <v>45902</v>
      </c>
      <c r="B96" s="1" t="s">
        <v>362</v>
      </c>
      <c r="C96" s="1" t="s">
        <v>363</v>
      </c>
      <c r="D96" s="1" t="s">
        <v>240</v>
      </c>
      <c r="E96" s="1">
        <v>85340</v>
      </c>
      <c r="F96" s="3" t="s">
        <v>31</v>
      </c>
      <c r="G96" s="1" t="s">
        <v>303</v>
      </c>
      <c r="H96" s="4" t="s">
        <v>364</v>
      </c>
      <c r="I96" s="5" t="s">
        <v>36</v>
      </c>
      <c r="J96" s="5" t="s">
        <v>37</v>
      </c>
      <c r="K96" s="5" t="s">
        <v>37</v>
      </c>
      <c r="L96" s="5" t="s">
        <v>38</v>
      </c>
      <c r="M96" s="5" t="s">
        <v>37</v>
      </c>
      <c r="N96" s="5" t="s">
        <v>37</v>
      </c>
      <c r="O96" s="5" t="s">
        <v>38</v>
      </c>
      <c r="P96" s="5" t="s">
        <v>39</v>
      </c>
      <c r="Q96" s="2">
        <v>45968</v>
      </c>
      <c r="V96" s="46">
        <f>IF(
  OR(
    ISNUMBER(SEARCH("unable to locate acct", tblDocketedComments[[#This Row],[Docketed Consumer Comments]])),
    ISNUMBER(SEARCH("unknown", tblDocketedComments[[#This Row],[Docketed Consumer Comments]])),
    ISNUMBER(SEARCH("inactive", tblDocketedComments[[#This Row],[Docketed Consumer Comments]]))
  ),
  0,
  1
)</f>
        <v>1</v>
      </c>
    </row>
    <row r="97" spans="1:22">
      <c r="A97" s="2">
        <v>45902</v>
      </c>
      <c r="B97" s="1" t="s">
        <v>365</v>
      </c>
      <c r="C97" s="1" t="s">
        <v>284</v>
      </c>
      <c r="D97" s="1" t="s">
        <v>112</v>
      </c>
      <c r="E97" s="1">
        <v>85387</v>
      </c>
      <c r="F97" s="3" t="s">
        <v>31</v>
      </c>
      <c r="G97" s="1" t="s">
        <v>303</v>
      </c>
      <c r="H97" s="4" t="s">
        <v>366</v>
      </c>
      <c r="I97" s="5" t="s">
        <v>288</v>
      </c>
      <c r="J97" s="5" t="s">
        <v>38</v>
      </c>
      <c r="K97" s="5" t="s">
        <v>37</v>
      </c>
      <c r="L97" s="5" t="s">
        <v>38</v>
      </c>
      <c r="M97" s="5" t="s">
        <v>37</v>
      </c>
      <c r="N97" s="5" t="s">
        <v>37</v>
      </c>
      <c r="O97" s="5" t="s">
        <v>38</v>
      </c>
      <c r="P97" s="5" t="s">
        <v>39</v>
      </c>
      <c r="Q97" s="2">
        <v>45968</v>
      </c>
      <c r="V97" s="46">
        <f>IF(
  OR(
    ISNUMBER(SEARCH("unable to locate acct", tblDocketedComments[[#This Row],[Docketed Consumer Comments]])),
    ISNUMBER(SEARCH("unknown", tblDocketedComments[[#This Row],[Docketed Consumer Comments]])),
    ISNUMBER(SEARCH("inactive", tblDocketedComments[[#This Row],[Docketed Consumer Comments]]))
  ),
  0,
  1
)</f>
        <v>1</v>
      </c>
    </row>
    <row r="98" spans="1:22">
      <c r="A98" s="2">
        <v>45902</v>
      </c>
      <c r="B98" s="1" t="s">
        <v>367</v>
      </c>
      <c r="C98" s="1" t="s">
        <v>225</v>
      </c>
      <c r="D98" s="1" t="s">
        <v>63</v>
      </c>
      <c r="E98" s="1">
        <v>85020</v>
      </c>
      <c r="F98" s="1" t="s">
        <v>310</v>
      </c>
      <c r="G98" s="1" t="s">
        <v>303</v>
      </c>
      <c r="H98" s="4" t="s">
        <v>209</v>
      </c>
      <c r="V98" s="46">
        <f>IF(
  OR(
    ISNUMBER(SEARCH("unable to locate acct", tblDocketedComments[[#This Row],[Docketed Consumer Comments]])),
    ISNUMBER(SEARCH("unknown", tblDocketedComments[[#This Row],[Docketed Consumer Comments]])),
    ISNUMBER(SEARCH("inactive", tblDocketedComments[[#This Row],[Docketed Consumer Comments]]))
  ),
  0,
  1
)</f>
        <v>1</v>
      </c>
    </row>
    <row r="99" spans="1:22">
      <c r="A99" s="2">
        <v>45902</v>
      </c>
      <c r="B99" s="1" t="s">
        <v>368</v>
      </c>
      <c r="C99" s="1" t="s">
        <v>369</v>
      </c>
      <c r="D99" s="1" t="s">
        <v>370</v>
      </c>
      <c r="E99" s="1">
        <v>85225</v>
      </c>
      <c r="F99" s="3" t="s">
        <v>31</v>
      </c>
      <c r="G99" s="1" t="s">
        <v>303</v>
      </c>
      <c r="H99" s="4" t="s">
        <v>371</v>
      </c>
      <c r="I99" s="10" t="s">
        <v>36</v>
      </c>
      <c r="J99" s="5" t="s">
        <v>37</v>
      </c>
      <c r="K99" s="5" t="s">
        <v>37</v>
      </c>
      <c r="L99" s="5" t="s">
        <v>38</v>
      </c>
      <c r="M99" s="5" t="s">
        <v>37</v>
      </c>
      <c r="N99" s="5" t="s">
        <v>37</v>
      </c>
      <c r="O99" s="5" t="s">
        <v>38</v>
      </c>
      <c r="P99" s="5" t="s">
        <v>39</v>
      </c>
      <c r="Q99" s="2">
        <v>45968</v>
      </c>
      <c r="V9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 spans="1:22">
      <c r="A100" s="2">
        <v>45902</v>
      </c>
      <c r="B100" s="1" t="s">
        <v>372</v>
      </c>
      <c r="C100" s="1" t="s">
        <v>373</v>
      </c>
      <c r="D100" s="1" t="s">
        <v>63</v>
      </c>
      <c r="E100" s="1">
        <v>85006</v>
      </c>
      <c r="F100" s="3" t="s">
        <v>31</v>
      </c>
      <c r="G100" s="1" t="s">
        <v>303</v>
      </c>
      <c r="H100" s="4" t="s">
        <v>374</v>
      </c>
      <c r="I100" s="5" t="s">
        <v>196</v>
      </c>
      <c r="J100" s="5" t="s">
        <v>37</v>
      </c>
      <c r="K100" s="5" t="s">
        <v>37</v>
      </c>
      <c r="L100" s="5" t="s">
        <v>38</v>
      </c>
      <c r="M100" s="5" t="s">
        <v>37</v>
      </c>
      <c r="N100" s="5" t="s">
        <v>37</v>
      </c>
      <c r="O100" s="5" t="s">
        <v>38</v>
      </c>
      <c r="P100" s="5" t="s">
        <v>39</v>
      </c>
      <c r="Q100" s="2">
        <v>45968</v>
      </c>
      <c r="V10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 spans="1:22">
      <c r="A101" s="2">
        <v>45902</v>
      </c>
      <c r="B101" s="1" t="s">
        <v>375</v>
      </c>
      <c r="C101" s="1" t="s">
        <v>376</v>
      </c>
      <c r="D101" s="1" t="s">
        <v>112</v>
      </c>
      <c r="E101" s="1">
        <v>85388</v>
      </c>
      <c r="F101" s="3" t="s">
        <v>31</v>
      </c>
      <c r="G101" s="1" t="s">
        <v>303</v>
      </c>
      <c r="H101" s="4" t="s">
        <v>377</v>
      </c>
      <c r="I101" s="5" t="s">
        <v>196</v>
      </c>
      <c r="J101" s="5" t="s">
        <v>37</v>
      </c>
      <c r="K101" s="5" t="s">
        <v>37</v>
      </c>
      <c r="L101" s="7" t="s">
        <v>378</v>
      </c>
      <c r="M101" s="5" t="s">
        <v>37</v>
      </c>
      <c r="N101" s="5" t="s">
        <v>37</v>
      </c>
      <c r="O101" s="5" t="s">
        <v>38</v>
      </c>
      <c r="P101" s="2">
        <v>45932</v>
      </c>
      <c r="Q101" s="2">
        <v>45968</v>
      </c>
      <c r="R101" s="1" t="s">
        <v>332</v>
      </c>
      <c r="V10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 spans="1:22">
      <c r="A102" s="2">
        <v>45902</v>
      </c>
      <c r="B102" s="1" t="s">
        <v>379</v>
      </c>
      <c r="C102" s="1" t="s">
        <v>312</v>
      </c>
      <c r="D102" s="1" t="s">
        <v>169</v>
      </c>
      <c r="E102" s="1">
        <v>85338</v>
      </c>
      <c r="F102" s="3" t="s">
        <v>31</v>
      </c>
      <c r="G102" s="1" t="s">
        <v>303</v>
      </c>
      <c r="H102" s="4" t="s">
        <v>380</v>
      </c>
      <c r="I102" s="5" t="s">
        <v>196</v>
      </c>
      <c r="J102" s="5" t="s">
        <v>37</v>
      </c>
      <c r="K102" s="5" t="s">
        <v>37</v>
      </c>
      <c r="L102" s="5" t="s">
        <v>38</v>
      </c>
      <c r="M102" s="5" t="s">
        <v>37</v>
      </c>
      <c r="N102" s="5" t="s">
        <v>37</v>
      </c>
      <c r="O102" s="5" t="s">
        <v>38</v>
      </c>
      <c r="P102" s="5" t="s">
        <v>39</v>
      </c>
      <c r="Q102" s="2">
        <v>45968</v>
      </c>
      <c r="V10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 spans="1:22">
      <c r="A103" s="2">
        <v>45902</v>
      </c>
      <c r="B103" s="1" t="s">
        <v>381</v>
      </c>
      <c r="C103" s="1" t="s">
        <v>382</v>
      </c>
      <c r="D103" s="1" t="s">
        <v>202</v>
      </c>
      <c r="E103" s="1">
        <v>85345</v>
      </c>
      <c r="F103" s="3" t="s">
        <v>31</v>
      </c>
      <c r="G103" s="1" t="s">
        <v>303</v>
      </c>
      <c r="H103" s="4" t="s">
        <v>27</v>
      </c>
      <c r="V10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 spans="1:22">
      <c r="A104" s="2">
        <v>45902</v>
      </c>
      <c r="B104" s="1" t="s">
        <v>383</v>
      </c>
      <c r="C104" s="1" t="s">
        <v>384</v>
      </c>
      <c r="D104" s="1" t="s">
        <v>63</v>
      </c>
      <c r="E104" s="1">
        <v>85023</v>
      </c>
      <c r="F104" s="3" t="s">
        <v>31</v>
      </c>
      <c r="G104" s="1" t="s">
        <v>303</v>
      </c>
      <c r="H104" s="4" t="s">
        <v>385</v>
      </c>
      <c r="I104" s="5" t="s">
        <v>126</v>
      </c>
      <c r="J104" s="5" t="s">
        <v>37</v>
      </c>
      <c r="K104" s="5" t="s">
        <v>37</v>
      </c>
      <c r="L104" s="5" t="s">
        <v>38</v>
      </c>
      <c r="M104" s="5" t="s">
        <v>37</v>
      </c>
      <c r="N104" s="5" t="s">
        <v>37</v>
      </c>
      <c r="O104" s="5" t="s">
        <v>38</v>
      </c>
      <c r="P104" s="5" t="s">
        <v>39</v>
      </c>
      <c r="Q104" s="2">
        <v>45968</v>
      </c>
      <c r="V10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 spans="1:22">
      <c r="A105" s="2">
        <v>45902</v>
      </c>
      <c r="B105" s="1" t="s">
        <v>386</v>
      </c>
      <c r="C105" s="1" t="s">
        <v>387</v>
      </c>
      <c r="D105" s="1" t="s">
        <v>169</v>
      </c>
      <c r="E105" s="1">
        <v>85338</v>
      </c>
      <c r="F105" s="3" t="s">
        <v>31</v>
      </c>
      <c r="G105" s="1" t="s">
        <v>303</v>
      </c>
      <c r="H105" s="4" t="s">
        <v>388</v>
      </c>
      <c r="I105" s="5" t="s">
        <v>243</v>
      </c>
      <c r="J105" s="5" t="s">
        <v>38</v>
      </c>
      <c r="K105" s="5" t="s">
        <v>37</v>
      </c>
      <c r="L105" s="5" t="s">
        <v>389</v>
      </c>
      <c r="M105" s="5" t="s">
        <v>38</v>
      </c>
      <c r="N105" s="13">
        <v>326.87</v>
      </c>
      <c r="O105" s="5" t="s">
        <v>38</v>
      </c>
      <c r="P105" s="5" t="s">
        <v>39</v>
      </c>
      <c r="Q105" s="2">
        <v>45968</v>
      </c>
      <c r="R105" s="1" t="s">
        <v>390</v>
      </c>
      <c r="V10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 spans="1:22">
      <c r="A106" s="2">
        <v>45902</v>
      </c>
      <c r="B106" s="1" t="s">
        <v>391</v>
      </c>
      <c r="C106" s="1" t="s">
        <v>392</v>
      </c>
      <c r="D106" s="1" t="s">
        <v>169</v>
      </c>
      <c r="E106" s="1">
        <v>85338</v>
      </c>
      <c r="F106" s="3" t="s">
        <v>31</v>
      </c>
      <c r="G106" s="1" t="s">
        <v>303</v>
      </c>
      <c r="H106" s="4" t="s">
        <v>393</v>
      </c>
      <c r="I106" s="5" t="s">
        <v>36</v>
      </c>
      <c r="J106" s="5" t="s">
        <v>37</v>
      </c>
      <c r="K106" s="5" t="s">
        <v>37</v>
      </c>
      <c r="L106" s="5" t="s">
        <v>38</v>
      </c>
      <c r="M106" s="5" t="s">
        <v>37</v>
      </c>
      <c r="N106" s="5" t="s">
        <v>37</v>
      </c>
      <c r="O106" s="5" t="s">
        <v>38</v>
      </c>
      <c r="P106" s="5" t="s">
        <v>39</v>
      </c>
      <c r="Q106" s="2">
        <v>45968</v>
      </c>
      <c r="V10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 spans="1:22">
      <c r="A107" s="2">
        <v>45902</v>
      </c>
      <c r="B107" s="1" t="s">
        <v>394</v>
      </c>
      <c r="C107" s="1" t="s">
        <v>395</v>
      </c>
      <c r="D107" s="1" t="s">
        <v>396</v>
      </c>
      <c r="E107" s="1">
        <v>85303</v>
      </c>
      <c r="F107" s="3" t="s">
        <v>31</v>
      </c>
      <c r="G107" s="1" t="s">
        <v>303</v>
      </c>
      <c r="H107" s="4" t="s">
        <v>397</v>
      </c>
      <c r="I107" s="5" t="s">
        <v>126</v>
      </c>
      <c r="J107" s="5" t="s">
        <v>37</v>
      </c>
      <c r="K107" s="5" t="s">
        <v>37</v>
      </c>
      <c r="L107" s="5" t="s">
        <v>38</v>
      </c>
      <c r="M107" s="5" t="s">
        <v>37</v>
      </c>
      <c r="N107" s="5" t="s">
        <v>37</v>
      </c>
      <c r="O107" s="5" t="s">
        <v>38</v>
      </c>
      <c r="P107" s="5" t="s">
        <v>39</v>
      </c>
      <c r="Q107" s="2">
        <v>45968</v>
      </c>
      <c r="V10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 spans="1:22">
      <c r="A108" s="2">
        <v>45902</v>
      </c>
      <c r="B108" s="1" t="s">
        <v>398</v>
      </c>
      <c r="C108" s="1" t="s">
        <v>399</v>
      </c>
      <c r="D108" s="1" t="s">
        <v>63</v>
      </c>
      <c r="E108" s="1">
        <v>85006</v>
      </c>
      <c r="F108" s="3" t="s">
        <v>31</v>
      </c>
      <c r="G108" s="1" t="s">
        <v>303</v>
      </c>
      <c r="H108" s="4" t="s">
        <v>400</v>
      </c>
      <c r="I108" s="5" t="s">
        <v>36</v>
      </c>
      <c r="J108" s="5" t="s">
        <v>37</v>
      </c>
      <c r="K108" s="5" t="s">
        <v>37</v>
      </c>
      <c r="L108" s="5" t="s">
        <v>401</v>
      </c>
      <c r="M108" s="5" t="s">
        <v>37</v>
      </c>
      <c r="N108" s="5" t="s">
        <v>37</v>
      </c>
      <c r="O108" s="5" t="s">
        <v>38</v>
      </c>
      <c r="P108" s="5" t="s">
        <v>39</v>
      </c>
      <c r="Q108" s="2">
        <v>45968</v>
      </c>
      <c r="V10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 spans="1:22">
      <c r="A109" s="2">
        <v>45902</v>
      </c>
      <c r="B109" s="1" t="s">
        <v>402</v>
      </c>
      <c r="C109" s="1" t="s">
        <v>403</v>
      </c>
      <c r="D109" s="1" t="s">
        <v>24</v>
      </c>
      <c r="E109" s="1">
        <v>85307</v>
      </c>
      <c r="F109" s="1" t="s">
        <v>310</v>
      </c>
      <c r="G109" s="1" t="s">
        <v>303</v>
      </c>
      <c r="H109" s="4" t="s">
        <v>404</v>
      </c>
      <c r="I109" s="5" t="s">
        <v>126</v>
      </c>
      <c r="J109" s="5" t="s">
        <v>37</v>
      </c>
      <c r="K109" s="5" t="s">
        <v>37</v>
      </c>
      <c r="L109" s="5" t="s">
        <v>405</v>
      </c>
      <c r="M109" s="5" t="s">
        <v>37</v>
      </c>
      <c r="N109" s="5" t="s">
        <v>37</v>
      </c>
      <c r="O109" s="5" t="s">
        <v>38</v>
      </c>
      <c r="P109" s="5" t="s">
        <v>39</v>
      </c>
      <c r="Q109" s="2">
        <v>45968</v>
      </c>
      <c r="V10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 spans="1:22">
      <c r="A110" s="2">
        <v>45902</v>
      </c>
      <c r="B110" s="1" t="s">
        <v>406</v>
      </c>
      <c r="C110" s="1" t="s">
        <v>407</v>
      </c>
      <c r="D110" s="1" t="s">
        <v>63</v>
      </c>
      <c r="E110" s="1">
        <v>85006</v>
      </c>
      <c r="F110" s="3" t="s">
        <v>31</v>
      </c>
      <c r="G110" s="1" t="s">
        <v>303</v>
      </c>
      <c r="H110" s="4" t="s">
        <v>408</v>
      </c>
      <c r="I110" s="5" t="s">
        <v>57</v>
      </c>
      <c r="J110" s="5" t="s">
        <v>37</v>
      </c>
      <c r="K110" s="5" t="s">
        <v>37</v>
      </c>
      <c r="L110" s="7" t="s">
        <v>409</v>
      </c>
      <c r="M110" s="5" t="s">
        <v>37</v>
      </c>
      <c r="N110" s="5" t="s">
        <v>37</v>
      </c>
      <c r="O110" s="5" t="s">
        <v>38</v>
      </c>
      <c r="P110" s="2">
        <v>45932</v>
      </c>
      <c r="Q110" s="2">
        <v>45968</v>
      </c>
      <c r="R110" s="1" t="s">
        <v>332</v>
      </c>
      <c r="V1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 spans="1:22">
      <c r="A111" s="2">
        <v>45902</v>
      </c>
      <c r="B111" s="1" t="s">
        <v>410</v>
      </c>
      <c r="C111" s="1" t="s">
        <v>411</v>
      </c>
      <c r="D111" s="1" t="s">
        <v>412</v>
      </c>
      <c r="E111" s="1">
        <v>85123</v>
      </c>
      <c r="F111" s="1" t="s">
        <v>310</v>
      </c>
      <c r="G111" s="1" t="s">
        <v>303</v>
      </c>
      <c r="H111" s="4" t="s">
        <v>413</v>
      </c>
      <c r="I111" s="5" t="s">
        <v>196</v>
      </c>
      <c r="J111" s="5" t="s">
        <v>37</v>
      </c>
      <c r="K111" s="5" t="s">
        <v>37</v>
      </c>
      <c r="L111" s="5" t="s">
        <v>414</v>
      </c>
      <c r="M111" s="5" t="s">
        <v>37</v>
      </c>
      <c r="N111" s="5" t="s">
        <v>37</v>
      </c>
      <c r="O111" s="5" t="s">
        <v>38</v>
      </c>
      <c r="P111" s="5" t="s">
        <v>39</v>
      </c>
      <c r="Q111" s="2">
        <v>45968</v>
      </c>
      <c r="V1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 spans="1:22">
      <c r="A112" s="2">
        <v>45902</v>
      </c>
      <c r="B112" s="1" t="s">
        <v>415</v>
      </c>
      <c r="C112" s="1" t="s">
        <v>416</v>
      </c>
      <c r="D112" s="1" t="s">
        <v>112</v>
      </c>
      <c r="E112" s="1">
        <v>85379</v>
      </c>
      <c r="F112" s="3" t="s">
        <v>31</v>
      </c>
      <c r="G112" s="1" t="s">
        <v>303</v>
      </c>
      <c r="H112" s="4" t="s">
        <v>417</v>
      </c>
      <c r="I112" s="5" t="s">
        <v>418</v>
      </c>
      <c r="J112" s="5" t="s">
        <v>37</v>
      </c>
      <c r="K112" s="5" t="s">
        <v>37</v>
      </c>
      <c r="L112" s="5" t="s">
        <v>389</v>
      </c>
      <c r="M112" s="5" t="s">
        <v>37</v>
      </c>
      <c r="N112" s="5" t="s">
        <v>37</v>
      </c>
      <c r="O112" s="5" t="s">
        <v>38</v>
      </c>
      <c r="P112" s="5" t="s">
        <v>39</v>
      </c>
      <c r="Q112" s="2">
        <v>45968</v>
      </c>
      <c r="V1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 spans="1:22">
      <c r="A113" s="2">
        <v>45902</v>
      </c>
      <c r="B113" s="1" t="s">
        <v>419</v>
      </c>
      <c r="C113" s="1" t="s">
        <v>420</v>
      </c>
      <c r="D113" s="1" t="s">
        <v>174</v>
      </c>
      <c r="E113" s="1">
        <v>85326</v>
      </c>
      <c r="F113" s="3" t="s">
        <v>31</v>
      </c>
      <c r="G113" s="1" t="s">
        <v>303</v>
      </c>
      <c r="H113" s="4" t="s">
        <v>27</v>
      </c>
      <c r="V1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 spans="1:22">
      <c r="A114" s="2">
        <v>45902</v>
      </c>
      <c r="B114" s="1" t="s">
        <v>421</v>
      </c>
      <c r="C114" s="1" t="s">
        <v>422</v>
      </c>
      <c r="D114" s="1" t="s">
        <v>63</v>
      </c>
      <c r="E114" s="1">
        <v>85054</v>
      </c>
      <c r="F114" s="1" t="s">
        <v>310</v>
      </c>
      <c r="G114" s="1" t="s">
        <v>303</v>
      </c>
      <c r="H114" s="4">
        <v>7035930772</v>
      </c>
      <c r="I114" s="5" t="s">
        <v>196</v>
      </c>
      <c r="J114" s="5" t="s">
        <v>37</v>
      </c>
      <c r="K114" s="5" t="s">
        <v>37</v>
      </c>
      <c r="L114" s="7" t="s">
        <v>423</v>
      </c>
      <c r="M114" s="5" t="s">
        <v>37</v>
      </c>
      <c r="N114" s="5" t="s">
        <v>37</v>
      </c>
      <c r="O114" s="5" t="s">
        <v>38</v>
      </c>
      <c r="P114" s="2">
        <v>45932</v>
      </c>
      <c r="Q114" s="2">
        <v>45958</v>
      </c>
      <c r="R114" s="1" t="s">
        <v>332</v>
      </c>
      <c r="V11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 spans="1:22">
      <c r="A115" s="2">
        <v>45902</v>
      </c>
      <c r="B115" s="1" t="s">
        <v>424</v>
      </c>
      <c r="C115" s="1" t="s">
        <v>425</v>
      </c>
      <c r="D115" s="1" t="s">
        <v>240</v>
      </c>
      <c r="E115" s="1">
        <v>85340</v>
      </c>
      <c r="F115" s="1" t="s">
        <v>310</v>
      </c>
      <c r="G115" s="1" t="s">
        <v>303</v>
      </c>
      <c r="H115" s="4" t="s">
        <v>27</v>
      </c>
      <c r="V1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 spans="1:22">
      <c r="A116" s="2">
        <v>45902</v>
      </c>
      <c r="B116" s="1" t="s">
        <v>426</v>
      </c>
      <c r="C116" s="1" t="s">
        <v>427</v>
      </c>
      <c r="D116" s="1" t="s">
        <v>428</v>
      </c>
      <c r="E116" s="1">
        <v>85335</v>
      </c>
      <c r="F116" s="3" t="s">
        <v>31</v>
      </c>
      <c r="G116" s="1" t="s">
        <v>303</v>
      </c>
      <c r="H116" s="4" t="s">
        <v>27</v>
      </c>
      <c r="V1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 spans="1:22">
      <c r="A117" s="2">
        <v>45902</v>
      </c>
      <c r="B117" s="1" t="s">
        <v>429</v>
      </c>
      <c r="C117" s="1" t="s">
        <v>135</v>
      </c>
      <c r="D117" s="1" t="s">
        <v>63</v>
      </c>
      <c r="E117" s="1">
        <v>85029</v>
      </c>
      <c r="F117" s="1" t="s">
        <v>310</v>
      </c>
      <c r="G117" s="1" t="s">
        <v>303</v>
      </c>
      <c r="H117" s="4">
        <v>7115261000</v>
      </c>
      <c r="I117" s="5" t="s">
        <v>36</v>
      </c>
      <c r="J117" s="5" t="s">
        <v>38</v>
      </c>
      <c r="K117" s="5" t="s">
        <v>37</v>
      </c>
      <c r="L117" s="5" t="s">
        <v>38</v>
      </c>
      <c r="M117" s="5" t="s">
        <v>37</v>
      </c>
      <c r="N117" s="5" t="s">
        <v>37</v>
      </c>
      <c r="O117" s="5" t="s">
        <v>38</v>
      </c>
      <c r="P117" s="5" t="s">
        <v>430</v>
      </c>
      <c r="Q117" s="2">
        <v>45958</v>
      </c>
      <c r="V1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 spans="1:22">
      <c r="A118" s="2">
        <v>45902</v>
      </c>
      <c r="B118" s="1" t="s">
        <v>431</v>
      </c>
      <c r="C118" s="1" t="s">
        <v>392</v>
      </c>
      <c r="D118" s="1" t="s">
        <v>63</v>
      </c>
      <c r="E118" s="1">
        <v>85006</v>
      </c>
      <c r="F118" s="3" t="s">
        <v>31</v>
      </c>
      <c r="G118" s="1" t="s">
        <v>303</v>
      </c>
      <c r="H118" s="4" t="s">
        <v>209</v>
      </c>
      <c r="V1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 spans="1:22">
      <c r="A119" s="2">
        <v>45902</v>
      </c>
      <c r="B119" s="1" t="s">
        <v>432</v>
      </c>
      <c r="C119" s="1" t="s">
        <v>433</v>
      </c>
      <c r="D119" s="1" t="s">
        <v>85</v>
      </c>
      <c r="E119" s="1">
        <v>86323</v>
      </c>
      <c r="F119" s="1" t="s">
        <v>31</v>
      </c>
      <c r="G119" s="1" t="s">
        <v>303</v>
      </c>
      <c r="H119" s="4">
        <v>2773271262</v>
      </c>
      <c r="I119" s="5" t="s">
        <v>288</v>
      </c>
      <c r="J119" s="5" t="s">
        <v>37</v>
      </c>
      <c r="K119" s="5" t="s">
        <v>37</v>
      </c>
      <c r="L119" s="5" t="s">
        <v>38</v>
      </c>
      <c r="M119" s="5" t="s">
        <v>37</v>
      </c>
      <c r="N119" s="5" t="s">
        <v>37</v>
      </c>
      <c r="O119" s="5" t="s">
        <v>38</v>
      </c>
      <c r="P119" s="5" t="s">
        <v>39</v>
      </c>
      <c r="Q119" s="2">
        <v>45958</v>
      </c>
      <c r="V11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 spans="1:22">
      <c r="A120" s="2">
        <v>45902</v>
      </c>
      <c r="B120" s="1" t="s">
        <v>434</v>
      </c>
      <c r="C120" s="1" t="s">
        <v>145</v>
      </c>
      <c r="D120" s="1" t="s">
        <v>112</v>
      </c>
      <c r="E120" s="1">
        <v>85379</v>
      </c>
      <c r="F120" s="1" t="s">
        <v>310</v>
      </c>
      <c r="G120" s="1" t="s">
        <v>303</v>
      </c>
      <c r="H120" s="4" t="s">
        <v>435</v>
      </c>
      <c r="I120" s="5" t="s">
        <v>126</v>
      </c>
      <c r="J120" s="5" t="s">
        <v>37</v>
      </c>
      <c r="K120" s="5" t="s">
        <v>37</v>
      </c>
      <c r="L120" s="5" t="s">
        <v>38</v>
      </c>
      <c r="M120" s="5" t="s">
        <v>37</v>
      </c>
      <c r="N120" s="5" t="s">
        <v>37</v>
      </c>
      <c r="O120" s="5" t="s">
        <v>38</v>
      </c>
      <c r="P120" s="5" t="s">
        <v>39</v>
      </c>
      <c r="Q120" s="2">
        <v>45958</v>
      </c>
      <c r="V12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 spans="1:22">
      <c r="A121" s="2">
        <v>45902</v>
      </c>
      <c r="B121" s="1" t="s">
        <v>436</v>
      </c>
      <c r="C121" s="1" t="s">
        <v>437</v>
      </c>
      <c r="D121" s="1" t="s">
        <v>169</v>
      </c>
      <c r="E121" s="1">
        <v>85338</v>
      </c>
      <c r="F121" s="1" t="s">
        <v>31</v>
      </c>
      <c r="G121" s="1" t="s">
        <v>303</v>
      </c>
      <c r="H121" s="4" t="s">
        <v>438</v>
      </c>
      <c r="I121" s="5" t="s">
        <v>418</v>
      </c>
      <c r="J121" s="5" t="s">
        <v>38</v>
      </c>
      <c r="K121" s="5" t="s">
        <v>37</v>
      </c>
      <c r="L121" s="5" t="s">
        <v>389</v>
      </c>
      <c r="M121" s="5" t="s">
        <v>38</v>
      </c>
      <c r="N121" s="13">
        <v>179.9</v>
      </c>
      <c r="O121" s="5" t="s">
        <v>38</v>
      </c>
      <c r="P121" s="5" t="s">
        <v>39</v>
      </c>
      <c r="Q121" s="2">
        <v>45968</v>
      </c>
      <c r="V12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 spans="1:22">
      <c r="A122" s="2">
        <v>45902</v>
      </c>
      <c r="B122" s="1" t="s">
        <v>439</v>
      </c>
      <c r="C122" s="1" t="s">
        <v>440</v>
      </c>
      <c r="D122" s="1" t="s">
        <v>125</v>
      </c>
      <c r="E122" s="1">
        <v>85254</v>
      </c>
      <c r="F122" s="1" t="s">
        <v>310</v>
      </c>
      <c r="G122" s="1" t="s">
        <v>303</v>
      </c>
      <c r="H122" s="4" t="s">
        <v>441</v>
      </c>
      <c r="I122" s="5" t="s">
        <v>36</v>
      </c>
      <c r="J122" s="5" t="s">
        <v>37</v>
      </c>
      <c r="K122" s="5" t="s">
        <v>37</v>
      </c>
      <c r="L122" s="5" t="s">
        <v>38</v>
      </c>
      <c r="M122" s="5" t="s">
        <v>37</v>
      </c>
      <c r="N122" s="5" t="s">
        <v>37</v>
      </c>
      <c r="O122" s="5" t="s">
        <v>38</v>
      </c>
      <c r="P122" s="5" t="s">
        <v>39</v>
      </c>
      <c r="Q122" s="2">
        <v>45968</v>
      </c>
      <c r="V12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 spans="1:22">
      <c r="A123" s="2">
        <v>45902</v>
      </c>
      <c r="B123" s="1" t="s">
        <v>442</v>
      </c>
      <c r="C123" s="1" t="s">
        <v>443</v>
      </c>
      <c r="D123" s="1" t="s">
        <v>63</v>
      </c>
      <c r="E123" s="1">
        <v>85032</v>
      </c>
      <c r="F123" s="1" t="s">
        <v>310</v>
      </c>
      <c r="G123" s="1" t="s">
        <v>303</v>
      </c>
      <c r="H123" s="4" t="s">
        <v>444</v>
      </c>
      <c r="I123" s="5" t="s">
        <v>196</v>
      </c>
      <c r="J123" s="5" t="s">
        <v>37</v>
      </c>
      <c r="K123" s="5" t="s">
        <v>37</v>
      </c>
      <c r="L123" s="7" t="s">
        <v>445</v>
      </c>
      <c r="M123" s="5" t="s">
        <v>37</v>
      </c>
      <c r="N123" s="5" t="s">
        <v>37</v>
      </c>
      <c r="O123" s="5" t="s">
        <v>38</v>
      </c>
      <c r="P123" s="2">
        <v>45932</v>
      </c>
      <c r="Q123" s="2">
        <v>45968</v>
      </c>
      <c r="R123" s="1" t="s">
        <v>446</v>
      </c>
      <c r="V12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 spans="1:22">
      <c r="A124" s="2">
        <v>45902</v>
      </c>
      <c r="B124" s="1" t="s">
        <v>447</v>
      </c>
      <c r="C124" s="1" t="s">
        <v>328</v>
      </c>
      <c r="D124" s="1" t="s">
        <v>448</v>
      </c>
      <c r="E124" s="1">
        <v>85361</v>
      </c>
      <c r="F124" s="1" t="s">
        <v>310</v>
      </c>
      <c r="G124" s="1" t="s">
        <v>303</v>
      </c>
      <c r="H124" s="4" t="s">
        <v>27</v>
      </c>
      <c r="V12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 spans="1:22">
      <c r="A125" s="2">
        <v>45902</v>
      </c>
      <c r="B125" s="1" t="s">
        <v>449</v>
      </c>
      <c r="C125" s="1" t="s">
        <v>333</v>
      </c>
      <c r="D125" s="1" t="s">
        <v>125</v>
      </c>
      <c r="E125" s="1">
        <v>85260</v>
      </c>
      <c r="F125" s="1" t="s">
        <v>310</v>
      </c>
      <c r="G125" s="1" t="s">
        <v>303</v>
      </c>
      <c r="H125" s="4" t="s">
        <v>450</v>
      </c>
      <c r="I125" s="5" t="s">
        <v>126</v>
      </c>
      <c r="J125" s="5" t="s">
        <v>37</v>
      </c>
      <c r="K125" s="5" t="s">
        <v>37</v>
      </c>
      <c r="L125" s="5" t="s">
        <v>38</v>
      </c>
      <c r="M125" s="5" t="s">
        <v>37</v>
      </c>
      <c r="N125" s="5" t="s">
        <v>37</v>
      </c>
      <c r="O125" s="5" t="s">
        <v>38</v>
      </c>
      <c r="P125" s="5" t="s">
        <v>39</v>
      </c>
      <c r="Q125" s="2">
        <v>45968</v>
      </c>
      <c r="V12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 spans="1:22">
      <c r="A126" s="2">
        <v>45902</v>
      </c>
      <c r="B126" s="1" t="s">
        <v>451</v>
      </c>
      <c r="C126" s="1" t="s">
        <v>452</v>
      </c>
      <c r="D126" s="1" t="s">
        <v>202</v>
      </c>
      <c r="E126" s="1">
        <v>85345</v>
      </c>
      <c r="F126" s="1" t="s">
        <v>310</v>
      </c>
      <c r="G126" s="1" t="s">
        <v>303</v>
      </c>
      <c r="H126" s="4" t="s">
        <v>27</v>
      </c>
      <c r="V12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 spans="1:22">
      <c r="A127" s="2">
        <v>45902</v>
      </c>
      <c r="B127" s="1" t="s">
        <v>453</v>
      </c>
      <c r="C127" s="1" t="s">
        <v>454</v>
      </c>
      <c r="D127" s="1" t="s">
        <v>125</v>
      </c>
      <c r="E127" s="1">
        <v>85255</v>
      </c>
      <c r="F127" s="1" t="s">
        <v>310</v>
      </c>
      <c r="G127" s="1" t="s">
        <v>303</v>
      </c>
      <c r="H127" s="4" t="s">
        <v>455</v>
      </c>
      <c r="I127" s="5" t="s">
        <v>288</v>
      </c>
      <c r="J127" s="5" t="s">
        <v>37</v>
      </c>
      <c r="K127" s="5" t="s">
        <v>37</v>
      </c>
      <c r="L127" s="5" t="s">
        <v>38</v>
      </c>
      <c r="M127" s="5" t="s">
        <v>37</v>
      </c>
      <c r="N127" s="5" t="s">
        <v>37</v>
      </c>
      <c r="O127" s="5" t="s">
        <v>38</v>
      </c>
      <c r="P127" s="5" t="s">
        <v>39</v>
      </c>
      <c r="Q127" s="2">
        <v>45968</v>
      </c>
      <c r="V12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 spans="1:22">
      <c r="A128" s="2">
        <v>45902</v>
      </c>
      <c r="B128" s="1" t="s">
        <v>432</v>
      </c>
      <c r="C128" s="1" t="s">
        <v>456</v>
      </c>
      <c r="D128" s="1" t="s">
        <v>85</v>
      </c>
      <c r="E128" s="1">
        <v>86323</v>
      </c>
      <c r="F128" s="1" t="s">
        <v>310</v>
      </c>
      <c r="G128" s="1" t="s">
        <v>303</v>
      </c>
      <c r="H128" s="4" t="s">
        <v>457</v>
      </c>
      <c r="I128" s="5" t="s">
        <v>288</v>
      </c>
      <c r="J128" s="5" t="s">
        <v>37</v>
      </c>
      <c r="K128" s="5" t="s">
        <v>37</v>
      </c>
      <c r="L128" s="5" t="s">
        <v>38</v>
      </c>
      <c r="M128" s="5" t="s">
        <v>37</v>
      </c>
      <c r="N128" s="5" t="s">
        <v>37</v>
      </c>
      <c r="O128" s="5" t="s">
        <v>38</v>
      </c>
      <c r="P128" s="5" t="s">
        <v>39</v>
      </c>
      <c r="Q128" s="2">
        <v>45968</v>
      </c>
      <c r="V12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 spans="1:22">
      <c r="A129" s="2">
        <v>45902</v>
      </c>
      <c r="B129" s="1" t="s">
        <v>458</v>
      </c>
      <c r="C129" s="1" t="s">
        <v>459</v>
      </c>
      <c r="D129" s="1" t="s">
        <v>125</v>
      </c>
      <c r="E129" s="1">
        <v>85255</v>
      </c>
      <c r="F129" s="1" t="s">
        <v>310</v>
      </c>
      <c r="G129" s="1" t="s">
        <v>303</v>
      </c>
      <c r="H129" s="4" t="s">
        <v>460</v>
      </c>
      <c r="I129" s="5" t="s">
        <v>288</v>
      </c>
      <c r="J129" s="5" t="s">
        <v>37</v>
      </c>
      <c r="K129" s="5" t="s">
        <v>37</v>
      </c>
      <c r="L129" s="5" t="s">
        <v>38</v>
      </c>
      <c r="M129" s="5" t="s">
        <v>37</v>
      </c>
      <c r="N129" s="5" t="s">
        <v>37</v>
      </c>
      <c r="O129" s="5" t="s">
        <v>38</v>
      </c>
      <c r="P129" s="5" t="s">
        <v>39</v>
      </c>
      <c r="Q129" s="2">
        <v>45968</v>
      </c>
      <c r="V12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 spans="1:22">
      <c r="A130" s="2">
        <v>45902</v>
      </c>
      <c r="B130" s="1" t="s">
        <v>461</v>
      </c>
      <c r="C130" s="1" t="s">
        <v>443</v>
      </c>
      <c r="D130" s="1" t="s">
        <v>125</v>
      </c>
      <c r="E130" s="1">
        <v>85254</v>
      </c>
      <c r="F130" s="1" t="s">
        <v>310</v>
      </c>
      <c r="G130" s="1" t="s">
        <v>303</v>
      </c>
      <c r="H130" s="4" t="s">
        <v>462</v>
      </c>
      <c r="I130" s="5" t="s">
        <v>36</v>
      </c>
      <c r="J130" s="5" t="s">
        <v>37</v>
      </c>
      <c r="K130" s="5" t="s">
        <v>37</v>
      </c>
      <c r="L130" s="5" t="s">
        <v>38</v>
      </c>
      <c r="M130" s="5" t="s">
        <v>37</v>
      </c>
      <c r="N130" s="5" t="s">
        <v>37</v>
      </c>
      <c r="O130" s="5" t="s">
        <v>38</v>
      </c>
      <c r="P130" s="5" t="s">
        <v>39</v>
      </c>
      <c r="Q130" s="2">
        <v>45968</v>
      </c>
      <c r="V13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 spans="1:22">
      <c r="A131" s="2">
        <v>45902</v>
      </c>
      <c r="B131" s="1" t="s">
        <v>463</v>
      </c>
      <c r="C131" s="1" t="s">
        <v>464</v>
      </c>
      <c r="D131" s="1" t="s">
        <v>63</v>
      </c>
      <c r="E131" s="1">
        <v>85024</v>
      </c>
      <c r="F131" s="1" t="s">
        <v>310</v>
      </c>
      <c r="G131" s="1" t="s">
        <v>303</v>
      </c>
      <c r="H131" s="4" t="s">
        <v>465</v>
      </c>
      <c r="I131" s="5" t="s">
        <v>418</v>
      </c>
      <c r="J131" s="5" t="s">
        <v>37</v>
      </c>
      <c r="K131" s="5" t="s">
        <v>37</v>
      </c>
      <c r="L131" s="5" t="s">
        <v>389</v>
      </c>
      <c r="M131" s="5" t="s">
        <v>37</v>
      </c>
      <c r="N131" s="5" t="s">
        <v>37</v>
      </c>
      <c r="O131" s="5" t="s">
        <v>38</v>
      </c>
      <c r="P131" s="5" t="s">
        <v>39</v>
      </c>
      <c r="Q131" s="2">
        <v>45968</v>
      </c>
      <c r="V13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 spans="1:22">
      <c r="A132" s="2">
        <v>45902</v>
      </c>
      <c r="B132" s="1" t="s">
        <v>426</v>
      </c>
      <c r="C132" s="1" t="s">
        <v>466</v>
      </c>
      <c r="D132" s="1" t="s">
        <v>428</v>
      </c>
      <c r="E132" s="1">
        <v>85335</v>
      </c>
      <c r="F132" s="1" t="s">
        <v>310</v>
      </c>
      <c r="G132" s="1" t="s">
        <v>303</v>
      </c>
      <c r="H132" s="4" t="s">
        <v>27</v>
      </c>
      <c r="V13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 spans="1:22">
      <c r="A133" s="2">
        <v>45902</v>
      </c>
      <c r="B133" s="1" t="s">
        <v>467</v>
      </c>
      <c r="C133" s="1" t="s">
        <v>468</v>
      </c>
      <c r="D133" s="1" t="s">
        <v>63</v>
      </c>
      <c r="E133" s="1">
        <v>85008</v>
      </c>
      <c r="F133" s="1" t="s">
        <v>310</v>
      </c>
      <c r="G133" s="1" t="s">
        <v>303</v>
      </c>
      <c r="H133" s="4" t="s">
        <v>469</v>
      </c>
      <c r="I133" s="5" t="s">
        <v>36</v>
      </c>
      <c r="J133" s="5" t="s">
        <v>37</v>
      </c>
      <c r="K133" s="5" t="s">
        <v>37</v>
      </c>
      <c r="L133" s="5" t="s">
        <v>38</v>
      </c>
      <c r="M133" s="5" t="s">
        <v>37</v>
      </c>
      <c r="N133" s="5" t="s">
        <v>37</v>
      </c>
      <c r="O133" s="5" t="s">
        <v>38</v>
      </c>
      <c r="P133" s="5" t="s">
        <v>39</v>
      </c>
      <c r="Q133" s="2">
        <v>45968</v>
      </c>
      <c r="V13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 spans="1:22">
      <c r="A134" s="2">
        <v>45902</v>
      </c>
      <c r="B134" s="1" t="s">
        <v>470</v>
      </c>
      <c r="C134" s="1" t="s">
        <v>471</v>
      </c>
      <c r="D134" s="1" t="s">
        <v>63</v>
      </c>
      <c r="E134" s="1">
        <v>85004</v>
      </c>
      <c r="F134" s="1" t="s">
        <v>310</v>
      </c>
      <c r="G134" s="1" t="s">
        <v>303</v>
      </c>
      <c r="H134" s="4" t="s">
        <v>472</v>
      </c>
      <c r="I134" s="5" t="s">
        <v>288</v>
      </c>
      <c r="J134" s="5" t="s">
        <v>37</v>
      </c>
      <c r="K134" s="5" t="s">
        <v>37</v>
      </c>
      <c r="L134" s="5" t="s">
        <v>38</v>
      </c>
      <c r="M134" s="5" t="s">
        <v>37</v>
      </c>
      <c r="N134" s="5" t="s">
        <v>37</v>
      </c>
      <c r="O134" s="5" t="s">
        <v>38</v>
      </c>
      <c r="P134" s="5" t="s">
        <v>39</v>
      </c>
      <c r="Q134" s="2">
        <v>45968</v>
      </c>
      <c r="V13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 spans="1:22">
      <c r="A135" s="2">
        <v>45902</v>
      </c>
      <c r="B135" s="1" t="s">
        <v>473</v>
      </c>
      <c r="C135" s="1" t="s">
        <v>474</v>
      </c>
      <c r="D135" s="1" t="s">
        <v>169</v>
      </c>
      <c r="E135" s="1">
        <v>85395</v>
      </c>
      <c r="F135" s="1" t="s">
        <v>310</v>
      </c>
      <c r="G135" s="1" t="s">
        <v>303</v>
      </c>
      <c r="H135" s="4" t="s">
        <v>27</v>
      </c>
      <c r="V13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 spans="1:22">
      <c r="A136" s="2">
        <v>45902</v>
      </c>
      <c r="B136" s="1" t="s">
        <v>475</v>
      </c>
      <c r="C136" s="1" t="s">
        <v>476</v>
      </c>
      <c r="D136" s="1" t="s">
        <v>63</v>
      </c>
      <c r="E136" s="1">
        <v>85050</v>
      </c>
      <c r="F136" s="1" t="s">
        <v>31</v>
      </c>
      <c r="G136" s="1" t="s">
        <v>303</v>
      </c>
      <c r="H136" s="4" t="s">
        <v>477</v>
      </c>
      <c r="I136" s="5" t="s">
        <v>36</v>
      </c>
      <c r="J136" s="5" t="s">
        <v>37</v>
      </c>
      <c r="K136" s="5" t="s">
        <v>37</v>
      </c>
      <c r="L136" s="5" t="s">
        <v>38</v>
      </c>
      <c r="M136" s="5" t="s">
        <v>37</v>
      </c>
      <c r="N136" s="5" t="s">
        <v>37</v>
      </c>
      <c r="O136" s="5" t="s">
        <v>38</v>
      </c>
      <c r="P136" s="5" t="s">
        <v>39</v>
      </c>
      <c r="Q136" s="2">
        <v>45968</v>
      </c>
      <c r="V13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 spans="1:22">
      <c r="A137" s="2">
        <v>45902</v>
      </c>
      <c r="B137" s="1" t="s">
        <v>478</v>
      </c>
      <c r="C137" s="1" t="s">
        <v>479</v>
      </c>
      <c r="D137" s="1" t="s">
        <v>63</v>
      </c>
      <c r="E137" s="1">
        <v>85028</v>
      </c>
      <c r="F137" s="1" t="s">
        <v>310</v>
      </c>
      <c r="G137" s="1" t="s">
        <v>303</v>
      </c>
      <c r="H137" s="4" t="s">
        <v>27</v>
      </c>
      <c r="V13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 spans="1:22">
      <c r="A138" s="2">
        <v>45902</v>
      </c>
      <c r="B138" s="1" t="s">
        <v>480</v>
      </c>
      <c r="C138" s="1" t="s">
        <v>481</v>
      </c>
      <c r="D138" s="1" t="s">
        <v>63</v>
      </c>
      <c r="E138" s="1">
        <v>85083</v>
      </c>
      <c r="F138" s="1" t="s">
        <v>310</v>
      </c>
      <c r="G138" s="1" t="s">
        <v>303</v>
      </c>
      <c r="H138" s="4" t="s">
        <v>482</v>
      </c>
      <c r="I138" s="5" t="s">
        <v>46</v>
      </c>
      <c r="J138" s="5" t="s">
        <v>37</v>
      </c>
      <c r="K138" s="5" t="s">
        <v>37</v>
      </c>
      <c r="L138" s="7" t="s">
        <v>483</v>
      </c>
      <c r="M138" s="5" t="s">
        <v>37</v>
      </c>
      <c r="N138" s="5" t="s">
        <v>37</v>
      </c>
      <c r="O138" s="5" t="s">
        <v>38</v>
      </c>
      <c r="P138" s="2">
        <v>45939</v>
      </c>
      <c r="Q138" s="2">
        <v>45968</v>
      </c>
      <c r="R138" s="1" t="s">
        <v>484</v>
      </c>
      <c r="V13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 spans="1:22">
      <c r="A139" s="2">
        <v>45902</v>
      </c>
      <c r="B139" s="1" t="s">
        <v>485</v>
      </c>
      <c r="C139" s="1" t="s">
        <v>486</v>
      </c>
      <c r="D139" s="1" t="s">
        <v>63</v>
      </c>
      <c r="E139" s="1">
        <v>85013</v>
      </c>
      <c r="F139" s="1" t="s">
        <v>310</v>
      </c>
      <c r="G139" s="1" t="s">
        <v>303</v>
      </c>
      <c r="H139" s="4" t="s">
        <v>27</v>
      </c>
      <c r="V139"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 spans="1:22">
      <c r="A140" s="2">
        <v>45902</v>
      </c>
      <c r="B140" s="1" t="s">
        <v>487</v>
      </c>
      <c r="C140" s="1" t="s">
        <v>488</v>
      </c>
      <c r="D140" s="1" t="s">
        <v>63</v>
      </c>
      <c r="E140" s="1">
        <v>85013</v>
      </c>
      <c r="F140" s="1" t="s">
        <v>310</v>
      </c>
      <c r="G140" s="1" t="s">
        <v>303</v>
      </c>
      <c r="H140" s="4" t="s">
        <v>489</v>
      </c>
      <c r="I140" s="5" t="s">
        <v>126</v>
      </c>
      <c r="J140" s="5" t="s">
        <v>37</v>
      </c>
      <c r="K140" s="5" t="s">
        <v>37</v>
      </c>
      <c r="L140" s="5" t="s">
        <v>38</v>
      </c>
      <c r="M140" s="5" t="s">
        <v>37</v>
      </c>
      <c r="N140" s="5" t="s">
        <v>37</v>
      </c>
      <c r="O140" s="5" t="s">
        <v>38</v>
      </c>
      <c r="P140" s="5" t="s">
        <v>39</v>
      </c>
      <c r="Q140" s="2">
        <v>45968</v>
      </c>
      <c r="V140"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 spans="1:22">
      <c r="A141" s="14">
        <v>45902</v>
      </c>
      <c r="B141" s="1" t="s">
        <v>490</v>
      </c>
      <c r="C141" s="1" t="s">
        <v>491</v>
      </c>
      <c r="D141" s="1" t="s">
        <v>30</v>
      </c>
      <c r="E141" s="1" t="s">
        <v>30</v>
      </c>
      <c r="F141" s="1" t="s">
        <v>31</v>
      </c>
      <c r="G141" s="1" t="s">
        <v>303</v>
      </c>
      <c r="H141" s="4" t="s">
        <v>492</v>
      </c>
      <c r="I141" s="5" t="s">
        <v>126</v>
      </c>
      <c r="J141" s="5" t="s">
        <v>38</v>
      </c>
      <c r="K141" s="5" t="s">
        <v>37</v>
      </c>
      <c r="L141" s="5" t="s">
        <v>38</v>
      </c>
      <c r="M141" s="5" t="s">
        <v>37</v>
      </c>
      <c r="N141" s="5" t="s">
        <v>37</v>
      </c>
      <c r="O141" s="5" t="s">
        <v>38</v>
      </c>
      <c r="P141" s="5" t="s">
        <v>39</v>
      </c>
      <c r="Q141" s="2">
        <v>45968</v>
      </c>
      <c r="V141"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 spans="1:22">
      <c r="A142" s="2">
        <v>45902</v>
      </c>
      <c r="B142" s="1" t="s">
        <v>493</v>
      </c>
      <c r="C142" s="1" t="s">
        <v>333</v>
      </c>
      <c r="D142" s="1" t="s">
        <v>63</v>
      </c>
      <c r="E142" s="1">
        <v>85009</v>
      </c>
      <c r="F142" s="1" t="s">
        <v>31</v>
      </c>
      <c r="G142" s="1" t="s">
        <v>303</v>
      </c>
      <c r="H142" s="4" t="s">
        <v>494</v>
      </c>
      <c r="I142" s="5" t="s">
        <v>36</v>
      </c>
      <c r="J142" s="5" t="s">
        <v>37</v>
      </c>
      <c r="K142" s="5" t="s">
        <v>37</v>
      </c>
      <c r="L142" s="5" t="s">
        <v>38</v>
      </c>
      <c r="M142" s="5" t="s">
        <v>38</v>
      </c>
      <c r="N142" s="15">
        <v>942.59</v>
      </c>
      <c r="O142" s="5" t="s">
        <v>38</v>
      </c>
      <c r="P142" s="7"/>
      <c r="Q142" s="2">
        <v>45968</v>
      </c>
      <c r="R142" s="1" t="s">
        <v>495</v>
      </c>
      <c r="V142" s="46">
        <f>IF(
  OR(
    ISNUMBER(SEARCH("unable to locate acct", tblDocketedComments[[#This Row],[Docketed Consumer Comments]])),
    ISNUMBER(SEARCH("unknown", tblDocketedComments[[#This Row],[Docketed Consumer Comments]])),
    ISNUMBER(SEARCH("inactive", tblDocketedComments[[#This Row],[Docketed Consumer Comments]]))
  ),
  0,
  1
)</f>
        <v>1</v>
      </c>
    </row>
    <row r="143" spans="1:22" ht="11.25" customHeight="1">
      <c r="A143" s="2">
        <v>45902</v>
      </c>
      <c r="B143" s="1" t="s">
        <v>496</v>
      </c>
      <c r="C143" s="1" t="s">
        <v>497</v>
      </c>
      <c r="D143" s="1" t="s">
        <v>63</v>
      </c>
      <c r="E143" s="1">
        <v>85028</v>
      </c>
      <c r="F143" s="1" t="s">
        <v>310</v>
      </c>
      <c r="G143" s="1" t="s">
        <v>303</v>
      </c>
      <c r="H143" s="4" t="s">
        <v>27</v>
      </c>
      <c r="V143" s="46">
        <f>IF(
  OR(
    ISNUMBER(SEARCH("unable to locate acct", tblDocketedComments[[#This Row],[Docketed Consumer Comments]])),
    ISNUMBER(SEARCH("unknown", tblDocketedComments[[#This Row],[Docketed Consumer Comments]])),
    ISNUMBER(SEARCH("inactive", tblDocketedComments[[#This Row],[Docketed Consumer Comments]]))
  ),
  0,
  1
)</f>
        <v>1</v>
      </c>
    </row>
    <row r="144" spans="1:22">
      <c r="A144" s="2">
        <v>45902</v>
      </c>
      <c r="B144" s="1" t="s">
        <v>498</v>
      </c>
      <c r="C144" s="1" t="s">
        <v>443</v>
      </c>
      <c r="D144" s="1" t="s">
        <v>63</v>
      </c>
      <c r="E144" s="1">
        <v>85023</v>
      </c>
      <c r="F144" s="1" t="s">
        <v>310</v>
      </c>
      <c r="G144" s="1" t="s">
        <v>303</v>
      </c>
      <c r="H144" s="4" t="s">
        <v>27</v>
      </c>
      <c r="V144" s="46">
        <f>IF(
  OR(
    ISNUMBER(SEARCH("unable to locate acct", tblDocketedComments[[#This Row],[Docketed Consumer Comments]])),
    ISNUMBER(SEARCH("unknown", tblDocketedComments[[#This Row],[Docketed Consumer Comments]])),
    ISNUMBER(SEARCH("inactive", tblDocketedComments[[#This Row],[Docketed Consumer Comments]]))
  ),
  0,
  1
)</f>
        <v>1</v>
      </c>
    </row>
    <row r="145" spans="1:22">
      <c r="A145" s="2">
        <v>45903</v>
      </c>
      <c r="B145" s="1" t="s">
        <v>499</v>
      </c>
      <c r="C145" s="1" t="s">
        <v>334</v>
      </c>
      <c r="D145" s="1" t="s">
        <v>30</v>
      </c>
      <c r="E145" s="1" t="s">
        <v>30</v>
      </c>
      <c r="F145" s="1" t="s">
        <v>31</v>
      </c>
      <c r="G145" s="1" t="s">
        <v>500</v>
      </c>
      <c r="H145" s="4" t="s">
        <v>501</v>
      </c>
      <c r="I145" s="5" t="s">
        <v>36</v>
      </c>
      <c r="J145" s="5" t="s">
        <v>37</v>
      </c>
      <c r="K145" s="5" t="s">
        <v>37</v>
      </c>
      <c r="L145" s="5" t="s">
        <v>38</v>
      </c>
      <c r="M145" s="5" t="s">
        <v>37</v>
      </c>
      <c r="N145" s="5" t="s">
        <v>37</v>
      </c>
      <c r="O145" s="5" t="s">
        <v>38</v>
      </c>
      <c r="P145" s="5" t="s">
        <v>39</v>
      </c>
      <c r="Q145" s="2">
        <v>45968</v>
      </c>
      <c r="V145" s="46">
        <f>IF(
  OR(
    ISNUMBER(SEARCH("unable to locate acct", tblDocketedComments[[#This Row],[Docketed Consumer Comments]])),
    ISNUMBER(SEARCH("unknown", tblDocketedComments[[#This Row],[Docketed Consumer Comments]])),
    ISNUMBER(SEARCH("inactive", tblDocketedComments[[#This Row],[Docketed Consumer Comments]]))
  ),
  0,
  1
)</f>
        <v>1</v>
      </c>
    </row>
    <row r="146" spans="1:22">
      <c r="A146" s="2">
        <v>45903</v>
      </c>
      <c r="B146" s="1" t="s">
        <v>502</v>
      </c>
      <c r="C146" s="1" t="s">
        <v>503</v>
      </c>
      <c r="D146" s="1" t="s">
        <v>504</v>
      </c>
      <c r="E146" s="1">
        <v>86001</v>
      </c>
      <c r="F146" s="1" t="s">
        <v>505</v>
      </c>
      <c r="G146" s="1" t="s">
        <v>506</v>
      </c>
      <c r="H146" s="4" t="s">
        <v>507</v>
      </c>
      <c r="I146" s="5" t="s">
        <v>73</v>
      </c>
      <c r="J146" s="5" t="s">
        <v>37</v>
      </c>
      <c r="K146" s="5" t="s">
        <v>37</v>
      </c>
      <c r="L146" s="5" t="s">
        <v>38</v>
      </c>
      <c r="M146" s="5" t="s">
        <v>37</v>
      </c>
      <c r="N146" s="5" t="s">
        <v>37</v>
      </c>
      <c r="O146" s="5" t="s">
        <v>38</v>
      </c>
      <c r="P146" s="5" t="s">
        <v>39</v>
      </c>
      <c r="Q146" s="2">
        <v>45968</v>
      </c>
      <c r="V146" s="46">
        <f>IF(
  OR(
    ISNUMBER(SEARCH("unable to locate acct", tblDocketedComments[[#This Row],[Docketed Consumer Comments]])),
    ISNUMBER(SEARCH("unknown", tblDocketedComments[[#This Row],[Docketed Consumer Comments]])),
    ISNUMBER(SEARCH("inactive", tblDocketedComments[[#This Row],[Docketed Consumer Comments]]))
  ),
  0,
  1
)</f>
        <v>1</v>
      </c>
    </row>
    <row r="147" spans="1:22">
      <c r="A147" s="2">
        <v>45903</v>
      </c>
      <c r="B147" s="1" t="s">
        <v>508</v>
      </c>
      <c r="C147" s="1" t="s">
        <v>509</v>
      </c>
      <c r="D147" s="1" t="s">
        <v>24</v>
      </c>
      <c r="E147" s="1">
        <v>85308</v>
      </c>
      <c r="F147" s="1" t="s">
        <v>31</v>
      </c>
      <c r="G147" s="1" t="s">
        <v>506</v>
      </c>
      <c r="H147" s="4" t="s">
        <v>510</v>
      </c>
      <c r="I147" s="5" t="s">
        <v>196</v>
      </c>
      <c r="J147" s="5" t="s">
        <v>37</v>
      </c>
      <c r="K147" s="5" t="s">
        <v>37</v>
      </c>
      <c r="L147" s="7" t="s">
        <v>511</v>
      </c>
      <c r="M147" s="5" t="s">
        <v>37</v>
      </c>
      <c r="N147" s="5" t="s">
        <v>37</v>
      </c>
      <c r="O147" s="5" t="s">
        <v>38</v>
      </c>
      <c r="P147" s="2">
        <v>45932</v>
      </c>
      <c r="Q147" s="2">
        <v>45968</v>
      </c>
      <c r="R147" s="1" t="s">
        <v>512</v>
      </c>
      <c r="V147" s="46">
        <f>IF(
  OR(
    ISNUMBER(SEARCH("unable to locate acct", tblDocketedComments[[#This Row],[Docketed Consumer Comments]])),
    ISNUMBER(SEARCH("unknown", tblDocketedComments[[#This Row],[Docketed Consumer Comments]])),
    ISNUMBER(SEARCH("inactive", tblDocketedComments[[#This Row],[Docketed Consumer Comments]]))
  ),
  0,
  1
)</f>
        <v>1</v>
      </c>
    </row>
    <row r="148" spans="1:22">
      <c r="A148" s="2">
        <v>45903</v>
      </c>
      <c r="B148" s="1" t="s">
        <v>513</v>
      </c>
      <c r="C148" s="1" t="s">
        <v>369</v>
      </c>
      <c r="D148" s="1" t="s">
        <v>63</v>
      </c>
      <c r="E148" s="1">
        <v>85024</v>
      </c>
      <c r="F148" s="1" t="s">
        <v>310</v>
      </c>
      <c r="G148" s="1" t="s">
        <v>506</v>
      </c>
      <c r="H148" s="4" t="s">
        <v>514</v>
      </c>
      <c r="I148" s="5" t="s">
        <v>126</v>
      </c>
      <c r="J148" s="5" t="s">
        <v>37</v>
      </c>
      <c r="K148" s="5" t="s">
        <v>37</v>
      </c>
      <c r="L148" s="5" t="s">
        <v>38</v>
      </c>
      <c r="M148" s="5" t="s">
        <v>37</v>
      </c>
      <c r="N148" s="5" t="s">
        <v>37</v>
      </c>
      <c r="O148" s="5" t="s">
        <v>38</v>
      </c>
      <c r="P148" s="5" t="s">
        <v>39</v>
      </c>
      <c r="Q148" s="2">
        <v>45968</v>
      </c>
      <c r="V148" s="46">
        <f>IF(
  OR(
    ISNUMBER(SEARCH("unable to locate acct", tblDocketedComments[[#This Row],[Docketed Consumer Comments]])),
    ISNUMBER(SEARCH("unknown", tblDocketedComments[[#This Row],[Docketed Consumer Comments]])),
    ISNUMBER(SEARCH("inactive", tblDocketedComments[[#This Row],[Docketed Consumer Comments]]))
  ),
  0,
  1
)</f>
        <v>1</v>
      </c>
    </row>
    <row r="149" spans="1:22">
      <c r="A149" s="2">
        <v>45903</v>
      </c>
      <c r="B149" s="1" t="s">
        <v>515</v>
      </c>
      <c r="C149" s="1" t="s">
        <v>516</v>
      </c>
      <c r="D149" s="1" t="s">
        <v>202</v>
      </c>
      <c r="E149" s="1">
        <v>85383</v>
      </c>
      <c r="F149" s="1" t="s">
        <v>517</v>
      </c>
      <c r="G149" s="1" t="s">
        <v>506</v>
      </c>
      <c r="H149" s="4" t="s">
        <v>518</v>
      </c>
      <c r="I149" s="5" t="s">
        <v>196</v>
      </c>
      <c r="J149" s="5" t="s">
        <v>37</v>
      </c>
      <c r="K149" s="5" t="s">
        <v>37</v>
      </c>
      <c r="L149" s="7" t="s">
        <v>519</v>
      </c>
      <c r="M149" s="5" t="s">
        <v>37</v>
      </c>
      <c r="N149" s="5" t="s">
        <v>37</v>
      </c>
      <c r="O149" s="5" t="s">
        <v>38</v>
      </c>
      <c r="P149" s="2">
        <v>45932</v>
      </c>
      <c r="Q149" s="2">
        <v>45968</v>
      </c>
      <c r="R149" s="1" t="s">
        <v>520</v>
      </c>
      <c r="V149" s="46">
        <f>IF(
  OR(
    ISNUMBER(SEARCH("unable to locate acct", tblDocketedComments[[#This Row],[Docketed Consumer Comments]])),
    ISNUMBER(SEARCH("unknown", tblDocketedComments[[#This Row],[Docketed Consumer Comments]])),
    ISNUMBER(SEARCH("inactive", tblDocketedComments[[#This Row],[Docketed Consumer Comments]]))
  ),
  0,
  1
)</f>
        <v>1</v>
      </c>
    </row>
    <row r="150" spans="1:22">
      <c r="A150" s="2">
        <v>45903</v>
      </c>
      <c r="B150" s="1" t="s">
        <v>521</v>
      </c>
      <c r="C150" s="1" t="s">
        <v>522</v>
      </c>
      <c r="D150" s="1" t="s">
        <v>523</v>
      </c>
      <c r="E150" s="1">
        <v>85392</v>
      </c>
      <c r="F150" s="1" t="s">
        <v>31</v>
      </c>
      <c r="G150" s="1" t="s">
        <v>506</v>
      </c>
      <c r="H150" s="4" t="s">
        <v>524</v>
      </c>
      <c r="I150" s="5" t="s">
        <v>36</v>
      </c>
      <c r="J150" s="5" t="s">
        <v>37</v>
      </c>
      <c r="K150" s="5" t="s">
        <v>37</v>
      </c>
      <c r="L150" s="5" t="s">
        <v>38</v>
      </c>
      <c r="M150" s="5" t="s">
        <v>37</v>
      </c>
      <c r="N150" s="5" t="s">
        <v>37</v>
      </c>
      <c r="O150" s="5" t="s">
        <v>38</v>
      </c>
      <c r="P150" s="5" t="s">
        <v>39</v>
      </c>
      <c r="Q150" s="2">
        <v>45968</v>
      </c>
      <c r="R150" s="1" t="s">
        <v>525</v>
      </c>
      <c r="V150" s="46">
        <f>IF(
  OR(
    ISNUMBER(SEARCH("unable to locate acct", tblDocketedComments[[#This Row],[Docketed Consumer Comments]])),
    ISNUMBER(SEARCH("unknown", tblDocketedComments[[#This Row],[Docketed Consumer Comments]])),
    ISNUMBER(SEARCH("inactive", tblDocketedComments[[#This Row],[Docketed Consumer Comments]]))
  ),
  0,
  1
)</f>
        <v>1</v>
      </c>
    </row>
    <row r="151" spans="1:22">
      <c r="A151" s="2">
        <v>45903</v>
      </c>
      <c r="B151" s="1" t="s">
        <v>526</v>
      </c>
      <c r="C151" s="1" t="s">
        <v>133</v>
      </c>
      <c r="D151" s="1" t="s">
        <v>63</v>
      </c>
      <c r="E151" s="1">
        <v>85014</v>
      </c>
      <c r="F151" s="1" t="s">
        <v>310</v>
      </c>
      <c r="G151" s="1" t="s">
        <v>506</v>
      </c>
      <c r="H151" s="4" t="s">
        <v>209</v>
      </c>
      <c r="V151" s="46">
        <f>IF(
  OR(
    ISNUMBER(SEARCH("unable to locate acct", tblDocketedComments[[#This Row],[Docketed Consumer Comments]])),
    ISNUMBER(SEARCH("unknown", tblDocketedComments[[#This Row],[Docketed Consumer Comments]])),
    ISNUMBER(SEARCH("inactive", tblDocketedComments[[#This Row],[Docketed Consumer Comments]]))
  ),
  0,
  1
)</f>
        <v>1</v>
      </c>
    </row>
    <row r="152" spans="1:22">
      <c r="A152" s="2">
        <v>45903</v>
      </c>
      <c r="B152" s="1" t="s">
        <v>527</v>
      </c>
      <c r="C152" s="1" t="s">
        <v>471</v>
      </c>
      <c r="D152" s="1" t="s">
        <v>169</v>
      </c>
      <c r="E152" s="1">
        <v>85338</v>
      </c>
      <c r="F152" s="1" t="s">
        <v>31</v>
      </c>
      <c r="G152" s="1" t="s">
        <v>506</v>
      </c>
      <c r="H152" s="4" t="s">
        <v>27</v>
      </c>
      <c r="V152" s="46">
        <f>IF(
  OR(
    ISNUMBER(SEARCH("unable to locate acct", tblDocketedComments[[#This Row],[Docketed Consumer Comments]])),
    ISNUMBER(SEARCH("unknown", tblDocketedComments[[#This Row],[Docketed Consumer Comments]])),
    ISNUMBER(SEARCH("inactive", tblDocketedComments[[#This Row],[Docketed Consumer Comments]]))
  ),
  0,
  1
)</f>
        <v>1</v>
      </c>
    </row>
    <row r="153" spans="1:22">
      <c r="A153" s="2">
        <v>45903</v>
      </c>
      <c r="B153" s="1" t="s">
        <v>528</v>
      </c>
      <c r="C153" s="1" t="s">
        <v>529</v>
      </c>
      <c r="D153" s="1" t="s">
        <v>24</v>
      </c>
      <c r="E153" s="1">
        <v>85310</v>
      </c>
      <c r="F153" s="1" t="s">
        <v>310</v>
      </c>
      <c r="G153" s="1" t="s">
        <v>506</v>
      </c>
      <c r="H153" s="4" t="s">
        <v>530</v>
      </c>
      <c r="I153" s="5" t="s">
        <v>196</v>
      </c>
      <c r="J153" s="5" t="s">
        <v>37</v>
      </c>
      <c r="K153" s="5" t="s">
        <v>37</v>
      </c>
      <c r="L153" s="5" t="s">
        <v>38</v>
      </c>
      <c r="M153" s="5" t="s">
        <v>37</v>
      </c>
      <c r="N153" s="5" t="s">
        <v>37</v>
      </c>
      <c r="O153" s="5" t="s">
        <v>38</v>
      </c>
      <c r="P153" s="5" t="s">
        <v>39</v>
      </c>
      <c r="Q153" s="2">
        <v>45968</v>
      </c>
      <c r="V153" s="46">
        <f>IF(
  OR(
    ISNUMBER(SEARCH("unable to locate acct", tblDocketedComments[[#This Row],[Docketed Consumer Comments]])),
    ISNUMBER(SEARCH("unknown", tblDocketedComments[[#This Row],[Docketed Consumer Comments]])),
    ISNUMBER(SEARCH("inactive", tblDocketedComments[[#This Row],[Docketed Consumer Comments]]))
  ),
  0,
  1
)</f>
        <v>1</v>
      </c>
    </row>
    <row r="154" spans="1:22">
      <c r="A154" s="2">
        <v>45903</v>
      </c>
      <c r="B154" s="1" t="s">
        <v>531</v>
      </c>
      <c r="C154" s="1" t="s">
        <v>532</v>
      </c>
      <c r="D154" s="1" t="s">
        <v>169</v>
      </c>
      <c r="E154" s="1">
        <v>85395</v>
      </c>
      <c r="F154" s="1" t="s">
        <v>31</v>
      </c>
      <c r="G154" s="1" t="s">
        <v>506</v>
      </c>
      <c r="H154" s="4" t="s">
        <v>533</v>
      </c>
      <c r="I154" s="5" t="s">
        <v>36</v>
      </c>
      <c r="J154" s="5" t="s">
        <v>37</v>
      </c>
      <c r="K154" s="5" t="s">
        <v>37</v>
      </c>
      <c r="L154" s="5" t="s">
        <v>38</v>
      </c>
      <c r="M154" s="5" t="s">
        <v>37</v>
      </c>
      <c r="N154" s="5" t="s">
        <v>37</v>
      </c>
      <c r="O154" s="5" t="s">
        <v>38</v>
      </c>
      <c r="P154" s="5" t="s">
        <v>39</v>
      </c>
      <c r="Q154" s="2">
        <v>45968</v>
      </c>
      <c r="V154" s="46">
        <f>IF(
  OR(
    ISNUMBER(SEARCH("unable to locate acct", tblDocketedComments[[#This Row],[Docketed Consumer Comments]])),
    ISNUMBER(SEARCH("unknown", tblDocketedComments[[#This Row],[Docketed Consumer Comments]])),
    ISNUMBER(SEARCH("inactive", tblDocketedComments[[#This Row],[Docketed Consumer Comments]]))
  ),
  0,
  1
)</f>
        <v>1</v>
      </c>
    </row>
    <row r="155" spans="1:22">
      <c r="A155" s="2">
        <v>45903</v>
      </c>
      <c r="B155" s="1" t="s">
        <v>534</v>
      </c>
      <c r="C155" s="1" t="s">
        <v>535</v>
      </c>
      <c r="D155" s="1" t="s">
        <v>523</v>
      </c>
      <c r="E155" s="1">
        <v>85392</v>
      </c>
      <c r="F155" s="1" t="s">
        <v>31</v>
      </c>
      <c r="G155" s="1" t="s">
        <v>506</v>
      </c>
      <c r="H155" s="4" t="s">
        <v>536</v>
      </c>
      <c r="I155" s="5" t="s">
        <v>418</v>
      </c>
      <c r="J155" s="5" t="s">
        <v>37</v>
      </c>
      <c r="K155" s="5" t="s">
        <v>37</v>
      </c>
      <c r="L155" s="5" t="s">
        <v>389</v>
      </c>
      <c r="M155" s="5" t="s">
        <v>37</v>
      </c>
      <c r="N155" s="5" t="s">
        <v>37</v>
      </c>
      <c r="O155" s="5" t="s">
        <v>38</v>
      </c>
      <c r="P155" s="5" t="s">
        <v>39</v>
      </c>
      <c r="Q155" s="2">
        <v>45968</v>
      </c>
      <c r="V155" s="46">
        <f>IF(
  OR(
    ISNUMBER(SEARCH("unable to locate acct", tblDocketedComments[[#This Row],[Docketed Consumer Comments]])),
    ISNUMBER(SEARCH("unknown", tblDocketedComments[[#This Row],[Docketed Consumer Comments]])),
    ISNUMBER(SEARCH("inactive", tblDocketedComments[[#This Row],[Docketed Consumer Comments]]))
  ),
  0,
  1
)</f>
        <v>1</v>
      </c>
    </row>
    <row r="156" spans="1:22">
      <c r="A156" s="2">
        <v>45903</v>
      </c>
      <c r="B156" s="1" t="s">
        <v>537</v>
      </c>
      <c r="C156" s="1" t="s">
        <v>538</v>
      </c>
      <c r="D156" s="1" t="s">
        <v>539</v>
      </c>
      <c r="E156" s="1">
        <v>85194</v>
      </c>
      <c r="F156" s="1" t="s">
        <v>310</v>
      </c>
      <c r="G156" s="1" t="s">
        <v>506</v>
      </c>
      <c r="H156" s="4" t="s">
        <v>540</v>
      </c>
      <c r="I156" s="5" t="s">
        <v>541</v>
      </c>
      <c r="J156" s="5" t="s">
        <v>37</v>
      </c>
      <c r="K156" s="5" t="s">
        <v>37</v>
      </c>
      <c r="L156" s="5" t="s">
        <v>389</v>
      </c>
      <c r="M156" s="5" t="s">
        <v>37</v>
      </c>
      <c r="N156" s="5" t="s">
        <v>37</v>
      </c>
      <c r="O156" s="5" t="s">
        <v>38</v>
      </c>
      <c r="P156" s="5" t="s">
        <v>39</v>
      </c>
      <c r="Q156" s="2">
        <v>45968</v>
      </c>
      <c r="V156" s="46">
        <f>IF(
  OR(
    ISNUMBER(SEARCH("unable to locate acct", tblDocketedComments[[#This Row],[Docketed Consumer Comments]])),
    ISNUMBER(SEARCH("unknown", tblDocketedComments[[#This Row],[Docketed Consumer Comments]])),
    ISNUMBER(SEARCH("inactive", tblDocketedComments[[#This Row],[Docketed Consumer Comments]]))
  ),
  0,
  1
)</f>
        <v>1</v>
      </c>
    </row>
    <row r="157" spans="1:22">
      <c r="A157" s="2">
        <v>45903</v>
      </c>
      <c r="B157" s="1" t="s">
        <v>542</v>
      </c>
      <c r="C157" s="1" t="s">
        <v>543</v>
      </c>
      <c r="D157" s="1" t="s">
        <v>63</v>
      </c>
      <c r="E157" s="1">
        <v>85050</v>
      </c>
      <c r="F157" s="1" t="s">
        <v>310</v>
      </c>
      <c r="G157" s="1" t="s">
        <v>506</v>
      </c>
      <c r="H157" s="4" t="s">
        <v>544</v>
      </c>
      <c r="I157" s="5" t="s">
        <v>36</v>
      </c>
      <c r="J157" s="5" t="s">
        <v>37</v>
      </c>
      <c r="K157" s="5" t="s">
        <v>37</v>
      </c>
      <c r="L157" s="5" t="s">
        <v>38</v>
      </c>
      <c r="M157" s="5" t="s">
        <v>37</v>
      </c>
      <c r="N157" s="5" t="s">
        <v>37</v>
      </c>
      <c r="O157" s="5" t="s">
        <v>38</v>
      </c>
      <c r="P157" s="5" t="s">
        <v>39</v>
      </c>
      <c r="Q157" s="2">
        <v>45968</v>
      </c>
      <c r="V157" s="46">
        <f>IF(
  OR(
    ISNUMBER(SEARCH("unable to locate acct", tblDocketedComments[[#This Row],[Docketed Consumer Comments]])),
    ISNUMBER(SEARCH("unknown", tblDocketedComments[[#This Row],[Docketed Consumer Comments]])),
    ISNUMBER(SEARCH("inactive", tblDocketedComments[[#This Row],[Docketed Consumer Comments]]))
  ),
  0,
  1
)</f>
        <v>1</v>
      </c>
    </row>
    <row r="158" spans="1:22">
      <c r="A158" s="2">
        <v>45903</v>
      </c>
      <c r="B158" s="1" t="s">
        <v>545</v>
      </c>
      <c r="C158" s="1" t="s">
        <v>546</v>
      </c>
      <c r="D158" s="1" t="s">
        <v>63</v>
      </c>
      <c r="E158" s="1">
        <v>85022</v>
      </c>
      <c r="F158" s="1" t="s">
        <v>31</v>
      </c>
      <c r="G158" s="1" t="s">
        <v>506</v>
      </c>
      <c r="H158" s="4" t="s">
        <v>209</v>
      </c>
      <c r="O158" s="16"/>
      <c r="V158" s="46">
        <f>IF(
  OR(
    ISNUMBER(SEARCH("unable to locate acct", tblDocketedComments[[#This Row],[Docketed Consumer Comments]])),
    ISNUMBER(SEARCH("unknown", tblDocketedComments[[#This Row],[Docketed Consumer Comments]])),
    ISNUMBER(SEARCH("inactive", tblDocketedComments[[#This Row],[Docketed Consumer Comments]]))
  ),
  0,
  1
)</f>
        <v>1</v>
      </c>
    </row>
    <row r="159" spans="1:22">
      <c r="A159" s="2">
        <v>45903</v>
      </c>
      <c r="B159" s="1" t="s">
        <v>547</v>
      </c>
      <c r="C159" s="1" t="s">
        <v>548</v>
      </c>
      <c r="D159" s="1" t="s">
        <v>63</v>
      </c>
      <c r="E159" s="1">
        <v>85085</v>
      </c>
      <c r="F159" s="1" t="s">
        <v>31</v>
      </c>
      <c r="G159" s="1" t="s">
        <v>506</v>
      </c>
      <c r="H159" s="4" t="s">
        <v>27</v>
      </c>
      <c r="V159" s="46">
        <f>IF(
  OR(
    ISNUMBER(SEARCH("unable to locate acct", tblDocketedComments[[#This Row],[Docketed Consumer Comments]])),
    ISNUMBER(SEARCH("unknown", tblDocketedComments[[#This Row],[Docketed Consumer Comments]])),
    ISNUMBER(SEARCH("inactive", tblDocketedComments[[#This Row],[Docketed Consumer Comments]]))
  ),
  0,
  1
)</f>
        <v>1</v>
      </c>
    </row>
    <row r="160" spans="1:22">
      <c r="A160" s="2">
        <v>45903</v>
      </c>
      <c r="B160" s="1" t="s">
        <v>549</v>
      </c>
      <c r="C160" s="1" t="s">
        <v>550</v>
      </c>
      <c r="D160" s="1" t="s">
        <v>169</v>
      </c>
      <c r="E160" s="1">
        <v>85338</v>
      </c>
      <c r="F160" s="1" t="s">
        <v>31</v>
      </c>
      <c r="G160" s="1" t="s">
        <v>506</v>
      </c>
      <c r="H160" s="4" t="s">
        <v>551</v>
      </c>
      <c r="I160" s="5" t="s">
        <v>36</v>
      </c>
      <c r="J160" s="5" t="s">
        <v>37</v>
      </c>
      <c r="K160" s="5" t="s">
        <v>37</v>
      </c>
      <c r="L160" s="5" t="s">
        <v>38</v>
      </c>
      <c r="M160" s="5" t="s">
        <v>37</v>
      </c>
      <c r="N160" s="5" t="s">
        <v>37</v>
      </c>
      <c r="O160" s="5" t="s">
        <v>38</v>
      </c>
      <c r="P160" s="5" t="s">
        <v>39</v>
      </c>
      <c r="Q160" s="2">
        <v>45968</v>
      </c>
      <c r="V160" s="46">
        <f>IF(
  OR(
    ISNUMBER(SEARCH("unable to locate acct", tblDocketedComments[[#This Row],[Docketed Consumer Comments]])),
    ISNUMBER(SEARCH("unknown", tblDocketedComments[[#This Row],[Docketed Consumer Comments]])),
    ISNUMBER(SEARCH("inactive", tblDocketedComments[[#This Row],[Docketed Consumer Comments]]))
  ),
  0,
  1
)</f>
        <v>1</v>
      </c>
    </row>
    <row r="161" spans="1:22">
      <c r="A161" s="2">
        <v>45903</v>
      </c>
      <c r="B161" s="1" t="s">
        <v>552</v>
      </c>
      <c r="C161" s="1" t="s">
        <v>553</v>
      </c>
      <c r="D161" s="1" t="s">
        <v>63</v>
      </c>
      <c r="E161" s="1">
        <v>85012</v>
      </c>
      <c r="F161" s="1" t="s">
        <v>310</v>
      </c>
      <c r="G161" s="1" t="s">
        <v>506</v>
      </c>
      <c r="H161" s="4" t="s">
        <v>554</v>
      </c>
      <c r="I161" s="5" t="s">
        <v>36</v>
      </c>
      <c r="J161" s="5" t="s">
        <v>37</v>
      </c>
      <c r="K161" s="5" t="s">
        <v>37</v>
      </c>
      <c r="L161" s="5" t="s">
        <v>38</v>
      </c>
      <c r="M161" s="5" t="s">
        <v>37</v>
      </c>
      <c r="N161" s="5" t="s">
        <v>37</v>
      </c>
      <c r="O161" s="5" t="s">
        <v>38</v>
      </c>
      <c r="P161" s="5" t="s">
        <v>39</v>
      </c>
      <c r="Q161" s="2">
        <v>45968</v>
      </c>
      <c r="V161" s="46">
        <f>IF(
  OR(
    ISNUMBER(SEARCH("unable to locate acct", tblDocketedComments[[#This Row],[Docketed Consumer Comments]])),
    ISNUMBER(SEARCH("unknown", tblDocketedComments[[#This Row],[Docketed Consumer Comments]])),
    ISNUMBER(SEARCH("inactive", tblDocketedComments[[#This Row],[Docketed Consumer Comments]]))
  ),
  0,
  1
)</f>
        <v>1</v>
      </c>
    </row>
    <row r="162" spans="1:22">
      <c r="A162" s="2">
        <v>45903</v>
      </c>
      <c r="B162" s="1" t="s">
        <v>555</v>
      </c>
      <c r="C162" s="1" t="s">
        <v>556</v>
      </c>
      <c r="D162" s="1" t="s">
        <v>125</v>
      </c>
      <c r="E162" s="1">
        <v>85255</v>
      </c>
      <c r="F162" s="1" t="s">
        <v>31</v>
      </c>
      <c r="G162" s="1" t="s">
        <v>506</v>
      </c>
      <c r="H162" s="4" t="s">
        <v>27</v>
      </c>
      <c r="V162" s="46">
        <f>IF(
  OR(
    ISNUMBER(SEARCH("unable to locate acct", tblDocketedComments[[#This Row],[Docketed Consumer Comments]])),
    ISNUMBER(SEARCH("unknown", tblDocketedComments[[#This Row],[Docketed Consumer Comments]])),
    ISNUMBER(SEARCH("inactive", tblDocketedComments[[#This Row],[Docketed Consumer Comments]]))
  ),
  0,
  1
)</f>
        <v>1</v>
      </c>
    </row>
    <row r="163" spans="1:22">
      <c r="A163" s="2">
        <v>45903</v>
      </c>
      <c r="B163" s="1" t="s">
        <v>557</v>
      </c>
      <c r="C163" s="1" t="s">
        <v>558</v>
      </c>
      <c r="D163" s="1" t="s">
        <v>63</v>
      </c>
      <c r="E163" s="1">
        <v>85020</v>
      </c>
      <c r="F163" s="1" t="s">
        <v>310</v>
      </c>
      <c r="G163" s="1" t="s">
        <v>506</v>
      </c>
      <c r="H163" s="4" t="s">
        <v>559</v>
      </c>
      <c r="I163" s="5" t="s">
        <v>126</v>
      </c>
      <c r="J163" s="5" t="s">
        <v>37</v>
      </c>
      <c r="K163" s="5" t="s">
        <v>37</v>
      </c>
      <c r="L163" s="7" t="s">
        <v>560</v>
      </c>
      <c r="M163" s="5" t="s">
        <v>37</v>
      </c>
      <c r="N163" s="5" t="s">
        <v>37</v>
      </c>
      <c r="O163" s="5" t="s">
        <v>38</v>
      </c>
      <c r="P163" s="2">
        <v>45933</v>
      </c>
      <c r="Q163" s="2">
        <v>45968</v>
      </c>
      <c r="R163" s="1" t="s">
        <v>561</v>
      </c>
      <c r="V163" s="46">
        <f>IF(
  OR(
    ISNUMBER(SEARCH("unable to locate acct", tblDocketedComments[[#This Row],[Docketed Consumer Comments]])),
    ISNUMBER(SEARCH("unknown", tblDocketedComments[[#This Row],[Docketed Consumer Comments]])),
    ISNUMBER(SEARCH("inactive", tblDocketedComments[[#This Row],[Docketed Consumer Comments]]))
  ),
  0,
  1
)</f>
        <v>1</v>
      </c>
    </row>
    <row r="164" spans="1:22">
      <c r="A164" s="2">
        <v>45903</v>
      </c>
      <c r="B164" s="1" t="s">
        <v>562</v>
      </c>
      <c r="C164" s="1" t="s">
        <v>363</v>
      </c>
      <c r="D164" s="1" t="s">
        <v>63</v>
      </c>
      <c r="E164" s="1">
        <v>85023</v>
      </c>
      <c r="F164" s="1" t="s">
        <v>563</v>
      </c>
      <c r="G164" s="1" t="s">
        <v>506</v>
      </c>
      <c r="H164" s="4" t="s">
        <v>564</v>
      </c>
      <c r="I164" s="5" t="s">
        <v>36</v>
      </c>
      <c r="J164" s="5" t="s">
        <v>37</v>
      </c>
      <c r="K164" s="5" t="s">
        <v>37</v>
      </c>
      <c r="L164" s="5" t="s">
        <v>38</v>
      </c>
      <c r="M164" s="5" t="s">
        <v>37</v>
      </c>
      <c r="N164" s="5" t="s">
        <v>37</v>
      </c>
      <c r="O164" s="5" t="s">
        <v>38</v>
      </c>
      <c r="P164" s="5" t="s">
        <v>39</v>
      </c>
      <c r="Q164" s="2">
        <v>45968</v>
      </c>
      <c r="V164" s="46">
        <f>IF(
  OR(
    ISNUMBER(SEARCH("unable to locate acct", tblDocketedComments[[#This Row],[Docketed Consumer Comments]])),
    ISNUMBER(SEARCH("unknown", tblDocketedComments[[#This Row],[Docketed Consumer Comments]])),
    ISNUMBER(SEARCH("inactive", tblDocketedComments[[#This Row],[Docketed Consumer Comments]]))
  ),
  0,
  1
)</f>
        <v>1</v>
      </c>
    </row>
    <row r="165" spans="1:22">
      <c r="A165" s="2">
        <v>45903</v>
      </c>
      <c r="B165" s="1" t="s">
        <v>565</v>
      </c>
      <c r="C165" s="1" t="s">
        <v>256</v>
      </c>
      <c r="D165" s="1" t="s">
        <v>63</v>
      </c>
      <c r="E165" s="1">
        <v>85020</v>
      </c>
      <c r="F165" s="1" t="s">
        <v>310</v>
      </c>
      <c r="G165" s="1" t="s">
        <v>506</v>
      </c>
      <c r="H165" s="4" t="s">
        <v>566</v>
      </c>
      <c r="I165" s="5" t="s">
        <v>196</v>
      </c>
      <c r="J165" s="5" t="s">
        <v>37</v>
      </c>
      <c r="K165" s="5" t="s">
        <v>37</v>
      </c>
      <c r="L165" s="5" t="s">
        <v>38</v>
      </c>
      <c r="M165" s="5" t="s">
        <v>37</v>
      </c>
      <c r="N165" s="5" t="s">
        <v>37</v>
      </c>
      <c r="O165" s="5" t="s">
        <v>38</v>
      </c>
      <c r="P165" s="5" t="s">
        <v>39</v>
      </c>
      <c r="Q165" s="2">
        <v>45968</v>
      </c>
      <c r="V165" s="46">
        <f>IF(
  OR(
    ISNUMBER(SEARCH("unable to locate acct", tblDocketedComments[[#This Row],[Docketed Consumer Comments]])),
    ISNUMBER(SEARCH("unknown", tblDocketedComments[[#This Row],[Docketed Consumer Comments]])),
    ISNUMBER(SEARCH("inactive", tblDocketedComments[[#This Row],[Docketed Consumer Comments]]))
  ),
  0,
  1
)</f>
        <v>1</v>
      </c>
    </row>
    <row r="166" spans="1:22">
      <c r="A166" s="2">
        <v>45903</v>
      </c>
      <c r="B166" s="1" t="s">
        <v>567</v>
      </c>
      <c r="C166" s="1" t="s">
        <v>568</v>
      </c>
      <c r="D166" s="1" t="s">
        <v>63</v>
      </c>
      <c r="E166" s="1">
        <v>85004</v>
      </c>
      <c r="F166" s="1" t="s">
        <v>310</v>
      </c>
      <c r="G166" s="1" t="s">
        <v>506</v>
      </c>
      <c r="H166" s="4" t="s">
        <v>27</v>
      </c>
      <c r="V166" s="46">
        <f>IF(
  OR(
    ISNUMBER(SEARCH("unable to locate acct", tblDocketedComments[[#This Row],[Docketed Consumer Comments]])),
    ISNUMBER(SEARCH("unknown", tblDocketedComments[[#This Row],[Docketed Consumer Comments]])),
    ISNUMBER(SEARCH("inactive", tblDocketedComments[[#This Row],[Docketed Consumer Comments]]))
  ),
  0,
  1
)</f>
        <v>1</v>
      </c>
    </row>
    <row r="167" spans="1:22">
      <c r="A167" s="2">
        <v>45903</v>
      </c>
      <c r="B167" s="1" t="s">
        <v>569</v>
      </c>
      <c r="C167" s="1" t="s">
        <v>570</v>
      </c>
      <c r="D167" s="1" t="s">
        <v>202</v>
      </c>
      <c r="E167" s="1">
        <v>85383</v>
      </c>
      <c r="F167" s="1" t="s">
        <v>310</v>
      </c>
      <c r="G167" s="1" t="s">
        <v>506</v>
      </c>
      <c r="H167" s="4" t="s">
        <v>571</v>
      </c>
      <c r="I167" s="5" t="s">
        <v>36</v>
      </c>
      <c r="J167" s="5" t="s">
        <v>37</v>
      </c>
      <c r="K167" s="5" t="s">
        <v>37</v>
      </c>
      <c r="L167" s="5" t="s">
        <v>38</v>
      </c>
      <c r="M167" s="5" t="s">
        <v>37</v>
      </c>
      <c r="N167" s="5" t="s">
        <v>37</v>
      </c>
      <c r="O167" s="5" t="s">
        <v>38</v>
      </c>
      <c r="P167" s="5" t="s">
        <v>39</v>
      </c>
      <c r="Q167" s="2">
        <v>45968</v>
      </c>
      <c r="V167" s="46">
        <f>IF(
  OR(
    ISNUMBER(SEARCH("unable to locate acct", tblDocketedComments[[#This Row],[Docketed Consumer Comments]])),
    ISNUMBER(SEARCH("unknown", tblDocketedComments[[#This Row],[Docketed Consumer Comments]])),
    ISNUMBER(SEARCH("inactive", tblDocketedComments[[#This Row],[Docketed Consumer Comments]]))
  ),
  0,
  1
)</f>
        <v>1</v>
      </c>
    </row>
    <row r="168" spans="1:22">
      <c r="A168" s="2">
        <v>45903</v>
      </c>
      <c r="B168" s="1" t="s">
        <v>572</v>
      </c>
      <c r="C168" s="1" t="s">
        <v>573</v>
      </c>
      <c r="D168" s="1" t="s">
        <v>63</v>
      </c>
      <c r="E168" s="1">
        <v>85024</v>
      </c>
      <c r="F168" s="1" t="s">
        <v>310</v>
      </c>
      <c r="G168" s="1" t="s">
        <v>506</v>
      </c>
      <c r="H168" s="4" t="s">
        <v>574</v>
      </c>
      <c r="I168" s="5" t="s">
        <v>196</v>
      </c>
      <c r="J168" s="5" t="s">
        <v>37</v>
      </c>
      <c r="K168" s="5" t="s">
        <v>37</v>
      </c>
      <c r="L168" s="5" t="s">
        <v>38</v>
      </c>
      <c r="M168" s="5" t="s">
        <v>37</v>
      </c>
      <c r="N168" s="5" t="s">
        <v>37</v>
      </c>
      <c r="O168" s="5" t="s">
        <v>38</v>
      </c>
      <c r="P168" s="5" t="s">
        <v>39</v>
      </c>
      <c r="Q168" s="2">
        <v>45968</v>
      </c>
      <c r="V168" s="46">
        <f>IF(
  OR(
    ISNUMBER(SEARCH("unable to locate acct", tblDocketedComments[[#This Row],[Docketed Consumer Comments]])),
    ISNUMBER(SEARCH("unknown", tblDocketedComments[[#This Row],[Docketed Consumer Comments]])),
    ISNUMBER(SEARCH("inactive", tblDocketedComments[[#This Row],[Docketed Consumer Comments]]))
  ),
  0,
  1
)</f>
        <v>1</v>
      </c>
    </row>
    <row r="169" spans="1:22">
      <c r="A169" s="2">
        <v>45903</v>
      </c>
      <c r="B169" s="1" t="s">
        <v>575</v>
      </c>
      <c r="C169" s="1" t="s">
        <v>134</v>
      </c>
      <c r="D169" s="1" t="s">
        <v>63</v>
      </c>
      <c r="E169" s="1">
        <v>85004</v>
      </c>
      <c r="F169" s="1" t="s">
        <v>310</v>
      </c>
      <c r="G169" s="1" t="s">
        <v>506</v>
      </c>
      <c r="H169" s="4" t="s">
        <v>576</v>
      </c>
      <c r="I169" s="5" t="s">
        <v>73</v>
      </c>
      <c r="J169" s="5" t="s">
        <v>37</v>
      </c>
      <c r="K169" s="5" t="s">
        <v>37</v>
      </c>
      <c r="L169" s="5" t="s">
        <v>38</v>
      </c>
      <c r="M169" s="5" t="s">
        <v>37</v>
      </c>
      <c r="N169" s="5" t="s">
        <v>37</v>
      </c>
      <c r="O169" s="5" t="s">
        <v>38</v>
      </c>
      <c r="P169" s="5" t="s">
        <v>39</v>
      </c>
      <c r="Q169" s="2">
        <v>45968</v>
      </c>
      <c r="V169" s="46">
        <f>IF(
  OR(
    ISNUMBER(SEARCH("unable to locate acct", tblDocketedComments[[#This Row],[Docketed Consumer Comments]])),
    ISNUMBER(SEARCH("unknown", tblDocketedComments[[#This Row],[Docketed Consumer Comments]])),
    ISNUMBER(SEARCH("inactive", tblDocketedComments[[#This Row],[Docketed Consumer Comments]]))
  ),
  0,
  1
)</f>
        <v>1</v>
      </c>
    </row>
    <row r="170" spans="1:22">
      <c r="A170" s="2">
        <v>45903</v>
      </c>
      <c r="B170" s="1" t="s">
        <v>577</v>
      </c>
      <c r="C170" s="1" t="s">
        <v>578</v>
      </c>
      <c r="D170" s="1" t="s">
        <v>125</v>
      </c>
      <c r="E170" s="1">
        <v>85260</v>
      </c>
      <c r="F170" s="1" t="s">
        <v>579</v>
      </c>
      <c r="G170" s="1" t="s">
        <v>506</v>
      </c>
      <c r="H170" s="4" t="s">
        <v>580</v>
      </c>
      <c r="I170" s="5" t="s">
        <v>196</v>
      </c>
      <c r="J170" s="5" t="s">
        <v>37</v>
      </c>
      <c r="K170" s="5" t="s">
        <v>37</v>
      </c>
      <c r="L170" s="5" t="s">
        <v>38</v>
      </c>
      <c r="M170" s="5" t="s">
        <v>37</v>
      </c>
      <c r="N170" s="5" t="s">
        <v>37</v>
      </c>
      <c r="O170" s="5" t="s">
        <v>38</v>
      </c>
      <c r="P170" s="5" t="s">
        <v>39</v>
      </c>
      <c r="Q170" s="2">
        <v>45968</v>
      </c>
      <c r="V170" s="46">
        <f>IF(
  OR(
    ISNUMBER(SEARCH("unable to locate acct", tblDocketedComments[[#This Row],[Docketed Consumer Comments]])),
    ISNUMBER(SEARCH("unknown", tblDocketedComments[[#This Row],[Docketed Consumer Comments]])),
    ISNUMBER(SEARCH("inactive", tblDocketedComments[[#This Row],[Docketed Consumer Comments]]))
  ),
  0,
  1
)</f>
        <v>1</v>
      </c>
    </row>
    <row r="171" spans="1:22">
      <c r="A171" s="2">
        <v>45903</v>
      </c>
      <c r="B171" s="1" t="s">
        <v>581</v>
      </c>
      <c r="C171" s="1" t="s">
        <v>550</v>
      </c>
      <c r="D171" s="1" t="s">
        <v>63</v>
      </c>
      <c r="E171" s="1">
        <v>85015</v>
      </c>
      <c r="F171" s="1" t="s">
        <v>310</v>
      </c>
      <c r="G171" s="1" t="s">
        <v>506</v>
      </c>
      <c r="H171" s="4" t="s">
        <v>582</v>
      </c>
      <c r="I171" s="5" t="s">
        <v>57</v>
      </c>
      <c r="J171" s="5" t="s">
        <v>37</v>
      </c>
      <c r="K171" s="5" t="s">
        <v>37</v>
      </c>
      <c r="L171" s="5" t="s">
        <v>583</v>
      </c>
      <c r="M171" s="5" t="s">
        <v>37</v>
      </c>
      <c r="N171" s="5" t="s">
        <v>37</v>
      </c>
      <c r="O171" s="5" t="s">
        <v>38</v>
      </c>
      <c r="P171" s="5" t="s">
        <v>39</v>
      </c>
      <c r="Q171" s="2">
        <v>45968</v>
      </c>
      <c r="V171" s="46">
        <f>IF(
  OR(
    ISNUMBER(SEARCH("unable to locate acct", tblDocketedComments[[#This Row],[Docketed Consumer Comments]])),
    ISNUMBER(SEARCH("unknown", tblDocketedComments[[#This Row],[Docketed Consumer Comments]])),
    ISNUMBER(SEARCH("inactive", tblDocketedComments[[#This Row],[Docketed Consumer Comments]]))
  ),
  0,
  1
)</f>
        <v>1</v>
      </c>
    </row>
    <row r="172" spans="1:22">
      <c r="A172" s="2">
        <v>45903</v>
      </c>
      <c r="B172" s="1" t="s">
        <v>584</v>
      </c>
      <c r="C172" s="1" t="s">
        <v>585</v>
      </c>
      <c r="D172" s="1" t="s">
        <v>63</v>
      </c>
      <c r="E172" s="1">
        <v>85016</v>
      </c>
      <c r="F172" s="1" t="s">
        <v>310</v>
      </c>
      <c r="G172" s="1" t="s">
        <v>506</v>
      </c>
      <c r="H172" s="4" t="s">
        <v>27</v>
      </c>
      <c r="V172" s="46">
        <f>IF(
  OR(
    ISNUMBER(SEARCH("unable to locate acct", tblDocketedComments[[#This Row],[Docketed Consumer Comments]])),
    ISNUMBER(SEARCH("unknown", tblDocketedComments[[#This Row],[Docketed Consumer Comments]])),
    ISNUMBER(SEARCH("inactive", tblDocketedComments[[#This Row],[Docketed Consumer Comments]]))
  ),
  0,
  1
)</f>
        <v>1</v>
      </c>
    </row>
    <row r="173" spans="1:22">
      <c r="A173" s="2">
        <v>45903</v>
      </c>
      <c r="B173" s="1" t="s">
        <v>586</v>
      </c>
      <c r="C173" s="1" t="s">
        <v>587</v>
      </c>
      <c r="D173" s="1" t="s">
        <v>63</v>
      </c>
      <c r="E173" s="1">
        <v>85028</v>
      </c>
      <c r="F173" s="1" t="s">
        <v>588</v>
      </c>
      <c r="G173" s="1" t="s">
        <v>506</v>
      </c>
      <c r="H173" s="4" t="s">
        <v>589</v>
      </c>
      <c r="I173" s="5" t="s">
        <v>36</v>
      </c>
      <c r="J173" s="5" t="s">
        <v>37</v>
      </c>
      <c r="K173" s="5" t="s">
        <v>37</v>
      </c>
      <c r="L173" s="5" t="s">
        <v>38</v>
      </c>
      <c r="M173" s="5" t="s">
        <v>37</v>
      </c>
      <c r="N173" s="5" t="s">
        <v>37</v>
      </c>
      <c r="O173" s="5" t="s">
        <v>38</v>
      </c>
      <c r="P173" s="5" t="s">
        <v>39</v>
      </c>
      <c r="Q173" s="2">
        <v>45968</v>
      </c>
      <c r="V173" s="46">
        <f>IF(
  OR(
    ISNUMBER(SEARCH("unable to locate acct", tblDocketedComments[[#This Row],[Docketed Consumer Comments]])),
    ISNUMBER(SEARCH("unknown", tblDocketedComments[[#This Row],[Docketed Consumer Comments]])),
    ISNUMBER(SEARCH("inactive", tblDocketedComments[[#This Row],[Docketed Consumer Comments]]))
  ),
  0,
  1
)</f>
        <v>1</v>
      </c>
    </row>
    <row r="174" spans="1:22">
      <c r="A174" s="2">
        <v>45903</v>
      </c>
      <c r="B174" s="1" t="s">
        <v>590</v>
      </c>
      <c r="C174" s="1" t="s">
        <v>591</v>
      </c>
      <c r="D174" s="1" t="s">
        <v>240</v>
      </c>
      <c r="E174" s="1">
        <v>85340</v>
      </c>
      <c r="F174" s="1" t="s">
        <v>31</v>
      </c>
      <c r="G174" s="1" t="s">
        <v>506</v>
      </c>
      <c r="H174" s="4" t="s">
        <v>592</v>
      </c>
      <c r="I174" s="5" t="s">
        <v>36</v>
      </c>
      <c r="J174" s="5" t="s">
        <v>37</v>
      </c>
      <c r="K174" s="5" t="s">
        <v>37</v>
      </c>
      <c r="L174" s="5" t="s">
        <v>38</v>
      </c>
      <c r="M174" s="5" t="s">
        <v>37</v>
      </c>
      <c r="N174" s="5" t="s">
        <v>37</v>
      </c>
      <c r="O174" s="5" t="s">
        <v>38</v>
      </c>
      <c r="P174" s="5" t="s">
        <v>39</v>
      </c>
      <c r="Q174" s="2">
        <v>45968</v>
      </c>
      <c r="V174" s="46">
        <f>IF(
  OR(
    ISNUMBER(SEARCH("unable to locate acct", tblDocketedComments[[#This Row],[Docketed Consumer Comments]])),
    ISNUMBER(SEARCH("unknown", tblDocketedComments[[#This Row],[Docketed Consumer Comments]])),
    ISNUMBER(SEARCH("inactive", tblDocketedComments[[#This Row],[Docketed Consumer Comments]]))
  ),
  0,
  1
)</f>
        <v>1</v>
      </c>
    </row>
    <row r="175" spans="1:22">
      <c r="A175" s="2">
        <v>45903</v>
      </c>
      <c r="B175" s="1" t="s">
        <v>593</v>
      </c>
      <c r="C175" s="1" t="s">
        <v>594</v>
      </c>
      <c r="D175" s="1" t="s">
        <v>63</v>
      </c>
      <c r="E175" s="1">
        <v>85024</v>
      </c>
      <c r="F175" s="1" t="s">
        <v>310</v>
      </c>
      <c r="G175" s="1" t="s">
        <v>506</v>
      </c>
      <c r="H175" s="4" t="s">
        <v>595</v>
      </c>
      <c r="I175" s="5" t="s">
        <v>36</v>
      </c>
      <c r="J175" s="5" t="s">
        <v>37</v>
      </c>
      <c r="K175" s="5" t="s">
        <v>37</v>
      </c>
      <c r="L175" s="5" t="s">
        <v>38</v>
      </c>
      <c r="M175" s="5" t="s">
        <v>37</v>
      </c>
      <c r="N175" s="5" t="s">
        <v>37</v>
      </c>
      <c r="O175" s="5" t="s">
        <v>38</v>
      </c>
      <c r="P175" s="5" t="s">
        <v>39</v>
      </c>
      <c r="Q175" s="2">
        <v>45968</v>
      </c>
      <c r="V175" s="46">
        <f>IF(
  OR(
    ISNUMBER(SEARCH("unable to locate acct", tblDocketedComments[[#This Row],[Docketed Consumer Comments]])),
    ISNUMBER(SEARCH("unknown", tblDocketedComments[[#This Row],[Docketed Consumer Comments]])),
    ISNUMBER(SEARCH("inactive", tblDocketedComments[[#This Row],[Docketed Consumer Comments]]))
  ),
  0,
  1
)</f>
        <v>1</v>
      </c>
    </row>
    <row r="176" spans="1:22">
      <c r="A176" s="2">
        <v>45903</v>
      </c>
      <c r="B176" s="1" t="s">
        <v>596</v>
      </c>
      <c r="C176" s="1" t="s">
        <v>597</v>
      </c>
      <c r="D176" s="1" t="s">
        <v>240</v>
      </c>
      <c r="E176" s="1">
        <v>85340</v>
      </c>
      <c r="F176" s="1" t="s">
        <v>598</v>
      </c>
      <c r="G176" s="1" t="s">
        <v>506</v>
      </c>
      <c r="H176" s="4" t="s">
        <v>599</v>
      </c>
      <c r="I176" s="5" t="s">
        <v>126</v>
      </c>
      <c r="J176" s="5" t="s">
        <v>37</v>
      </c>
      <c r="K176" s="5" t="s">
        <v>37</v>
      </c>
      <c r="L176" s="5" t="s">
        <v>38</v>
      </c>
      <c r="M176" s="5" t="s">
        <v>37</v>
      </c>
      <c r="N176" s="5" t="s">
        <v>37</v>
      </c>
      <c r="O176" s="5" t="s">
        <v>38</v>
      </c>
      <c r="P176" s="5" t="s">
        <v>39</v>
      </c>
      <c r="Q176" s="2">
        <v>45968</v>
      </c>
      <c r="V176" s="46">
        <f>IF(
  OR(
    ISNUMBER(SEARCH("unable to locate acct", tblDocketedComments[[#This Row],[Docketed Consumer Comments]])),
    ISNUMBER(SEARCH("unknown", tblDocketedComments[[#This Row],[Docketed Consumer Comments]])),
    ISNUMBER(SEARCH("inactive", tblDocketedComments[[#This Row],[Docketed Consumer Comments]]))
  ),
  0,
  1
)</f>
        <v>1</v>
      </c>
    </row>
    <row r="177" spans="1:22">
      <c r="A177" s="2">
        <v>45903</v>
      </c>
      <c r="B177" s="1" t="s">
        <v>600</v>
      </c>
      <c r="C177" s="1" t="s">
        <v>601</v>
      </c>
      <c r="D177" s="1" t="s">
        <v>63</v>
      </c>
      <c r="E177" s="1">
        <v>85022</v>
      </c>
      <c r="F177" s="1" t="s">
        <v>310</v>
      </c>
      <c r="G177" s="1" t="s">
        <v>506</v>
      </c>
      <c r="H177" s="4" t="s">
        <v>602</v>
      </c>
      <c r="I177" s="5" t="s">
        <v>196</v>
      </c>
      <c r="J177" s="5" t="s">
        <v>37</v>
      </c>
      <c r="K177" s="5" t="s">
        <v>37</v>
      </c>
      <c r="L177" s="5" t="s">
        <v>603</v>
      </c>
      <c r="M177" s="5" t="s">
        <v>37</v>
      </c>
      <c r="N177" s="5" t="s">
        <v>37</v>
      </c>
      <c r="O177" s="5" t="s">
        <v>38</v>
      </c>
      <c r="P177" s="2">
        <v>45933</v>
      </c>
      <c r="Q177" s="2">
        <v>45968</v>
      </c>
      <c r="R177" s="1" t="s">
        <v>561</v>
      </c>
      <c r="V177" s="46">
        <f>IF(
  OR(
    ISNUMBER(SEARCH("unable to locate acct", tblDocketedComments[[#This Row],[Docketed Consumer Comments]])),
    ISNUMBER(SEARCH("unknown", tblDocketedComments[[#This Row],[Docketed Consumer Comments]])),
    ISNUMBER(SEARCH("inactive", tblDocketedComments[[#This Row],[Docketed Consumer Comments]]))
  ),
  0,
  1
)</f>
        <v>1</v>
      </c>
    </row>
    <row r="178" spans="1:22">
      <c r="A178" s="2">
        <v>45903</v>
      </c>
      <c r="B178" s="1" t="s">
        <v>604</v>
      </c>
      <c r="C178" s="1" t="s">
        <v>420</v>
      </c>
      <c r="D178" s="1" t="s">
        <v>24</v>
      </c>
      <c r="E178" s="1">
        <v>85308</v>
      </c>
      <c r="F178" s="1" t="s">
        <v>310</v>
      </c>
      <c r="G178" s="1" t="s">
        <v>506</v>
      </c>
      <c r="H178" s="4">
        <v>8043001000</v>
      </c>
      <c r="I178" s="5" t="s">
        <v>73</v>
      </c>
      <c r="J178" s="5" t="s">
        <v>37</v>
      </c>
      <c r="L178" s="5" t="s">
        <v>38</v>
      </c>
      <c r="O178" s="5" t="s">
        <v>38</v>
      </c>
      <c r="P178" s="5" t="s">
        <v>39</v>
      </c>
      <c r="V178" s="46">
        <f>IF(
  OR(
    ISNUMBER(SEARCH("unable to locate acct", tblDocketedComments[[#This Row],[Docketed Consumer Comments]])),
    ISNUMBER(SEARCH("unknown", tblDocketedComments[[#This Row],[Docketed Consumer Comments]])),
    ISNUMBER(SEARCH("inactive", tblDocketedComments[[#This Row],[Docketed Consumer Comments]]))
  ),
  0,
  1
)</f>
        <v>1</v>
      </c>
    </row>
    <row r="179" spans="1:22">
      <c r="A179" s="2">
        <v>45903</v>
      </c>
      <c r="B179" s="1" t="s">
        <v>605</v>
      </c>
      <c r="C179" s="1" t="s">
        <v>606</v>
      </c>
      <c r="D179" s="1" t="s">
        <v>63</v>
      </c>
      <c r="E179" s="1">
        <v>85022</v>
      </c>
      <c r="F179" s="1" t="s">
        <v>607</v>
      </c>
      <c r="G179" s="1" t="s">
        <v>506</v>
      </c>
      <c r="H179" s="4" t="s">
        <v>608</v>
      </c>
      <c r="I179" s="5" t="s">
        <v>57</v>
      </c>
      <c r="J179" s="5" t="s">
        <v>37</v>
      </c>
      <c r="K179" s="5" t="s">
        <v>37</v>
      </c>
      <c r="L179" s="7" t="s">
        <v>609</v>
      </c>
      <c r="M179" s="5" t="s">
        <v>37</v>
      </c>
      <c r="N179" s="5" t="s">
        <v>37</v>
      </c>
      <c r="O179" s="5" t="s">
        <v>38</v>
      </c>
      <c r="P179" s="2">
        <v>45933</v>
      </c>
      <c r="Q179" s="2">
        <v>45968</v>
      </c>
      <c r="R179" s="1" t="s">
        <v>610</v>
      </c>
      <c r="V179" s="46">
        <f>IF(
  OR(
    ISNUMBER(SEARCH("unable to locate acct", tblDocketedComments[[#This Row],[Docketed Consumer Comments]])),
    ISNUMBER(SEARCH("unknown", tblDocketedComments[[#This Row],[Docketed Consumer Comments]])),
    ISNUMBER(SEARCH("inactive", tblDocketedComments[[#This Row],[Docketed Consumer Comments]]))
  ),
  0,
  1
)</f>
        <v>1</v>
      </c>
    </row>
    <row r="180" spans="1:22">
      <c r="A180" s="2">
        <v>45903</v>
      </c>
      <c r="B180" s="1" t="s">
        <v>447</v>
      </c>
      <c r="C180" s="1" t="s">
        <v>611</v>
      </c>
      <c r="D180" s="1" t="s">
        <v>504</v>
      </c>
      <c r="E180" s="1">
        <v>86001</v>
      </c>
      <c r="F180" s="1" t="s">
        <v>31</v>
      </c>
      <c r="G180" s="1" t="s">
        <v>506</v>
      </c>
      <c r="H180" s="4" t="s">
        <v>612</v>
      </c>
      <c r="I180" s="5" t="s">
        <v>126</v>
      </c>
      <c r="J180" s="5" t="s">
        <v>37</v>
      </c>
      <c r="K180" s="5" t="s">
        <v>37</v>
      </c>
      <c r="L180" s="7" t="s">
        <v>613</v>
      </c>
      <c r="M180" s="5" t="s">
        <v>37</v>
      </c>
      <c r="N180" s="5" t="s">
        <v>37</v>
      </c>
      <c r="O180" s="5" t="s">
        <v>38</v>
      </c>
      <c r="P180" s="2">
        <v>45933</v>
      </c>
      <c r="Q180" s="2">
        <v>45968</v>
      </c>
      <c r="R180" s="1" t="s">
        <v>561</v>
      </c>
      <c r="V180" s="46">
        <f>IF(
  OR(
    ISNUMBER(SEARCH("unable to locate acct", tblDocketedComments[[#This Row],[Docketed Consumer Comments]])),
    ISNUMBER(SEARCH("unknown", tblDocketedComments[[#This Row],[Docketed Consumer Comments]])),
    ISNUMBER(SEARCH("inactive", tblDocketedComments[[#This Row],[Docketed Consumer Comments]]))
  ),
  0,
  1
)</f>
        <v>1</v>
      </c>
    </row>
    <row r="181" spans="1:22">
      <c r="A181" s="2">
        <v>45903</v>
      </c>
      <c r="B181" s="1" t="s">
        <v>614</v>
      </c>
      <c r="C181" s="1" t="s">
        <v>553</v>
      </c>
      <c r="D181" s="1" t="s">
        <v>63</v>
      </c>
      <c r="E181" s="1">
        <v>85014</v>
      </c>
      <c r="F181" s="1" t="s">
        <v>615</v>
      </c>
      <c r="G181" s="1" t="s">
        <v>506</v>
      </c>
      <c r="H181" s="4" t="s">
        <v>616</v>
      </c>
      <c r="I181" s="5" t="s">
        <v>73</v>
      </c>
      <c r="J181" s="5" t="s">
        <v>37</v>
      </c>
      <c r="K181" s="5" t="s">
        <v>37</v>
      </c>
      <c r="L181" s="5" t="s">
        <v>38</v>
      </c>
      <c r="M181" s="5" t="s">
        <v>37</v>
      </c>
      <c r="N181" s="5" t="s">
        <v>37</v>
      </c>
      <c r="O181" s="5" t="s">
        <v>38</v>
      </c>
      <c r="P181" s="5" t="s">
        <v>39</v>
      </c>
      <c r="Q181" s="2">
        <v>45968</v>
      </c>
      <c r="V181" s="46">
        <f>IF(
  OR(
    ISNUMBER(SEARCH("unable to locate acct", tblDocketedComments[[#This Row],[Docketed Consumer Comments]])),
    ISNUMBER(SEARCH("unknown", tblDocketedComments[[#This Row],[Docketed Consumer Comments]])),
    ISNUMBER(SEARCH("inactive", tblDocketedComments[[#This Row],[Docketed Consumer Comments]]))
  ),
  0,
  1
)</f>
        <v>1</v>
      </c>
    </row>
    <row r="182" spans="1:22">
      <c r="A182" s="2">
        <v>45903</v>
      </c>
      <c r="B182" s="1" t="s">
        <v>617</v>
      </c>
      <c r="C182" s="1" t="s">
        <v>618</v>
      </c>
      <c r="D182" s="1" t="s">
        <v>619</v>
      </c>
      <c r="E182" s="1">
        <v>85365</v>
      </c>
      <c r="F182" s="1" t="s">
        <v>310</v>
      </c>
      <c r="G182" s="1" t="s">
        <v>506</v>
      </c>
      <c r="H182" s="4" t="s">
        <v>620</v>
      </c>
      <c r="I182" s="5" t="s">
        <v>196</v>
      </c>
      <c r="J182" s="5" t="s">
        <v>37</v>
      </c>
      <c r="K182" s="5" t="s">
        <v>37</v>
      </c>
      <c r="L182" s="5" t="s">
        <v>621</v>
      </c>
      <c r="M182" s="5" t="s">
        <v>37</v>
      </c>
      <c r="N182" s="5" t="s">
        <v>37</v>
      </c>
      <c r="O182" s="5" t="s">
        <v>38</v>
      </c>
      <c r="P182" s="5" t="s">
        <v>39</v>
      </c>
      <c r="Q182" s="2">
        <v>45968</v>
      </c>
      <c r="R182" s="1" t="s">
        <v>622</v>
      </c>
      <c r="V182" s="46">
        <f>IF(
  OR(
    ISNUMBER(SEARCH("unable to locate acct", tblDocketedComments[[#This Row],[Docketed Consumer Comments]])),
    ISNUMBER(SEARCH("unknown", tblDocketedComments[[#This Row],[Docketed Consumer Comments]])),
    ISNUMBER(SEARCH("inactive", tblDocketedComments[[#This Row],[Docketed Consumer Comments]]))
  ),
  0,
  1
)</f>
        <v>1</v>
      </c>
    </row>
    <row r="183" spans="1:22">
      <c r="A183" s="2">
        <v>45903</v>
      </c>
      <c r="B183" s="1" t="s">
        <v>623</v>
      </c>
      <c r="C183" s="1" t="s">
        <v>624</v>
      </c>
      <c r="D183" s="1" t="s">
        <v>63</v>
      </c>
      <c r="E183" s="1">
        <v>85013</v>
      </c>
      <c r="F183" s="1" t="s">
        <v>310</v>
      </c>
      <c r="G183" s="1" t="s">
        <v>506</v>
      </c>
      <c r="H183" s="4" t="s">
        <v>27</v>
      </c>
      <c r="V183" s="46">
        <f>IF(
  OR(
    ISNUMBER(SEARCH("unable to locate acct", tblDocketedComments[[#This Row],[Docketed Consumer Comments]])),
    ISNUMBER(SEARCH("unknown", tblDocketedComments[[#This Row],[Docketed Consumer Comments]])),
    ISNUMBER(SEARCH("inactive", tblDocketedComments[[#This Row],[Docketed Consumer Comments]]))
  ),
  0,
  1
)</f>
        <v>1</v>
      </c>
    </row>
    <row r="184" spans="1:22">
      <c r="A184" s="2">
        <v>45903</v>
      </c>
      <c r="B184" s="1" t="s">
        <v>625</v>
      </c>
      <c r="C184" s="1" t="s">
        <v>626</v>
      </c>
      <c r="D184" s="1" t="s">
        <v>63</v>
      </c>
      <c r="E184" s="1">
        <v>85085</v>
      </c>
      <c r="F184" s="1" t="s">
        <v>627</v>
      </c>
      <c r="G184" s="1" t="s">
        <v>506</v>
      </c>
      <c r="H184" s="4" t="s">
        <v>628</v>
      </c>
      <c r="I184" s="5" t="s">
        <v>36</v>
      </c>
      <c r="J184" s="5" t="s">
        <v>37</v>
      </c>
      <c r="K184" s="5" t="s">
        <v>37</v>
      </c>
      <c r="L184" s="5" t="s">
        <v>38</v>
      </c>
      <c r="M184" s="5" t="s">
        <v>37</v>
      </c>
      <c r="N184" s="5" t="s">
        <v>37</v>
      </c>
      <c r="O184" s="5" t="s">
        <v>38</v>
      </c>
      <c r="P184" s="5" t="s">
        <v>39</v>
      </c>
      <c r="Q184" s="2">
        <v>45968</v>
      </c>
      <c r="V184" s="46">
        <f>IF(
  OR(
    ISNUMBER(SEARCH("unable to locate acct", tblDocketedComments[[#This Row],[Docketed Consumer Comments]])),
    ISNUMBER(SEARCH("unknown", tblDocketedComments[[#This Row],[Docketed Consumer Comments]])),
    ISNUMBER(SEARCH("inactive", tblDocketedComments[[#This Row],[Docketed Consumer Comments]]))
  ),
  0,
  1
)</f>
        <v>1</v>
      </c>
    </row>
    <row r="185" spans="1:22">
      <c r="A185" s="2">
        <v>45903</v>
      </c>
      <c r="B185" s="1" t="s">
        <v>629</v>
      </c>
      <c r="C185" s="1" t="s">
        <v>630</v>
      </c>
      <c r="D185" s="1" t="s">
        <v>523</v>
      </c>
      <c r="E185" s="1">
        <v>85392</v>
      </c>
      <c r="F185" s="1" t="s">
        <v>631</v>
      </c>
      <c r="G185" s="1" t="s">
        <v>506</v>
      </c>
      <c r="H185" s="4" t="s">
        <v>632</v>
      </c>
      <c r="I185" s="5" t="s">
        <v>126</v>
      </c>
      <c r="J185" s="5" t="s">
        <v>37</v>
      </c>
      <c r="K185" s="5" t="s">
        <v>37</v>
      </c>
      <c r="L185" s="5" t="s">
        <v>38</v>
      </c>
      <c r="M185" s="5" t="s">
        <v>37</v>
      </c>
      <c r="N185" s="5" t="s">
        <v>37</v>
      </c>
      <c r="O185" s="5" t="s">
        <v>38</v>
      </c>
      <c r="P185" s="5" t="s">
        <v>39</v>
      </c>
      <c r="Q185" s="2">
        <v>45968</v>
      </c>
      <c r="V185" s="46">
        <f>IF(
  OR(
    ISNUMBER(SEARCH("unable to locate acct", tblDocketedComments[[#This Row],[Docketed Consumer Comments]])),
    ISNUMBER(SEARCH("unknown", tblDocketedComments[[#This Row],[Docketed Consumer Comments]])),
    ISNUMBER(SEARCH("inactive", tblDocketedComments[[#This Row],[Docketed Consumer Comments]]))
  ),
  0,
  1
)</f>
        <v>1</v>
      </c>
    </row>
    <row r="186" spans="1:22">
      <c r="A186" s="2">
        <v>45903</v>
      </c>
      <c r="B186" s="1" t="s">
        <v>633</v>
      </c>
      <c r="C186" s="1" t="s">
        <v>634</v>
      </c>
      <c r="D186" s="1" t="s">
        <v>635</v>
      </c>
      <c r="E186" s="1">
        <v>85281</v>
      </c>
      <c r="F186" s="1" t="s">
        <v>310</v>
      </c>
      <c r="G186" s="1" t="s">
        <v>506</v>
      </c>
      <c r="H186" s="4" t="s">
        <v>27</v>
      </c>
      <c r="V186" s="46">
        <f>IF(
  OR(
    ISNUMBER(SEARCH("unable to locate acct", tblDocketedComments[[#This Row],[Docketed Consumer Comments]])),
    ISNUMBER(SEARCH("unknown", tblDocketedComments[[#This Row],[Docketed Consumer Comments]])),
    ISNUMBER(SEARCH("inactive", tblDocketedComments[[#This Row],[Docketed Consumer Comments]]))
  ),
  0,
  1
)</f>
        <v>1</v>
      </c>
    </row>
    <row r="187" spans="1:22">
      <c r="A187" s="2">
        <v>45903</v>
      </c>
      <c r="B187" s="1" t="s">
        <v>636</v>
      </c>
      <c r="C187" s="1" t="s">
        <v>529</v>
      </c>
      <c r="D187" s="1" t="s">
        <v>504</v>
      </c>
      <c r="E187" s="1">
        <v>86001</v>
      </c>
      <c r="F187" s="1" t="s">
        <v>310</v>
      </c>
      <c r="G187" s="1" t="s">
        <v>506</v>
      </c>
      <c r="H187" s="4" t="s">
        <v>637</v>
      </c>
      <c r="I187" s="5" t="s">
        <v>73</v>
      </c>
      <c r="J187" s="5" t="s">
        <v>37</v>
      </c>
      <c r="K187" s="5" t="s">
        <v>37</v>
      </c>
      <c r="L187" s="5" t="s">
        <v>38</v>
      </c>
      <c r="M187" s="5" t="s">
        <v>37</v>
      </c>
      <c r="N187" s="5" t="s">
        <v>37</v>
      </c>
      <c r="O187" s="5" t="s">
        <v>38</v>
      </c>
      <c r="P187" s="5" t="s">
        <v>39</v>
      </c>
      <c r="Q187" s="2">
        <v>45968</v>
      </c>
      <c r="V187" s="46">
        <f>IF(
  OR(
    ISNUMBER(SEARCH("unable to locate acct", tblDocketedComments[[#This Row],[Docketed Consumer Comments]])),
    ISNUMBER(SEARCH("unknown", tblDocketedComments[[#This Row],[Docketed Consumer Comments]])),
    ISNUMBER(SEARCH("inactive", tblDocketedComments[[#This Row],[Docketed Consumer Comments]]))
  ),
  0,
  1
)</f>
        <v>1</v>
      </c>
    </row>
    <row r="188" spans="1:22">
      <c r="A188" s="2">
        <v>45903</v>
      </c>
      <c r="B188" s="1" t="s">
        <v>638</v>
      </c>
      <c r="C188" s="1" t="s">
        <v>639</v>
      </c>
      <c r="D188" s="1" t="s">
        <v>202</v>
      </c>
      <c r="E188" s="1">
        <v>85383</v>
      </c>
      <c r="F188" s="1" t="s">
        <v>310</v>
      </c>
      <c r="G188" s="1" t="s">
        <v>506</v>
      </c>
      <c r="H188" s="4" t="s">
        <v>640</v>
      </c>
      <c r="I188" s="5" t="s">
        <v>196</v>
      </c>
      <c r="J188" s="5" t="s">
        <v>37</v>
      </c>
      <c r="K188" s="5" t="s">
        <v>37</v>
      </c>
      <c r="L188" s="7" t="s">
        <v>641</v>
      </c>
      <c r="M188" s="5" t="s">
        <v>37</v>
      </c>
      <c r="N188" s="5" t="s">
        <v>37</v>
      </c>
      <c r="O188" s="5" t="s">
        <v>38</v>
      </c>
      <c r="P188" s="2">
        <v>45933</v>
      </c>
      <c r="Q188" s="2">
        <v>45968</v>
      </c>
      <c r="R188" s="1" t="s">
        <v>561</v>
      </c>
      <c r="V188" s="46">
        <f>IF(
  OR(
    ISNUMBER(SEARCH("unable to locate acct", tblDocketedComments[[#This Row],[Docketed Consumer Comments]])),
    ISNUMBER(SEARCH("unknown", tblDocketedComments[[#This Row],[Docketed Consumer Comments]])),
    ISNUMBER(SEARCH("inactive", tblDocketedComments[[#This Row],[Docketed Consumer Comments]]))
  ),
  0,
  1
)</f>
        <v>1</v>
      </c>
    </row>
    <row r="189" spans="1:22">
      <c r="A189" s="2">
        <v>45903</v>
      </c>
      <c r="B189" s="1" t="s">
        <v>642</v>
      </c>
      <c r="C189" s="1" t="s">
        <v>643</v>
      </c>
      <c r="D189" s="1" t="s">
        <v>125</v>
      </c>
      <c r="E189" s="1">
        <v>85255</v>
      </c>
      <c r="F189" s="1" t="s">
        <v>310</v>
      </c>
      <c r="G189" s="1" t="s">
        <v>506</v>
      </c>
      <c r="H189" s="4" t="s">
        <v>644</v>
      </c>
      <c r="I189" s="5" t="s">
        <v>36</v>
      </c>
      <c r="J189" s="5" t="s">
        <v>37</v>
      </c>
      <c r="K189" s="5" t="s">
        <v>37</v>
      </c>
      <c r="L189" s="5" t="s">
        <v>38</v>
      </c>
      <c r="M189" s="5" t="s">
        <v>37</v>
      </c>
      <c r="N189" s="5" t="s">
        <v>37</v>
      </c>
      <c r="O189" s="5" t="s">
        <v>38</v>
      </c>
      <c r="P189" s="5" t="s">
        <v>39</v>
      </c>
      <c r="Q189" s="2">
        <v>45968</v>
      </c>
      <c r="V189" s="46">
        <f>IF(
  OR(
    ISNUMBER(SEARCH("unable to locate acct", tblDocketedComments[[#This Row],[Docketed Consumer Comments]])),
    ISNUMBER(SEARCH("unknown", tblDocketedComments[[#This Row],[Docketed Consumer Comments]])),
    ISNUMBER(SEARCH("inactive", tblDocketedComments[[#This Row],[Docketed Consumer Comments]]))
  ),
  0,
  1
)</f>
        <v>1</v>
      </c>
    </row>
    <row r="190" spans="1:22">
      <c r="A190" s="2">
        <v>45903</v>
      </c>
      <c r="B190" s="1" t="s">
        <v>645</v>
      </c>
      <c r="C190" s="1" t="s">
        <v>646</v>
      </c>
      <c r="D190" s="1" t="s">
        <v>370</v>
      </c>
      <c r="E190" s="1">
        <v>85225</v>
      </c>
      <c r="F190" s="1" t="s">
        <v>310</v>
      </c>
      <c r="G190" s="1" t="s">
        <v>506</v>
      </c>
      <c r="H190" s="4" t="s">
        <v>209</v>
      </c>
      <c r="V190" s="46">
        <f>IF(
  OR(
    ISNUMBER(SEARCH("unable to locate acct", tblDocketedComments[[#This Row],[Docketed Consumer Comments]])),
    ISNUMBER(SEARCH("unknown", tblDocketedComments[[#This Row],[Docketed Consumer Comments]])),
    ISNUMBER(SEARCH("inactive", tblDocketedComments[[#This Row],[Docketed Consumer Comments]]))
  ),
  0,
  1
)</f>
        <v>1</v>
      </c>
    </row>
    <row r="191" spans="1:22">
      <c r="A191" s="2">
        <v>45903</v>
      </c>
      <c r="B191" s="1" t="s">
        <v>647</v>
      </c>
      <c r="C191" s="1" t="s">
        <v>648</v>
      </c>
      <c r="D191" s="1" t="s">
        <v>63</v>
      </c>
      <c r="E191" s="1">
        <v>85022</v>
      </c>
      <c r="F191" s="1" t="s">
        <v>310</v>
      </c>
      <c r="G191" s="1" t="s">
        <v>506</v>
      </c>
      <c r="H191" s="4" t="s">
        <v>649</v>
      </c>
      <c r="I191" s="5" t="s">
        <v>73</v>
      </c>
      <c r="J191" s="5" t="s">
        <v>37</v>
      </c>
      <c r="K191" s="5" t="s">
        <v>37</v>
      </c>
      <c r="L191" s="5" t="s">
        <v>38</v>
      </c>
      <c r="M191" s="5" t="s">
        <v>37</v>
      </c>
      <c r="N191" s="5" t="s">
        <v>37</v>
      </c>
      <c r="O191" s="5" t="s">
        <v>38</v>
      </c>
      <c r="P191" s="5" t="s">
        <v>39</v>
      </c>
      <c r="Q191" s="2">
        <v>45968</v>
      </c>
      <c r="V191" s="46">
        <f>IF(
  OR(
    ISNUMBER(SEARCH("unable to locate acct", tblDocketedComments[[#This Row],[Docketed Consumer Comments]])),
    ISNUMBER(SEARCH("unknown", tblDocketedComments[[#This Row],[Docketed Consumer Comments]])),
    ISNUMBER(SEARCH("inactive", tblDocketedComments[[#This Row],[Docketed Consumer Comments]]))
  ),
  0,
  1
)</f>
        <v>1</v>
      </c>
    </row>
    <row r="192" spans="1:22">
      <c r="A192" s="2">
        <v>45903</v>
      </c>
      <c r="B192" s="1" t="s">
        <v>650</v>
      </c>
      <c r="C192" s="1" t="s">
        <v>117</v>
      </c>
      <c r="D192" s="1" t="s">
        <v>169</v>
      </c>
      <c r="E192" s="1">
        <v>85338</v>
      </c>
      <c r="F192" s="1" t="s">
        <v>651</v>
      </c>
      <c r="G192" s="1" t="s">
        <v>506</v>
      </c>
      <c r="H192" s="4" t="s">
        <v>209</v>
      </c>
      <c r="V192" s="46">
        <f>IF(
  OR(
    ISNUMBER(SEARCH("unable to locate acct", tblDocketedComments[[#This Row],[Docketed Consumer Comments]])),
    ISNUMBER(SEARCH("unknown", tblDocketedComments[[#This Row],[Docketed Consumer Comments]])),
    ISNUMBER(SEARCH("inactive", tblDocketedComments[[#This Row],[Docketed Consumer Comments]]))
  ),
  0,
  1
)</f>
        <v>1</v>
      </c>
    </row>
    <row r="193" spans="1:22">
      <c r="A193" s="2">
        <v>45903</v>
      </c>
      <c r="B193" s="1" t="s">
        <v>652</v>
      </c>
      <c r="C193" s="1" t="s">
        <v>653</v>
      </c>
      <c r="D193" s="1" t="s">
        <v>112</v>
      </c>
      <c r="E193" s="1">
        <v>85388</v>
      </c>
      <c r="F193" s="1" t="s">
        <v>25</v>
      </c>
      <c r="G193" s="1" t="s">
        <v>506</v>
      </c>
      <c r="H193" s="4" t="s">
        <v>209</v>
      </c>
      <c r="V193" s="46">
        <f>IF(
  OR(
    ISNUMBER(SEARCH("unable to locate acct", tblDocketedComments[[#This Row],[Docketed Consumer Comments]])),
    ISNUMBER(SEARCH("unknown", tblDocketedComments[[#This Row],[Docketed Consumer Comments]])),
    ISNUMBER(SEARCH("inactive", tblDocketedComments[[#This Row],[Docketed Consumer Comments]]))
  ),
  0,
  1
)</f>
        <v>1</v>
      </c>
    </row>
    <row r="194" spans="1:22">
      <c r="A194" s="2">
        <v>45903</v>
      </c>
      <c r="B194" s="1" t="s">
        <v>654</v>
      </c>
      <c r="C194" s="1" t="s">
        <v>655</v>
      </c>
      <c r="D194" s="1" t="s">
        <v>30</v>
      </c>
      <c r="E194" s="1">
        <v>85254</v>
      </c>
      <c r="F194" s="1" t="s">
        <v>310</v>
      </c>
      <c r="G194" s="1" t="s">
        <v>506</v>
      </c>
      <c r="H194" s="4" t="s">
        <v>656</v>
      </c>
      <c r="I194" s="5" t="s">
        <v>126</v>
      </c>
      <c r="J194" s="5" t="s">
        <v>37</v>
      </c>
      <c r="K194" s="5" t="s">
        <v>37</v>
      </c>
      <c r="L194" s="5" t="s">
        <v>38</v>
      </c>
      <c r="M194" s="5" t="s">
        <v>38</v>
      </c>
      <c r="N194" s="15">
        <v>664.06</v>
      </c>
      <c r="O194" s="5" t="s">
        <v>38</v>
      </c>
      <c r="P194" s="7"/>
      <c r="Q194" s="2">
        <v>45968</v>
      </c>
      <c r="V194" s="46">
        <f>IF(
  OR(
    ISNUMBER(SEARCH("unable to locate acct", tblDocketedComments[[#This Row],[Docketed Consumer Comments]])),
    ISNUMBER(SEARCH("unknown", tblDocketedComments[[#This Row],[Docketed Consumer Comments]])),
    ISNUMBER(SEARCH("inactive", tblDocketedComments[[#This Row],[Docketed Consumer Comments]]))
  ),
  0,
  1
)</f>
        <v>1</v>
      </c>
    </row>
    <row r="195" spans="1:22">
      <c r="A195" s="2">
        <v>45903</v>
      </c>
      <c r="B195" s="1" t="s">
        <v>657</v>
      </c>
      <c r="C195" s="1" t="s">
        <v>658</v>
      </c>
      <c r="D195" s="1" t="s">
        <v>659</v>
      </c>
      <c r="E195" s="1">
        <v>85350</v>
      </c>
      <c r="F195" s="1" t="s">
        <v>660</v>
      </c>
      <c r="G195" s="1" t="s">
        <v>506</v>
      </c>
      <c r="H195" s="4" t="s">
        <v>27</v>
      </c>
      <c r="V195" s="46">
        <f>IF(
  OR(
    ISNUMBER(SEARCH("unable to locate acct", tblDocketedComments[[#This Row],[Docketed Consumer Comments]])),
    ISNUMBER(SEARCH("unknown", tblDocketedComments[[#This Row],[Docketed Consumer Comments]])),
    ISNUMBER(SEARCH("inactive", tblDocketedComments[[#This Row],[Docketed Consumer Comments]]))
  ),
  0,
  1
)</f>
        <v>1</v>
      </c>
    </row>
    <row r="196" spans="1:22">
      <c r="A196" s="2">
        <v>45903</v>
      </c>
      <c r="B196" s="1" t="s">
        <v>661</v>
      </c>
      <c r="C196" s="1" t="s">
        <v>662</v>
      </c>
      <c r="D196" s="1" t="s">
        <v>24</v>
      </c>
      <c r="E196" s="1">
        <v>85308</v>
      </c>
      <c r="F196" s="1" t="s">
        <v>310</v>
      </c>
      <c r="G196" s="1" t="s">
        <v>506</v>
      </c>
      <c r="H196" s="4" t="s">
        <v>27</v>
      </c>
      <c r="V196" s="46">
        <f>IF(
  OR(
    ISNUMBER(SEARCH("unable to locate acct", tblDocketedComments[[#This Row],[Docketed Consumer Comments]])),
    ISNUMBER(SEARCH("unknown", tblDocketedComments[[#This Row],[Docketed Consumer Comments]])),
    ISNUMBER(SEARCH("inactive", tblDocketedComments[[#This Row],[Docketed Consumer Comments]]))
  ),
  0,
  1
)</f>
        <v>1</v>
      </c>
    </row>
    <row r="197" spans="1:22">
      <c r="A197" s="2">
        <v>45903</v>
      </c>
      <c r="B197" s="1" t="s">
        <v>663</v>
      </c>
      <c r="C197" s="1" t="s">
        <v>312</v>
      </c>
      <c r="D197" s="1" t="s">
        <v>169</v>
      </c>
      <c r="E197" s="1">
        <v>85338</v>
      </c>
      <c r="F197" s="1" t="s">
        <v>664</v>
      </c>
      <c r="G197" s="1" t="s">
        <v>506</v>
      </c>
      <c r="H197" s="4" t="s">
        <v>27</v>
      </c>
      <c r="V197" s="46">
        <f>IF(
  OR(
    ISNUMBER(SEARCH("unable to locate acct", tblDocketedComments[[#This Row],[Docketed Consumer Comments]])),
    ISNUMBER(SEARCH("unknown", tblDocketedComments[[#This Row],[Docketed Consumer Comments]])),
    ISNUMBER(SEARCH("inactive", tblDocketedComments[[#This Row],[Docketed Consumer Comments]]))
  ),
  0,
  1
)</f>
        <v>1</v>
      </c>
    </row>
    <row r="198" spans="1:22">
      <c r="A198" s="2">
        <v>45903</v>
      </c>
      <c r="B198" s="1" t="s">
        <v>665</v>
      </c>
      <c r="C198" s="1" t="s">
        <v>666</v>
      </c>
      <c r="D198" s="1" t="s">
        <v>169</v>
      </c>
      <c r="E198" s="1">
        <v>85338</v>
      </c>
      <c r="F198" s="1" t="s">
        <v>667</v>
      </c>
      <c r="G198" s="1" t="s">
        <v>506</v>
      </c>
      <c r="H198" s="4" t="s">
        <v>668</v>
      </c>
      <c r="I198" s="5" t="s">
        <v>57</v>
      </c>
      <c r="J198" s="5" t="s">
        <v>38</v>
      </c>
      <c r="K198" s="5" t="s">
        <v>37</v>
      </c>
      <c r="L198" s="7" t="s">
        <v>669</v>
      </c>
      <c r="M198" s="5" t="s">
        <v>38</v>
      </c>
      <c r="N198" s="15">
        <v>3681.83</v>
      </c>
      <c r="O198" s="5" t="s">
        <v>38</v>
      </c>
      <c r="P198" s="2">
        <v>45933</v>
      </c>
      <c r="Q198" s="2">
        <v>45968</v>
      </c>
      <c r="R198" s="1" t="s">
        <v>670</v>
      </c>
      <c r="V198" s="46">
        <f>IF(
  OR(
    ISNUMBER(SEARCH("unable to locate acct", tblDocketedComments[[#This Row],[Docketed Consumer Comments]])),
    ISNUMBER(SEARCH("unknown", tblDocketedComments[[#This Row],[Docketed Consumer Comments]])),
    ISNUMBER(SEARCH("inactive", tblDocketedComments[[#This Row],[Docketed Consumer Comments]]))
  ),
  0,
  1
)</f>
        <v>1</v>
      </c>
    </row>
    <row r="199" spans="1:22">
      <c r="A199" s="2">
        <v>45903</v>
      </c>
      <c r="B199" s="1" t="s">
        <v>671</v>
      </c>
      <c r="C199" s="1" t="s">
        <v>376</v>
      </c>
      <c r="D199" s="1" t="s">
        <v>63</v>
      </c>
      <c r="E199" s="1">
        <v>85083</v>
      </c>
      <c r="F199" s="1" t="s">
        <v>310</v>
      </c>
      <c r="G199" s="1" t="s">
        <v>506</v>
      </c>
      <c r="H199" s="4" t="s">
        <v>209</v>
      </c>
      <c r="V199" s="46">
        <f>IF(
  OR(
    ISNUMBER(SEARCH("unable to locate acct", tblDocketedComments[[#This Row],[Docketed Consumer Comments]])),
    ISNUMBER(SEARCH("unknown", tblDocketedComments[[#This Row],[Docketed Consumer Comments]])),
    ISNUMBER(SEARCH("inactive", tblDocketedComments[[#This Row],[Docketed Consumer Comments]]))
  ),
  0,
  1
)</f>
        <v>1</v>
      </c>
    </row>
    <row r="200" spans="1:22">
      <c r="A200" s="2">
        <v>45903</v>
      </c>
      <c r="B200" s="1" t="s">
        <v>672</v>
      </c>
      <c r="C200" s="1" t="s">
        <v>673</v>
      </c>
      <c r="D200" s="1" t="s">
        <v>202</v>
      </c>
      <c r="E200" s="1">
        <v>85382</v>
      </c>
      <c r="F200" s="1" t="s">
        <v>31</v>
      </c>
      <c r="G200" s="1" t="s">
        <v>506</v>
      </c>
      <c r="H200" s="4" t="s">
        <v>674</v>
      </c>
      <c r="I200" s="5" t="s">
        <v>73</v>
      </c>
      <c r="J200" s="5" t="s">
        <v>37</v>
      </c>
      <c r="K200" s="5" t="s">
        <v>37</v>
      </c>
      <c r="L200" s="5" t="s">
        <v>38</v>
      </c>
      <c r="M200" s="5" t="s">
        <v>37</v>
      </c>
      <c r="N200" s="5" t="s">
        <v>37</v>
      </c>
      <c r="O200" s="5" t="s">
        <v>38</v>
      </c>
      <c r="P200" s="5" t="s">
        <v>39</v>
      </c>
      <c r="Q200" s="2">
        <v>45968</v>
      </c>
      <c r="V200" s="46">
        <f>IF(
  OR(
    ISNUMBER(SEARCH("unable to locate acct", tblDocketedComments[[#This Row],[Docketed Consumer Comments]])),
    ISNUMBER(SEARCH("unknown", tblDocketedComments[[#This Row],[Docketed Consumer Comments]])),
    ISNUMBER(SEARCH("inactive", tblDocketedComments[[#This Row],[Docketed Consumer Comments]]))
  ),
  0,
  1
)</f>
        <v>1</v>
      </c>
    </row>
    <row r="201" spans="1:22">
      <c r="A201" s="2">
        <v>45903</v>
      </c>
      <c r="B201" s="1" t="s">
        <v>675</v>
      </c>
      <c r="C201" s="1" t="s">
        <v>676</v>
      </c>
      <c r="D201" s="1" t="s">
        <v>523</v>
      </c>
      <c r="E201" s="1">
        <v>85392</v>
      </c>
      <c r="F201" s="1" t="s">
        <v>677</v>
      </c>
      <c r="G201" s="1" t="s">
        <v>506</v>
      </c>
      <c r="H201" s="4" t="s">
        <v>678</v>
      </c>
      <c r="I201" s="5" t="s">
        <v>36</v>
      </c>
      <c r="J201" s="5" t="s">
        <v>37</v>
      </c>
      <c r="K201" s="5" t="s">
        <v>37</v>
      </c>
      <c r="L201" s="5" t="s">
        <v>38</v>
      </c>
      <c r="M201" s="5" t="s">
        <v>37</v>
      </c>
      <c r="N201" s="5" t="s">
        <v>37</v>
      </c>
      <c r="O201" s="5" t="s">
        <v>38</v>
      </c>
      <c r="P201" s="5" t="s">
        <v>39</v>
      </c>
      <c r="Q201" s="2">
        <v>45968</v>
      </c>
      <c r="V201" s="46">
        <f>IF(
  OR(
    ISNUMBER(SEARCH("unable to locate acct", tblDocketedComments[[#This Row],[Docketed Consumer Comments]])),
    ISNUMBER(SEARCH("unknown", tblDocketedComments[[#This Row],[Docketed Consumer Comments]])),
    ISNUMBER(SEARCH("inactive", tblDocketedComments[[#This Row],[Docketed Consumer Comments]]))
  ),
  0,
  1
)</f>
        <v>1</v>
      </c>
    </row>
    <row r="202" spans="1:22">
      <c r="A202" s="2">
        <v>45903</v>
      </c>
      <c r="B202" s="1" t="s">
        <v>679</v>
      </c>
      <c r="C202" s="1" t="s">
        <v>680</v>
      </c>
      <c r="D202" s="1" t="s">
        <v>202</v>
      </c>
      <c r="E202" s="1">
        <v>85383</v>
      </c>
      <c r="F202" s="1" t="s">
        <v>310</v>
      </c>
      <c r="G202" s="1" t="s">
        <v>506</v>
      </c>
      <c r="H202" s="4" t="s">
        <v>681</v>
      </c>
      <c r="I202" s="5" t="s">
        <v>36</v>
      </c>
      <c r="J202" s="5" t="s">
        <v>37</v>
      </c>
      <c r="K202" s="5" t="s">
        <v>37</v>
      </c>
      <c r="L202" s="5" t="s">
        <v>38</v>
      </c>
      <c r="M202" s="5" t="s">
        <v>37</v>
      </c>
      <c r="N202" s="5" t="s">
        <v>37</v>
      </c>
      <c r="O202" s="5" t="s">
        <v>38</v>
      </c>
      <c r="P202" s="5" t="s">
        <v>39</v>
      </c>
      <c r="Q202" s="2">
        <v>45968</v>
      </c>
      <c r="V202" s="46">
        <f>IF(
  OR(
    ISNUMBER(SEARCH("unable to locate acct", tblDocketedComments[[#This Row],[Docketed Consumer Comments]])),
    ISNUMBER(SEARCH("unknown", tblDocketedComments[[#This Row],[Docketed Consumer Comments]])),
    ISNUMBER(SEARCH("inactive", tblDocketedComments[[#This Row],[Docketed Consumer Comments]]))
  ),
  0,
  1
)</f>
        <v>1</v>
      </c>
    </row>
    <row r="203" spans="1:22">
      <c r="A203" s="2">
        <v>45903</v>
      </c>
      <c r="B203" s="1" t="s">
        <v>682</v>
      </c>
      <c r="C203" s="1" t="s">
        <v>683</v>
      </c>
      <c r="D203" s="1" t="s">
        <v>63</v>
      </c>
      <c r="E203" s="1">
        <v>85085</v>
      </c>
      <c r="F203" s="1" t="s">
        <v>684</v>
      </c>
      <c r="G203" s="1" t="s">
        <v>506</v>
      </c>
      <c r="H203" s="4" t="s">
        <v>27</v>
      </c>
      <c r="V203" s="46">
        <f>IF(
  OR(
    ISNUMBER(SEARCH("unable to locate acct", tblDocketedComments[[#This Row],[Docketed Consumer Comments]])),
    ISNUMBER(SEARCH("unknown", tblDocketedComments[[#This Row],[Docketed Consumer Comments]])),
    ISNUMBER(SEARCH("inactive", tblDocketedComments[[#This Row],[Docketed Consumer Comments]]))
  ),
  0,
  1
)</f>
        <v>1</v>
      </c>
    </row>
    <row r="204" spans="1:22">
      <c r="A204" s="2">
        <v>45903</v>
      </c>
      <c r="B204" s="1" t="s">
        <v>685</v>
      </c>
      <c r="C204" s="1" t="s">
        <v>420</v>
      </c>
      <c r="D204" s="1" t="s">
        <v>63</v>
      </c>
      <c r="E204" s="1">
        <v>85326</v>
      </c>
      <c r="F204" s="1" t="s">
        <v>310</v>
      </c>
      <c r="G204" s="1" t="s">
        <v>506</v>
      </c>
      <c r="H204" s="4" t="s">
        <v>27</v>
      </c>
      <c r="V204" s="46">
        <f>IF(
  OR(
    ISNUMBER(SEARCH("unable to locate acct", tblDocketedComments[[#This Row],[Docketed Consumer Comments]])),
    ISNUMBER(SEARCH("unknown", tblDocketedComments[[#This Row],[Docketed Consumer Comments]])),
    ISNUMBER(SEARCH("inactive", tblDocketedComments[[#This Row],[Docketed Consumer Comments]]))
  ),
  0,
  1
)</f>
        <v>1</v>
      </c>
    </row>
    <row r="205" spans="1:22">
      <c r="A205" s="2">
        <v>45903</v>
      </c>
      <c r="B205" s="1" t="s">
        <v>686</v>
      </c>
      <c r="C205" s="1" t="s">
        <v>687</v>
      </c>
      <c r="D205" s="1" t="s">
        <v>68</v>
      </c>
      <c r="E205" s="1">
        <v>85331</v>
      </c>
      <c r="F205" s="1" t="s">
        <v>310</v>
      </c>
      <c r="G205" s="1" t="s">
        <v>506</v>
      </c>
      <c r="H205" s="4" t="s">
        <v>27</v>
      </c>
      <c r="V205" s="46">
        <f>IF(
  OR(
    ISNUMBER(SEARCH("unable to locate acct", tblDocketedComments[[#This Row],[Docketed Consumer Comments]])),
    ISNUMBER(SEARCH("unknown", tblDocketedComments[[#This Row],[Docketed Consumer Comments]])),
    ISNUMBER(SEARCH("inactive", tblDocketedComments[[#This Row],[Docketed Consumer Comments]]))
  ),
  0,
  1
)</f>
        <v>1</v>
      </c>
    </row>
    <row r="206" spans="1:22">
      <c r="A206" s="2">
        <v>45903</v>
      </c>
      <c r="B206" s="1" t="s">
        <v>688</v>
      </c>
      <c r="C206" s="1" t="s">
        <v>312</v>
      </c>
      <c r="D206" s="1" t="s">
        <v>63</v>
      </c>
      <c r="E206" s="1">
        <v>85053</v>
      </c>
      <c r="F206" s="1" t="s">
        <v>310</v>
      </c>
      <c r="G206" s="1" t="s">
        <v>506</v>
      </c>
      <c r="H206" s="4" t="s">
        <v>209</v>
      </c>
      <c r="V206" s="46">
        <f>IF(
  OR(
    ISNUMBER(SEARCH("unable to locate acct", tblDocketedComments[[#This Row],[Docketed Consumer Comments]])),
    ISNUMBER(SEARCH("unknown", tblDocketedComments[[#This Row],[Docketed Consumer Comments]])),
    ISNUMBER(SEARCH("inactive", tblDocketedComments[[#This Row],[Docketed Consumer Comments]]))
  ),
  0,
  1
)</f>
        <v>1</v>
      </c>
    </row>
    <row r="207" spans="1:22">
      <c r="A207" s="2">
        <v>45903</v>
      </c>
      <c r="B207" s="1" t="s">
        <v>689</v>
      </c>
      <c r="C207" s="1" t="s">
        <v>690</v>
      </c>
      <c r="D207" s="1" t="s">
        <v>63</v>
      </c>
      <c r="E207" s="1">
        <v>85040</v>
      </c>
      <c r="F207" s="1" t="s">
        <v>691</v>
      </c>
      <c r="G207" s="1" t="s">
        <v>506</v>
      </c>
      <c r="H207" s="4" t="s">
        <v>27</v>
      </c>
      <c r="V207" s="46">
        <f>IF(
  OR(
    ISNUMBER(SEARCH("unable to locate acct", tblDocketedComments[[#This Row],[Docketed Consumer Comments]])),
    ISNUMBER(SEARCH("unknown", tblDocketedComments[[#This Row],[Docketed Consumer Comments]])),
    ISNUMBER(SEARCH("inactive", tblDocketedComments[[#This Row],[Docketed Consumer Comments]]))
  ),
  0,
  1
)</f>
        <v>1</v>
      </c>
    </row>
    <row r="208" spans="1:22">
      <c r="A208" s="2">
        <v>45903</v>
      </c>
      <c r="B208" s="1" t="s">
        <v>692</v>
      </c>
      <c r="C208" s="1" t="s">
        <v>693</v>
      </c>
      <c r="D208" s="1" t="s">
        <v>202</v>
      </c>
      <c r="E208" s="1">
        <v>85383</v>
      </c>
      <c r="F208" s="1" t="s">
        <v>310</v>
      </c>
      <c r="G208" s="1" t="s">
        <v>506</v>
      </c>
      <c r="H208" s="4" t="s">
        <v>694</v>
      </c>
      <c r="I208" s="5" t="s">
        <v>196</v>
      </c>
      <c r="J208" s="5" t="s">
        <v>37</v>
      </c>
      <c r="K208" s="5" t="s">
        <v>37</v>
      </c>
      <c r="L208" s="7" t="s">
        <v>695</v>
      </c>
      <c r="M208" s="5" t="s">
        <v>37</v>
      </c>
      <c r="N208" s="5" t="s">
        <v>37</v>
      </c>
      <c r="O208" s="5" t="s">
        <v>38</v>
      </c>
      <c r="P208" s="2">
        <v>45933</v>
      </c>
      <c r="Q208" s="2">
        <v>45968</v>
      </c>
      <c r="R208" s="1" t="s">
        <v>561</v>
      </c>
      <c r="V208" s="46">
        <f>IF(
  OR(
    ISNUMBER(SEARCH("unable to locate acct", tblDocketedComments[[#This Row],[Docketed Consumer Comments]])),
    ISNUMBER(SEARCH("unknown", tblDocketedComments[[#This Row],[Docketed Consumer Comments]])),
    ISNUMBER(SEARCH("inactive", tblDocketedComments[[#This Row],[Docketed Consumer Comments]]))
  ),
  0,
  1
)</f>
        <v>1</v>
      </c>
    </row>
    <row r="209" spans="1:22">
      <c r="A209" s="2">
        <v>45903</v>
      </c>
      <c r="B209" s="1" t="s">
        <v>696</v>
      </c>
      <c r="C209" s="1" t="s">
        <v>697</v>
      </c>
      <c r="D209" s="1" t="s">
        <v>698</v>
      </c>
      <c r="E209" s="1">
        <v>85375</v>
      </c>
      <c r="F209" s="1" t="s">
        <v>699</v>
      </c>
      <c r="G209" s="1" t="s">
        <v>506</v>
      </c>
      <c r="H209" s="4" t="s">
        <v>700</v>
      </c>
      <c r="I209" s="5" t="s">
        <v>73</v>
      </c>
      <c r="J209" s="5" t="s">
        <v>37</v>
      </c>
      <c r="K209" s="5" t="s">
        <v>37</v>
      </c>
      <c r="L209" s="5" t="s">
        <v>38</v>
      </c>
      <c r="M209" s="5" t="s">
        <v>37</v>
      </c>
      <c r="N209" s="5" t="s">
        <v>37</v>
      </c>
      <c r="O209" s="5" t="s">
        <v>38</v>
      </c>
      <c r="P209" s="5" t="s">
        <v>39</v>
      </c>
      <c r="Q209" s="2">
        <v>45968</v>
      </c>
      <c r="V209" s="46">
        <f>IF(
  OR(
    ISNUMBER(SEARCH("unable to locate acct", tblDocketedComments[[#This Row],[Docketed Consumer Comments]])),
    ISNUMBER(SEARCH("unknown", tblDocketedComments[[#This Row],[Docketed Consumer Comments]])),
    ISNUMBER(SEARCH("inactive", tblDocketedComments[[#This Row],[Docketed Consumer Comments]]))
  ),
  0,
  1
)</f>
        <v>1</v>
      </c>
    </row>
    <row r="210" spans="1:22">
      <c r="A210" s="2">
        <v>45903</v>
      </c>
      <c r="B210" s="1" t="s">
        <v>701</v>
      </c>
      <c r="C210" s="1" t="s">
        <v>702</v>
      </c>
      <c r="D210" s="1" t="s">
        <v>169</v>
      </c>
      <c r="E210" s="1">
        <v>85395</v>
      </c>
      <c r="F210" s="1" t="s">
        <v>703</v>
      </c>
      <c r="G210" s="1" t="s">
        <v>506</v>
      </c>
      <c r="H210" s="4" t="s">
        <v>90</v>
      </c>
      <c r="V210" s="46">
        <f>IF(
  OR(
    ISNUMBER(SEARCH("unable to locate acct", tblDocketedComments[[#This Row],[Docketed Consumer Comments]])),
    ISNUMBER(SEARCH("unknown", tblDocketedComments[[#This Row],[Docketed Consumer Comments]])),
    ISNUMBER(SEARCH("inactive", tblDocketedComments[[#This Row],[Docketed Consumer Comments]]))
  ),
  0,
  1
)</f>
        <v>1</v>
      </c>
    </row>
    <row r="211" spans="1:22">
      <c r="A211" s="2">
        <v>45903</v>
      </c>
      <c r="B211" s="1" t="s">
        <v>704</v>
      </c>
      <c r="C211" s="1" t="s">
        <v>395</v>
      </c>
      <c r="D211" s="1" t="s">
        <v>63</v>
      </c>
      <c r="E211" s="1">
        <v>85003</v>
      </c>
      <c r="F211" s="1" t="s">
        <v>310</v>
      </c>
      <c r="G211" s="1" t="s">
        <v>506</v>
      </c>
      <c r="H211" s="4" t="s">
        <v>27</v>
      </c>
      <c r="V211" s="46">
        <f>IF(
  OR(
    ISNUMBER(SEARCH("unable to locate acct", tblDocketedComments[[#This Row],[Docketed Consumer Comments]])),
    ISNUMBER(SEARCH("unknown", tblDocketedComments[[#This Row],[Docketed Consumer Comments]])),
    ISNUMBER(SEARCH("inactive", tblDocketedComments[[#This Row],[Docketed Consumer Comments]]))
  ),
  0,
  1
)</f>
        <v>1</v>
      </c>
    </row>
    <row r="212" spans="1:22">
      <c r="A212" s="2">
        <v>45903</v>
      </c>
      <c r="B212" s="1" t="s">
        <v>367</v>
      </c>
      <c r="C212" s="1" t="s">
        <v>705</v>
      </c>
      <c r="D212" s="1" t="s">
        <v>240</v>
      </c>
      <c r="E212" s="1">
        <v>85340</v>
      </c>
      <c r="F212" s="1" t="s">
        <v>310</v>
      </c>
      <c r="G212" s="1" t="s">
        <v>506</v>
      </c>
      <c r="H212" s="4" t="s">
        <v>27</v>
      </c>
      <c r="V212" s="46">
        <f>IF(
  OR(
    ISNUMBER(SEARCH("unable to locate acct", tblDocketedComments[[#This Row],[Docketed Consumer Comments]])),
    ISNUMBER(SEARCH("unknown", tblDocketedComments[[#This Row],[Docketed Consumer Comments]])),
    ISNUMBER(SEARCH("inactive", tblDocketedComments[[#This Row],[Docketed Consumer Comments]]))
  ),
  0,
  1
)</f>
        <v>1</v>
      </c>
    </row>
    <row r="213" spans="1:22">
      <c r="A213" s="2">
        <v>45903</v>
      </c>
      <c r="B213" s="1" t="s">
        <v>706</v>
      </c>
      <c r="C213" s="1" t="s">
        <v>707</v>
      </c>
      <c r="D213" s="1" t="s">
        <v>112</v>
      </c>
      <c r="E213" s="1">
        <v>85388</v>
      </c>
      <c r="F213" s="1" t="s">
        <v>708</v>
      </c>
      <c r="G213" s="1" t="s">
        <v>506</v>
      </c>
      <c r="H213" s="4" t="s">
        <v>709</v>
      </c>
      <c r="I213" s="5" t="s">
        <v>36</v>
      </c>
      <c r="J213" s="5" t="s">
        <v>37</v>
      </c>
      <c r="K213" s="5" t="s">
        <v>37</v>
      </c>
      <c r="L213" s="5" t="s">
        <v>38</v>
      </c>
      <c r="M213" s="5" t="s">
        <v>37</v>
      </c>
      <c r="N213" s="5" t="s">
        <v>37</v>
      </c>
      <c r="O213" s="5" t="s">
        <v>38</v>
      </c>
      <c r="P213" s="5" t="s">
        <v>39</v>
      </c>
      <c r="Q213" s="2">
        <v>45968</v>
      </c>
      <c r="V213" s="46">
        <f>IF(
  OR(
    ISNUMBER(SEARCH("unable to locate acct", tblDocketedComments[[#This Row],[Docketed Consumer Comments]])),
    ISNUMBER(SEARCH("unknown", tblDocketedComments[[#This Row],[Docketed Consumer Comments]])),
    ISNUMBER(SEARCH("inactive", tblDocketedComments[[#This Row],[Docketed Consumer Comments]]))
  ),
  0,
  1
)</f>
        <v>1</v>
      </c>
    </row>
    <row r="214" spans="1:22">
      <c r="A214" s="2">
        <v>45903</v>
      </c>
      <c r="B214" s="1" t="s">
        <v>710</v>
      </c>
      <c r="C214" s="1" t="s">
        <v>711</v>
      </c>
      <c r="D214" s="1" t="s">
        <v>174</v>
      </c>
      <c r="E214" s="1">
        <v>85326</v>
      </c>
      <c r="F214" s="1" t="s">
        <v>712</v>
      </c>
      <c r="G214" s="1" t="s">
        <v>506</v>
      </c>
      <c r="H214" s="4" t="s">
        <v>90</v>
      </c>
      <c r="V214" s="46">
        <f>IF(
  OR(
    ISNUMBER(SEARCH("unable to locate acct", tblDocketedComments[[#This Row],[Docketed Consumer Comments]])),
    ISNUMBER(SEARCH("unknown", tblDocketedComments[[#This Row],[Docketed Consumer Comments]])),
    ISNUMBER(SEARCH("inactive", tblDocketedComments[[#This Row],[Docketed Consumer Comments]]))
  ),
  0,
  1
)</f>
        <v>1</v>
      </c>
    </row>
    <row r="215" spans="1:22">
      <c r="A215" s="2">
        <v>45903</v>
      </c>
      <c r="B215" s="1" t="s">
        <v>713</v>
      </c>
      <c r="C215" s="1" t="s">
        <v>714</v>
      </c>
      <c r="D215" s="1" t="s">
        <v>63</v>
      </c>
      <c r="E215" s="1">
        <v>85085</v>
      </c>
      <c r="F215" s="1" t="s">
        <v>310</v>
      </c>
      <c r="G215" s="1" t="s">
        <v>506</v>
      </c>
      <c r="H215" s="4" t="s">
        <v>715</v>
      </c>
      <c r="I215" s="5" t="s">
        <v>36</v>
      </c>
      <c r="J215" s="5" t="s">
        <v>37</v>
      </c>
      <c r="K215" s="5" t="s">
        <v>37</v>
      </c>
      <c r="L215" s="5" t="s">
        <v>38</v>
      </c>
      <c r="M215" s="5" t="s">
        <v>37</v>
      </c>
      <c r="N215" s="5" t="s">
        <v>37</v>
      </c>
      <c r="O215" s="5" t="s">
        <v>38</v>
      </c>
      <c r="P215" s="5" t="s">
        <v>39</v>
      </c>
      <c r="Q215" s="2">
        <v>45968</v>
      </c>
      <c r="V215" s="46">
        <f>IF(
  OR(
    ISNUMBER(SEARCH("unable to locate acct", tblDocketedComments[[#This Row],[Docketed Consumer Comments]])),
    ISNUMBER(SEARCH("unknown", tblDocketedComments[[#This Row],[Docketed Consumer Comments]])),
    ISNUMBER(SEARCH("inactive", tblDocketedComments[[#This Row],[Docketed Consumer Comments]]))
  ),
  0,
  1
)</f>
        <v>1</v>
      </c>
    </row>
    <row r="216" spans="1:22" ht="12.75" customHeight="1">
      <c r="A216" s="2">
        <v>45903</v>
      </c>
      <c r="B216" s="1" t="s">
        <v>716</v>
      </c>
      <c r="C216" s="1" t="s">
        <v>717</v>
      </c>
      <c r="D216" s="1" t="s">
        <v>240</v>
      </c>
      <c r="E216" s="1">
        <v>85340</v>
      </c>
      <c r="F216" s="1" t="s">
        <v>718</v>
      </c>
      <c r="G216" s="1" t="s">
        <v>506</v>
      </c>
      <c r="H216" s="4" t="s">
        <v>719</v>
      </c>
      <c r="I216" s="17" t="s">
        <v>720</v>
      </c>
      <c r="J216" s="5" t="s">
        <v>37</v>
      </c>
      <c r="K216" s="5" t="s">
        <v>37</v>
      </c>
      <c r="L216" s="5" t="s">
        <v>721</v>
      </c>
      <c r="M216" s="5" t="s">
        <v>37</v>
      </c>
      <c r="N216" s="5" t="s">
        <v>37</v>
      </c>
      <c r="O216" s="5" t="s">
        <v>38</v>
      </c>
      <c r="P216" s="5" t="s">
        <v>39</v>
      </c>
      <c r="Q216" s="2">
        <v>45968</v>
      </c>
      <c r="V216" s="46">
        <f>IF(
  OR(
    ISNUMBER(SEARCH("unable to locate acct", tblDocketedComments[[#This Row],[Docketed Consumer Comments]])),
    ISNUMBER(SEARCH("unknown", tblDocketedComments[[#This Row],[Docketed Consumer Comments]])),
    ISNUMBER(SEARCH("inactive", tblDocketedComments[[#This Row],[Docketed Consumer Comments]]))
  ),
  0,
  1
)</f>
        <v>1</v>
      </c>
    </row>
    <row r="217" spans="1:22">
      <c r="A217" s="2">
        <v>45903</v>
      </c>
      <c r="B217" s="1" t="s">
        <v>686</v>
      </c>
      <c r="C217" s="1" t="s">
        <v>722</v>
      </c>
      <c r="D217" s="1" t="s">
        <v>370</v>
      </c>
      <c r="E217" s="1">
        <v>85225</v>
      </c>
      <c r="F217" s="1" t="s">
        <v>310</v>
      </c>
      <c r="G217" s="1" t="s">
        <v>506</v>
      </c>
      <c r="H217" s="4" t="s">
        <v>723</v>
      </c>
      <c r="I217" s="5" t="s">
        <v>36</v>
      </c>
      <c r="J217" s="5" t="s">
        <v>37</v>
      </c>
      <c r="K217" s="5" t="s">
        <v>37</v>
      </c>
      <c r="L217" s="5" t="s">
        <v>38</v>
      </c>
      <c r="M217" s="5" t="s">
        <v>37</v>
      </c>
      <c r="N217" s="5" t="s">
        <v>37</v>
      </c>
      <c r="O217" s="5" t="s">
        <v>38</v>
      </c>
      <c r="P217" s="5" t="s">
        <v>39</v>
      </c>
      <c r="Q217" s="2">
        <v>45968</v>
      </c>
      <c r="U217" s="1" t="s">
        <v>724</v>
      </c>
      <c r="V217" s="46">
        <f>IF(
  OR(
    ISNUMBER(SEARCH("unable to locate acct", tblDocketedComments[[#This Row],[Docketed Consumer Comments]])),
    ISNUMBER(SEARCH("unknown", tblDocketedComments[[#This Row],[Docketed Consumer Comments]])),
    ISNUMBER(SEARCH("inactive", tblDocketedComments[[#This Row],[Docketed Consumer Comments]]))
  ),
  0,
  1
)</f>
        <v>1</v>
      </c>
    </row>
    <row r="218" spans="1:22">
      <c r="A218" s="2">
        <v>45903</v>
      </c>
      <c r="B218" s="1" t="s">
        <v>725</v>
      </c>
      <c r="C218" s="1" t="s">
        <v>153</v>
      </c>
      <c r="D218" s="1" t="s">
        <v>63</v>
      </c>
      <c r="E218" s="1">
        <v>85051</v>
      </c>
      <c r="F218" s="1" t="s">
        <v>310</v>
      </c>
      <c r="G218" s="1" t="s">
        <v>506</v>
      </c>
      <c r="H218" s="4" t="s">
        <v>726</v>
      </c>
      <c r="I218" s="5" t="s">
        <v>73</v>
      </c>
      <c r="J218" s="5" t="s">
        <v>37</v>
      </c>
      <c r="K218" s="5" t="s">
        <v>37</v>
      </c>
      <c r="L218" s="5" t="s">
        <v>38</v>
      </c>
      <c r="M218" s="5" t="s">
        <v>37</v>
      </c>
      <c r="N218" s="5" t="s">
        <v>37</v>
      </c>
      <c r="O218" s="5" t="s">
        <v>38</v>
      </c>
      <c r="P218" s="5" t="s">
        <v>39</v>
      </c>
      <c r="Q218" s="2">
        <v>45968</v>
      </c>
      <c r="V218" s="46">
        <f>IF(
  OR(
    ISNUMBER(SEARCH("unable to locate acct", tblDocketedComments[[#This Row],[Docketed Consumer Comments]])),
    ISNUMBER(SEARCH("unknown", tblDocketedComments[[#This Row],[Docketed Consumer Comments]])),
    ISNUMBER(SEARCH("inactive", tblDocketedComments[[#This Row],[Docketed Consumer Comments]]))
  ),
  0,
  1
)</f>
        <v>1</v>
      </c>
    </row>
    <row r="219" spans="1:22">
      <c r="A219" s="2">
        <v>45903</v>
      </c>
      <c r="B219" s="1" t="s">
        <v>727</v>
      </c>
      <c r="C219" s="1" t="s">
        <v>728</v>
      </c>
      <c r="D219" s="1" t="s">
        <v>63</v>
      </c>
      <c r="E219" s="1">
        <v>85393</v>
      </c>
      <c r="F219" s="1" t="s">
        <v>310</v>
      </c>
      <c r="G219" s="1" t="s">
        <v>506</v>
      </c>
      <c r="H219" s="4" t="s">
        <v>27</v>
      </c>
      <c r="V219" s="46">
        <f>IF(
  OR(
    ISNUMBER(SEARCH("unable to locate acct", tblDocketedComments[[#This Row],[Docketed Consumer Comments]])),
    ISNUMBER(SEARCH("unknown", tblDocketedComments[[#This Row],[Docketed Consumer Comments]])),
    ISNUMBER(SEARCH("inactive", tblDocketedComments[[#This Row],[Docketed Consumer Comments]]))
  ),
  0,
  1
)</f>
        <v>1</v>
      </c>
    </row>
    <row r="220" spans="1:22">
      <c r="A220" s="2">
        <v>45903</v>
      </c>
      <c r="B220" s="1" t="s">
        <v>729</v>
      </c>
      <c r="C220" s="1" t="s">
        <v>690</v>
      </c>
      <c r="D220" s="1" t="s">
        <v>112</v>
      </c>
      <c r="E220" s="1">
        <v>85388</v>
      </c>
      <c r="F220" s="1" t="s">
        <v>730</v>
      </c>
      <c r="G220" s="1" t="s">
        <v>506</v>
      </c>
      <c r="H220" s="4" t="s">
        <v>731</v>
      </c>
      <c r="I220" s="5" t="s">
        <v>46</v>
      </c>
      <c r="J220" s="5" t="s">
        <v>37</v>
      </c>
      <c r="K220" s="5" t="s">
        <v>37</v>
      </c>
      <c r="L220" s="5" t="s">
        <v>38</v>
      </c>
      <c r="M220" s="5" t="s">
        <v>37</v>
      </c>
      <c r="N220" s="5" t="s">
        <v>37</v>
      </c>
      <c r="O220" s="5" t="s">
        <v>38</v>
      </c>
      <c r="P220" s="5" t="s">
        <v>39</v>
      </c>
      <c r="Q220" s="2">
        <v>45968</v>
      </c>
      <c r="V220" s="46">
        <f>IF(
  OR(
    ISNUMBER(SEARCH("unable to locate acct", tblDocketedComments[[#This Row],[Docketed Consumer Comments]])),
    ISNUMBER(SEARCH("unknown", tblDocketedComments[[#This Row],[Docketed Consumer Comments]])),
    ISNUMBER(SEARCH("inactive", tblDocketedComments[[#This Row],[Docketed Consumer Comments]]))
  ),
  0,
  1
)</f>
        <v>1</v>
      </c>
    </row>
    <row r="221" spans="1:22">
      <c r="A221" s="2">
        <v>45903</v>
      </c>
      <c r="B221" s="1" t="s">
        <v>732</v>
      </c>
      <c r="C221" s="1" t="s">
        <v>733</v>
      </c>
      <c r="D221" s="1" t="s">
        <v>169</v>
      </c>
      <c r="E221" s="1">
        <v>85338</v>
      </c>
      <c r="F221" s="1" t="s">
        <v>734</v>
      </c>
      <c r="G221" s="1" t="s">
        <v>506</v>
      </c>
      <c r="H221" s="4" t="s">
        <v>735</v>
      </c>
      <c r="I221" s="5" t="s">
        <v>73</v>
      </c>
      <c r="J221" s="5" t="s">
        <v>37</v>
      </c>
      <c r="K221" s="5" t="s">
        <v>37</v>
      </c>
      <c r="L221" s="5" t="s">
        <v>38</v>
      </c>
      <c r="M221" s="5" t="s">
        <v>37</v>
      </c>
      <c r="N221" s="5" t="s">
        <v>37</v>
      </c>
      <c r="O221" s="5" t="s">
        <v>38</v>
      </c>
      <c r="P221" s="5" t="s">
        <v>39</v>
      </c>
      <c r="Q221" s="2">
        <v>45968</v>
      </c>
      <c r="V221" s="46">
        <f>IF(
  OR(
    ISNUMBER(SEARCH("unable to locate acct", tblDocketedComments[[#This Row],[Docketed Consumer Comments]])),
    ISNUMBER(SEARCH("unknown", tblDocketedComments[[#This Row],[Docketed Consumer Comments]])),
    ISNUMBER(SEARCH("inactive", tblDocketedComments[[#This Row],[Docketed Consumer Comments]]))
  ),
  0,
  1
)</f>
        <v>1</v>
      </c>
    </row>
    <row r="222" spans="1:22">
      <c r="A222" s="2">
        <v>45903</v>
      </c>
      <c r="B222" s="1" t="s">
        <v>736</v>
      </c>
      <c r="C222" s="1" t="s">
        <v>411</v>
      </c>
      <c r="D222" s="1" t="s">
        <v>737</v>
      </c>
      <c r="E222" s="1">
        <v>86326</v>
      </c>
      <c r="F222" s="1" t="s">
        <v>738</v>
      </c>
      <c r="G222" s="1" t="s">
        <v>506</v>
      </c>
      <c r="H222" s="4" t="s">
        <v>739</v>
      </c>
      <c r="I222" s="5" t="s">
        <v>541</v>
      </c>
      <c r="J222" s="5" t="s">
        <v>37</v>
      </c>
      <c r="K222" s="5" t="s">
        <v>37</v>
      </c>
      <c r="L222" s="5" t="s">
        <v>389</v>
      </c>
      <c r="M222" s="5" t="s">
        <v>37</v>
      </c>
      <c r="N222" s="5" t="s">
        <v>37</v>
      </c>
      <c r="O222" s="5" t="s">
        <v>38</v>
      </c>
      <c r="P222" s="5" t="s">
        <v>39</v>
      </c>
      <c r="Q222" s="2">
        <v>45968</v>
      </c>
      <c r="V222" s="46">
        <f>IF(
  OR(
    ISNUMBER(SEARCH("unable to locate acct", tblDocketedComments[[#This Row],[Docketed Consumer Comments]])),
    ISNUMBER(SEARCH("unknown", tblDocketedComments[[#This Row],[Docketed Consumer Comments]])),
    ISNUMBER(SEARCH("inactive", tblDocketedComments[[#This Row],[Docketed Consumer Comments]]))
  ),
  0,
  1
)</f>
        <v>1</v>
      </c>
    </row>
    <row r="223" spans="1:22">
      <c r="A223" s="2">
        <v>45903</v>
      </c>
      <c r="B223" s="1" t="s">
        <v>740</v>
      </c>
      <c r="C223" s="1" t="s">
        <v>597</v>
      </c>
      <c r="D223" s="1" t="s">
        <v>169</v>
      </c>
      <c r="E223" s="1">
        <v>85338</v>
      </c>
      <c r="F223" s="1" t="s">
        <v>741</v>
      </c>
      <c r="G223" s="1" t="s">
        <v>506</v>
      </c>
      <c r="H223" s="4" t="s">
        <v>742</v>
      </c>
      <c r="I223" s="5" t="s">
        <v>541</v>
      </c>
      <c r="J223" s="5" t="s">
        <v>37</v>
      </c>
      <c r="K223" s="5" t="s">
        <v>37</v>
      </c>
      <c r="L223" s="5" t="s">
        <v>389</v>
      </c>
      <c r="M223" s="5" t="s">
        <v>37</v>
      </c>
      <c r="N223" s="5" t="s">
        <v>37</v>
      </c>
      <c r="O223" s="5" t="s">
        <v>38</v>
      </c>
      <c r="P223" s="5" t="s">
        <v>39</v>
      </c>
      <c r="Q223" s="2">
        <v>45968</v>
      </c>
      <c r="V223" s="46">
        <f>IF(
  OR(
    ISNUMBER(SEARCH("unable to locate acct", tblDocketedComments[[#This Row],[Docketed Consumer Comments]])),
    ISNUMBER(SEARCH("unknown", tblDocketedComments[[#This Row],[Docketed Consumer Comments]])),
    ISNUMBER(SEARCH("inactive", tblDocketedComments[[#This Row],[Docketed Consumer Comments]]))
  ),
  0,
  1
)</f>
        <v>1</v>
      </c>
    </row>
    <row r="224" spans="1:22">
      <c r="A224" s="2">
        <v>45903</v>
      </c>
      <c r="B224" s="1" t="s">
        <v>743</v>
      </c>
      <c r="C224" s="1" t="s">
        <v>744</v>
      </c>
      <c r="D224" s="1" t="s">
        <v>63</v>
      </c>
      <c r="E224" s="1">
        <v>85023</v>
      </c>
      <c r="F224" s="1" t="s">
        <v>310</v>
      </c>
      <c r="G224" s="1" t="s">
        <v>506</v>
      </c>
      <c r="H224" s="4" t="s">
        <v>745</v>
      </c>
      <c r="I224" s="5" t="s">
        <v>36</v>
      </c>
      <c r="J224" s="5" t="s">
        <v>37</v>
      </c>
      <c r="K224" s="5" t="s">
        <v>37</v>
      </c>
      <c r="L224" s="5" t="s">
        <v>38</v>
      </c>
      <c r="M224" s="5" t="s">
        <v>37</v>
      </c>
      <c r="N224" s="5" t="s">
        <v>37</v>
      </c>
      <c r="O224" s="5" t="s">
        <v>38</v>
      </c>
      <c r="P224" s="5" t="s">
        <v>39</v>
      </c>
      <c r="Q224" s="2">
        <v>45968</v>
      </c>
      <c r="V224" s="46">
        <f>IF(
  OR(
    ISNUMBER(SEARCH("unable to locate acct", tblDocketedComments[[#This Row],[Docketed Consumer Comments]])),
    ISNUMBER(SEARCH("unknown", tblDocketedComments[[#This Row],[Docketed Consumer Comments]])),
    ISNUMBER(SEARCH("inactive", tblDocketedComments[[#This Row],[Docketed Consumer Comments]]))
  ),
  0,
  1
)</f>
        <v>1</v>
      </c>
    </row>
    <row r="225" spans="1:22">
      <c r="A225" s="2">
        <v>45903</v>
      </c>
      <c r="B225" s="1" t="s">
        <v>746</v>
      </c>
      <c r="C225" s="1" t="s">
        <v>747</v>
      </c>
      <c r="D225" s="1" t="s">
        <v>202</v>
      </c>
      <c r="E225" s="1">
        <v>85383</v>
      </c>
      <c r="F225" s="1" t="s">
        <v>748</v>
      </c>
      <c r="G225" s="1" t="s">
        <v>506</v>
      </c>
      <c r="H225" s="4" t="s">
        <v>749</v>
      </c>
      <c r="I225" s="5" t="s">
        <v>126</v>
      </c>
      <c r="J225" s="5" t="s">
        <v>37</v>
      </c>
      <c r="K225" s="5" t="s">
        <v>37</v>
      </c>
      <c r="L225" s="5" t="s">
        <v>38</v>
      </c>
      <c r="M225" s="5" t="s">
        <v>37</v>
      </c>
      <c r="N225" s="5" t="s">
        <v>37</v>
      </c>
      <c r="O225" s="5" t="s">
        <v>38</v>
      </c>
      <c r="P225" s="5" t="s">
        <v>39</v>
      </c>
      <c r="Q225" s="2">
        <v>45968</v>
      </c>
      <c r="V225" s="46">
        <f>IF(
  OR(
    ISNUMBER(SEARCH("unable to locate acct", tblDocketedComments[[#This Row],[Docketed Consumer Comments]])),
    ISNUMBER(SEARCH("unknown", tblDocketedComments[[#This Row],[Docketed Consumer Comments]])),
    ISNUMBER(SEARCH("inactive", tblDocketedComments[[#This Row],[Docketed Consumer Comments]]))
  ),
  0,
  1
)</f>
        <v>1</v>
      </c>
    </row>
    <row r="226" spans="1:22">
      <c r="A226" s="2">
        <v>45903</v>
      </c>
      <c r="B226" s="1" t="s">
        <v>750</v>
      </c>
      <c r="C226" s="1" t="s">
        <v>230</v>
      </c>
      <c r="D226" s="1" t="s">
        <v>169</v>
      </c>
      <c r="E226" s="1">
        <v>85395</v>
      </c>
      <c r="F226" s="1" t="s">
        <v>751</v>
      </c>
      <c r="G226" s="1" t="s">
        <v>506</v>
      </c>
      <c r="H226" s="4" t="s">
        <v>27</v>
      </c>
      <c r="U226" s="1" t="s">
        <v>724</v>
      </c>
      <c r="V226" s="46">
        <f>IF(
  OR(
    ISNUMBER(SEARCH("unable to locate acct", tblDocketedComments[[#This Row],[Docketed Consumer Comments]])),
    ISNUMBER(SEARCH("unknown", tblDocketedComments[[#This Row],[Docketed Consumer Comments]])),
    ISNUMBER(SEARCH("inactive", tblDocketedComments[[#This Row],[Docketed Consumer Comments]]))
  ),
  0,
  1
)</f>
        <v>1</v>
      </c>
    </row>
    <row r="227" spans="1:22">
      <c r="A227" s="2">
        <v>45903</v>
      </c>
      <c r="B227" s="1" t="s">
        <v>752</v>
      </c>
      <c r="C227" s="1" t="s">
        <v>411</v>
      </c>
      <c r="D227" s="1" t="s">
        <v>63</v>
      </c>
      <c r="E227" s="1">
        <v>85085</v>
      </c>
      <c r="F227" s="1" t="s">
        <v>310</v>
      </c>
      <c r="G227" s="1" t="s">
        <v>506</v>
      </c>
      <c r="H227" s="4" t="s">
        <v>753</v>
      </c>
      <c r="I227" s="5" t="s">
        <v>73</v>
      </c>
      <c r="J227" s="5" t="s">
        <v>37</v>
      </c>
      <c r="K227" s="5" t="s">
        <v>37</v>
      </c>
      <c r="L227" s="5" t="s">
        <v>38</v>
      </c>
      <c r="M227" s="5" t="s">
        <v>37</v>
      </c>
      <c r="N227" s="5" t="s">
        <v>37</v>
      </c>
      <c r="O227" s="5" t="s">
        <v>38</v>
      </c>
      <c r="P227" s="5" t="s">
        <v>39</v>
      </c>
      <c r="Q227" s="2">
        <v>45968</v>
      </c>
      <c r="V227" s="46">
        <f>IF(
  OR(
    ISNUMBER(SEARCH("unable to locate acct", tblDocketedComments[[#This Row],[Docketed Consumer Comments]])),
    ISNUMBER(SEARCH("unknown", tblDocketedComments[[#This Row],[Docketed Consumer Comments]])),
    ISNUMBER(SEARCH("inactive", tblDocketedComments[[#This Row],[Docketed Consumer Comments]]))
  ),
  0,
  1
)</f>
        <v>1</v>
      </c>
    </row>
    <row r="228" spans="1:22">
      <c r="A228" s="2">
        <v>45903</v>
      </c>
      <c r="B228" s="1" t="s">
        <v>754</v>
      </c>
      <c r="C228" s="1" t="s">
        <v>755</v>
      </c>
      <c r="D228" s="1" t="s">
        <v>63</v>
      </c>
      <c r="E228" s="1">
        <v>85034</v>
      </c>
      <c r="F228" s="1" t="s">
        <v>31</v>
      </c>
      <c r="G228" s="1" t="s">
        <v>506</v>
      </c>
      <c r="H228" s="4" t="s">
        <v>90</v>
      </c>
      <c r="V228" s="46">
        <f>IF(
  OR(
    ISNUMBER(SEARCH("unable to locate acct", tblDocketedComments[[#This Row],[Docketed Consumer Comments]])),
    ISNUMBER(SEARCH("unknown", tblDocketedComments[[#This Row],[Docketed Consumer Comments]])),
    ISNUMBER(SEARCH("inactive", tblDocketedComments[[#This Row],[Docketed Consumer Comments]]))
  ),
  0,
  1
)</f>
        <v>1</v>
      </c>
    </row>
    <row r="229" spans="1:22">
      <c r="A229" s="2">
        <v>45903</v>
      </c>
      <c r="B229" s="1" t="s">
        <v>756</v>
      </c>
      <c r="C229" s="1" t="s">
        <v>757</v>
      </c>
      <c r="D229" s="1" t="s">
        <v>24</v>
      </c>
      <c r="E229" s="1">
        <v>85310</v>
      </c>
      <c r="F229" s="1" t="s">
        <v>758</v>
      </c>
      <c r="G229" s="1" t="s">
        <v>506</v>
      </c>
      <c r="H229" s="4" t="s">
        <v>759</v>
      </c>
      <c r="I229" s="5" t="s">
        <v>36</v>
      </c>
      <c r="J229" s="5" t="s">
        <v>37</v>
      </c>
      <c r="K229" s="5" t="s">
        <v>37</v>
      </c>
      <c r="L229" s="5" t="s">
        <v>38</v>
      </c>
      <c r="M229" s="5" t="s">
        <v>37</v>
      </c>
      <c r="N229" s="5" t="s">
        <v>37</v>
      </c>
      <c r="O229" s="5" t="s">
        <v>38</v>
      </c>
      <c r="P229" s="5" t="s">
        <v>39</v>
      </c>
      <c r="Q229" s="2">
        <v>45968</v>
      </c>
      <c r="V229" s="46">
        <f>IF(
  OR(
    ISNUMBER(SEARCH("unable to locate acct", tblDocketedComments[[#This Row],[Docketed Consumer Comments]])),
    ISNUMBER(SEARCH("unknown", tblDocketedComments[[#This Row],[Docketed Consumer Comments]])),
    ISNUMBER(SEARCH("inactive", tblDocketedComments[[#This Row],[Docketed Consumer Comments]]))
  ),
  0,
  1
)</f>
        <v>1</v>
      </c>
    </row>
    <row r="230" spans="1:22">
      <c r="A230" s="2">
        <v>45903</v>
      </c>
      <c r="B230" s="1" t="s">
        <v>227</v>
      </c>
      <c r="C230" s="1" t="s">
        <v>760</v>
      </c>
      <c r="D230" s="1" t="s">
        <v>112</v>
      </c>
      <c r="E230" s="1">
        <v>85388</v>
      </c>
      <c r="F230" s="1" t="s">
        <v>761</v>
      </c>
      <c r="G230" s="1" t="s">
        <v>506</v>
      </c>
      <c r="H230" s="4" t="s">
        <v>209</v>
      </c>
      <c r="V230" s="46">
        <f>IF(
  OR(
    ISNUMBER(SEARCH("unable to locate acct", tblDocketedComments[[#This Row],[Docketed Consumer Comments]])),
    ISNUMBER(SEARCH("unknown", tblDocketedComments[[#This Row],[Docketed Consumer Comments]])),
    ISNUMBER(SEARCH("inactive", tblDocketedComments[[#This Row],[Docketed Consumer Comments]]))
  ),
  0,
  1
)</f>
        <v>1</v>
      </c>
    </row>
    <row r="231" spans="1:22">
      <c r="A231" s="2">
        <v>45903</v>
      </c>
      <c r="B231" s="1" t="s">
        <v>762</v>
      </c>
      <c r="C231" s="1" t="s">
        <v>763</v>
      </c>
      <c r="D231" s="1" t="s">
        <v>63</v>
      </c>
      <c r="E231" s="1">
        <v>85006</v>
      </c>
      <c r="F231" s="1" t="s">
        <v>310</v>
      </c>
      <c r="G231" s="1" t="s">
        <v>506</v>
      </c>
      <c r="H231" s="4" t="s">
        <v>764</v>
      </c>
      <c r="I231" s="5" t="s">
        <v>196</v>
      </c>
      <c r="J231" s="5" t="s">
        <v>37</v>
      </c>
      <c r="K231" s="5" t="s">
        <v>37</v>
      </c>
      <c r="L231" s="7" t="s">
        <v>765</v>
      </c>
      <c r="M231" s="5" t="s">
        <v>37</v>
      </c>
      <c r="N231" s="5" t="s">
        <v>37</v>
      </c>
      <c r="O231" s="5" t="s">
        <v>38</v>
      </c>
      <c r="P231" s="2">
        <v>45933</v>
      </c>
      <c r="Q231" s="2">
        <v>45968</v>
      </c>
      <c r="R231" s="1" t="s">
        <v>766</v>
      </c>
      <c r="V231" s="46">
        <f>IF(
  OR(
    ISNUMBER(SEARCH("unable to locate acct", tblDocketedComments[[#This Row],[Docketed Consumer Comments]])),
    ISNUMBER(SEARCH("unknown", tblDocketedComments[[#This Row],[Docketed Consumer Comments]])),
    ISNUMBER(SEARCH("inactive", tblDocketedComments[[#This Row],[Docketed Consumer Comments]]))
  ),
  0,
  1
)</f>
        <v>1</v>
      </c>
    </row>
    <row r="232" spans="1:22">
      <c r="A232" s="2">
        <v>45903</v>
      </c>
      <c r="B232" s="1" t="s">
        <v>767</v>
      </c>
      <c r="C232" s="1" t="s">
        <v>768</v>
      </c>
      <c r="D232" s="1" t="s">
        <v>125</v>
      </c>
      <c r="E232" s="1">
        <v>85254</v>
      </c>
      <c r="F232" s="1" t="s">
        <v>310</v>
      </c>
      <c r="G232" s="1" t="s">
        <v>506</v>
      </c>
      <c r="H232" s="4" t="s">
        <v>769</v>
      </c>
      <c r="I232" s="5" t="s">
        <v>196</v>
      </c>
      <c r="J232" s="5" t="s">
        <v>37</v>
      </c>
      <c r="K232" s="5" t="s">
        <v>37</v>
      </c>
      <c r="L232" s="5" t="s">
        <v>38</v>
      </c>
      <c r="M232" s="5" t="s">
        <v>37</v>
      </c>
      <c r="N232" s="5" t="s">
        <v>37</v>
      </c>
      <c r="O232" s="5" t="s">
        <v>38</v>
      </c>
      <c r="P232" s="5" t="s">
        <v>39</v>
      </c>
      <c r="Q232" s="2">
        <v>45968</v>
      </c>
      <c r="V232" s="46">
        <f>IF(
  OR(
    ISNUMBER(SEARCH("unable to locate acct", tblDocketedComments[[#This Row],[Docketed Consumer Comments]])),
    ISNUMBER(SEARCH("unknown", tblDocketedComments[[#This Row],[Docketed Consumer Comments]])),
    ISNUMBER(SEARCH("inactive", tblDocketedComments[[#This Row],[Docketed Consumer Comments]]))
  ),
  0,
  1
)</f>
        <v>1</v>
      </c>
    </row>
    <row r="233" spans="1:22">
      <c r="A233" s="2">
        <v>45903</v>
      </c>
      <c r="B233" s="1" t="s">
        <v>770</v>
      </c>
      <c r="C233" s="1" t="s">
        <v>771</v>
      </c>
      <c r="D233" s="1" t="s">
        <v>202</v>
      </c>
      <c r="E233" s="1">
        <v>85383</v>
      </c>
      <c r="F233" s="1" t="s">
        <v>772</v>
      </c>
      <c r="G233" s="1" t="s">
        <v>506</v>
      </c>
      <c r="H233" s="4" t="s">
        <v>773</v>
      </c>
      <c r="I233" s="5" t="s">
        <v>196</v>
      </c>
      <c r="J233" s="5" t="s">
        <v>38</v>
      </c>
      <c r="K233" s="5" t="s">
        <v>37</v>
      </c>
      <c r="L233" s="5" t="s">
        <v>38</v>
      </c>
      <c r="M233" s="5" t="s">
        <v>37</v>
      </c>
      <c r="N233" s="5" t="s">
        <v>37</v>
      </c>
      <c r="O233" s="5" t="s">
        <v>38</v>
      </c>
      <c r="P233" s="5" t="s">
        <v>39</v>
      </c>
      <c r="Q233" s="2">
        <v>45968</v>
      </c>
      <c r="V233" s="46">
        <f>IF(
  OR(
    ISNUMBER(SEARCH("unable to locate acct", tblDocketedComments[[#This Row],[Docketed Consumer Comments]])),
    ISNUMBER(SEARCH("unknown", tblDocketedComments[[#This Row],[Docketed Consumer Comments]])),
    ISNUMBER(SEARCH("inactive", tblDocketedComments[[#This Row],[Docketed Consumer Comments]]))
  ),
  0,
  1
)</f>
        <v>1</v>
      </c>
    </row>
    <row r="234" spans="1:22">
      <c r="A234" s="2">
        <v>45903</v>
      </c>
      <c r="B234" s="1" t="s">
        <v>774</v>
      </c>
      <c r="C234" s="1" t="s">
        <v>320</v>
      </c>
      <c r="D234" s="1" t="s">
        <v>428</v>
      </c>
      <c r="E234" s="1">
        <v>85335</v>
      </c>
      <c r="F234" s="1" t="s">
        <v>310</v>
      </c>
      <c r="G234" s="1" t="s">
        <v>506</v>
      </c>
      <c r="H234" s="4" t="s">
        <v>775</v>
      </c>
      <c r="I234" s="5" t="s">
        <v>36</v>
      </c>
      <c r="J234" s="5" t="s">
        <v>37</v>
      </c>
      <c r="K234" s="5" t="s">
        <v>37</v>
      </c>
      <c r="L234" s="5" t="s">
        <v>38</v>
      </c>
      <c r="M234" s="5" t="s">
        <v>37</v>
      </c>
      <c r="N234" s="5" t="s">
        <v>37</v>
      </c>
      <c r="O234" s="5" t="s">
        <v>38</v>
      </c>
      <c r="P234" s="5" t="s">
        <v>39</v>
      </c>
      <c r="Q234" s="2">
        <v>45968</v>
      </c>
      <c r="V234" s="46">
        <f>IF(
  OR(
    ISNUMBER(SEARCH("unable to locate acct", tblDocketedComments[[#This Row],[Docketed Consumer Comments]])),
    ISNUMBER(SEARCH("unknown", tblDocketedComments[[#This Row],[Docketed Consumer Comments]])),
    ISNUMBER(SEARCH("inactive", tblDocketedComments[[#This Row],[Docketed Consumer Comments]]))
  ),
  0,
  1
)</f>
        <v>1</v>
      </c>
    </row>
    <row r="235" spans="1:22">
      <c r="A235" s="2">
        <v>45903</v>
      </c>
      <c r="B235" s="1" t="s">
        <v>776</v>
      </c>
      <c r="C235" s="1" t="s">
        <v>777</v>
      </c>
      <c r="D235" s="1" t="s">
        <v>174</v>
      </c>
      <c r="E235" s="1">
        <v>85326</v>
      </c>
      <c r="F235" s="1" t="s">
        <v>310</v>
      </c>
      <c r="G235" s="1" t="s">
        <v>506</v>
      </c>
      <c r="H235" s="18" t="s">
        <v>778</v>
      </c>
      <c r="I235" s="5" t="s">
        <v>36</v>
      </c>
      <c r="J235" s="5" t="s">
        <v>37</v>
      </c>
      <c r="K235" s="5" t="s">
        <v>37</v>
      </c>
      <c r="L235" s="5" t="s">
        <v>38</v>
      </c>
      <c r="M235" s="5" t="s">
        <v>37</v>
      </c>
      <c r="N235" s="5" t="s">
        <v>37</v>
      </c>
      <c r="O235" s="5" t="s">
        <v>38</v>
      </c>
      <c r="P235" s="5" t="s">
        <v>39</v>
      </c>
      <c r="Q235" s="2">
        <v>45968</v>
      </c>
      <c r="V235" s="46">
        <f>IF(
  OR(
    ISNUMBER(SEARCH("unable to locate acct", tblDocketedComments[[#This Row],[Docketed Consumer Comments]])),
    ISNUMBER(SEARCH("unknown", tblDocketedComments[[#This Row],[Docketed Consumer Comments]])),
    ISNUMBER(SEARCH("inactive", tblDocketedComments[[#This Row],[Docketed Consumer Comments]]))
  ),
  0,
  1
)</f>
        <v>1</v>
      </c>
    </row>
    <row r="236" spans="1:22">
      <c r="A236" s="2">
        <v>45903</v>
      </c>
      <c r="B236" s="1" t="s">
        <v>779</v>
      </c>
      <c r="C236" s="1" t="s">
        <v>780</v>
      </c>
      <c r="D236" s="1" t="s">
        <v>63</v>
      </c>
      <c r="E236" s="1">
        <v>85023</v>
      </c>
      <c r="F236" s="1" t="s">
        <v>31</v>
      </c>
      <c r="G236" s="1" t="s">
        <v>506</v>
      </c>
      <c r="H236" s="4" t="s">
        <v>90</v>
      </c>
      <c r="V236" s="46">
        <f>IF(
  OR(
    ISNUMBER(SEARCH("unable to locate acct", tblDocketedComments[[#This Row],[Docketed Consumer Comments]])),
    ISNUMBER(SEARCH("unknown", tblDocketedComments[[#This Row],[Docketed Consumer Comments]])),
    ISNUMBER(SEARCH("inactive", tblDocketedComments[[#This Row],[Docketed Consumer Comments]]))
  ),
  0,
  1
)</f>
        <v>1</v>
      </c>
    </row>
    <row r="237" spans="1:22">
      <c r="A237" s="2">
        <v>45903</v>
      </c>
      <c r="B237" s="1" t="s">
        <v>781</v>
      </c>
      <c r="C237" s="1" t="s">
        <v>782</v>
      </c>
      <c r="D237" s="1" t="s">
        <v>202</v>
      </c>
      <c r="E237" s="1">
        <v>85383</v>
      </c>
      <c r="F237" s="1" t="s">
        <v>31</v>
      </c>
      <c r="G237" s="1" t="s">
        <v>506</v>
      </c>
      <c r="H237" s="4" t="s">
        <v>27</v>
      </c>
      <c r="V237" s="46">
        <f>IF(
  OR(
    ISNUMBER(SEARCH("unable to locate acct", tblDocketedComments[[#This Row],[Docketed Consumer Comments]])),
    ISNUMBER(SEARCH("unknown", tblDocketedComments[[#This Row],[Docketed Consumer Comments]])),
    ISNUMBER(SEARCH("inactive", tblDocketedComments[[#This Row],[Docketed Consumer Comments]]))
  ),
  0,
  1
)</f>
        <v>1</v>
      </c>
    </row>
    <row r="238" spans="1:22">
      <c r="A238" s="2">
        <v>45903</v>
      </c>
      <c r="B238" s="1" t="s">
        <v>783</v>
      </c>
      <c r="C238" s="1" t="s">
        <v>784</v>
      </c>
      <c r="D238" s="1" t="s">
        <v>63</v>
      </c>
      <c r="E238" s="1">
        <v>85015</v>
      </c>
      <c r="F238" s="1" t="s">
        <v>785</v>
      </c>
      <c r="G238" s="1" t="s">
        <v>506</v>
      </c>
      <c r="H238" s="4" t="s">
        <v>27</v>
      </c>
      <c r="U238" s="1" t="s">
        <v>724</v>
      </c>
      <c r="V238" s="46">
        <f>IF(
  OR(
    ISNUMBER(SEARCH("unable to locate acct", tblDocketedComments[[#This Row],[Docketed Consumer Comments]])),
    ISNUMBER(SEARCH("unknown", tblDocketedComments[[#This Row],[Docketed Consumer Comments]])),
    ISNUMBER(SEARCH("inactive", tblDocketedComments[[#This Row],[Docketed Consumer Comments]]))
  ),
  0,
  1
)</f>
        <v>1</v>
      </c>
    </row>
    <row r="239" spans="1:22">
      <c r="A239" s="2">
        <v>45903</v>
      </c>
      <c r="B239" s="1" t="s">
        <v>786</v>
      </c>
      <c r="C239" s="1" t="s">
        <v>787</v>
      </c>
      <c r="D239" s="1" t="s">
        <v>313</v>
      </c>
      <c r="E239" s="1">
        <v>85383</v>
      </c>
      <c r="F239" s="1" t="s">
        <v>310</v>
      </c>
      <c r="G239" s="1" t="s">
        <v>506</v>
      </c>
      <c r="H239" s="4" t="s">
        <v>788</v>
      </c>
      <c r="I239" s="5" t="s">
        <v>36</v>
      </c>
      <c r="J239" s="5" t="s">
        <v>37</v>
      </c>
      <c r="K239" s="5" t="s">
        <v>37</v>
      </c>
      <c r="L239" s="5" t="s">
        <v>38</v>
      </c>
      <c r="M239" s="5" t="s">
        <v>37</v>
      </c>
      <c r="N239" s="5" t="s">
        <v>37</v>
      </c>
      <c r="O239" s="5" t="s">
        <v>38</v>
      </c>
      <c r="P239" s="5" t="s">
        <v>39</v>
      </c>
      <c r="Q239" s="2">
        <v>45968</v>
      </c>
      <c r="V239" s="46">
        <f>IF(
  OR(
    ISNUMBER(SEARCH("unable to locate acct", tblDocketedComments[[#This Row],[Docketed Consumer Comments]])),
    ISNUMBER(SEARCH("unknown", tblDocketedComments[[#This Row],[Docketed Consumer Comments]])),
    ISNUMBER(SEARCH("inactive", tblDocketedComments[[#This Row],[Docketed Consumer Comments]]))
  ),
  0,
  1
)</f>
        <v>1</v>
      </c>
    </row>
    <row r="240" spans="1:22">
      <c r="A240" s="2">
        <v>45903</v>
      </c>
      <c r="B240" s="1" t="s">
        <v>789</v>
      </c>
      <c r="C240" s="1" t="s">
        <v>790</v>
      </c>
      <c r="D240" s="1" t="s">
        <v>523</v>
      </c>
      <c r="E240" s="1">
        <v>85392</v>
      </c>
      <c r="F240" s="1" t="s">
        <v>791</v>
      </c>
      <c r="G240" s="1" t="s">
        <v>506</v>
      </c>
      <c r="H240" s="4" t="s">
        <v>27</v>
      </c>
      <c r="V240" s="46">
        <f>IF(
  OR(
    ISNUMBER(SEARCH("unable to locate acct", tblDocketedComments[[#This Row],[Docketed Consumer Comments]])),
    ISNUMBER(SEARCH("unknown", tblDocketedComments[[#This Row],[Docketed Consumer Comments]])),
    ISNUMBER(SEARCH("inactive", tblDocketedComments[[#This Row],[Docketed Consumer Comments]]))
  ),
  0,
  1
)</f>
        <v>1</v>
      </c>
    </row>
    <row r="241" spans="1:22">
      <c r="A241" s="2">
        <v>45903</v>
      </c>
      <c r="B241" s="1" t="s">
        <v>792</v>
      </c>
      <c r="C241" s="1" t="s">
        <v>793</v>
      </c>
      <c r="D241" s="1" t="s">
        <v>63</v>
      </c>
      <c r="E241" s="1">
        <v>85028</v>
      </c>
      <c r="F241" s="1" t="s">
        <v>310</v>
      </c>
      <c r="G241" s="1" t="s">
        <v>506</v>
      </c>
      <c r="H241" s="19" t="s">
        <v>794</v>
      </c>
      <c r="I241" s="5" t="s">
        <v>36</v>
      </c>
      <c r="J241" s="5" t="s">
        <v>37</v>
      </c>
      <c r="K241" s="5" t="s">
        <v>37</v>
      </c>
      <c r="L241" s="5" t="s">
        <v>38</v>
      </c>
      <c r="M241" s="5" t="s">
        <v>37</v>
      </c>
      <c r="N241" s="5" t="s">
        <v>37</v>
      </c>
      <c r="O241" s="5" t="s">
        <v>38</v>
      </c>
      <c r="P241" s="5" t="s">
        <v>39</v>
      </c>
      <c r="Q241" s="2">
        <v>45968</v>
      </c>
      <c r="V241" s="46">
        <f>IF(
  OR(
    ISNUMBER(SEARCH("unable to locate acct", tblDocketedComments[[#This Row],[Docketed Consumer Comments]])),
    ISNUMBER(SEARCH("unknown", tblDocketedComments[[#This Row],[Docketed Consumer Comments]])),
    ISNUMBER(SEARCH("inactive", tblDocketedComments[[#This Row],[Docketed Consumer Comments]]))
  ),
  0,
  1
)</f>
        <v>1</v>
      </c>
    </row>
    <row r="242" spans="1:22">
      <c r="A242" s="2">
        <v>45903</v>
      </c>
      <c r="B242" s="1" t="s">
        <v>795</v>
      </c>
      <c r="C242" s="1" t="s">
        <v>796</v>
      </c>
      <c r="D242" s="1" t="s">
        <v>202</v>
      </c>
      <c r="E242" s="1">
        <v>85383</v>
      </c>
      <c r="F242" s="1" t="s">
        <v>310</v>
      </c>
      <c r="G242" s="1" t="s">
        <v>506</v>
      </c>
      <c r="H242" s="4" t="s">
        <v>27</v>
      </c>
      <c r="V242" s="46">
        <f>IF(
  OR(
    ISNUMBER(SEARCH("unable to locate acct", tblDocketedComments[[#This Row],[Docketed Consumer Comments]])),
    ISNUMBER(SEARCH("unknown", tblDocketedComments[[#This Row],[Docketed Consumer Comments]])),
    ISNUMBER(SEARCH("inactive", tblDocketedComments[[#This Row],[Docketed Consumer Comments]]))
  ),
  0,
  1
)</f>
        <v>1</v>
      </c>
    </row>
    <row r="243" spans="1:22">
      <c r="A243" s="2">
        <v>45903</v>
      </c>
      <c r="B243" s="1" t="s">
        <v>797</v>
      </c>
      <c r="C243" s="1" t="s">
        <v>363</v>
      </c>
      <c r="D243" s="1" t="s">
        <v>125</v>
      </c>
      <c r="E243" s="1">
        <v>85258</v>
      </c>
      <c r="F243" s="1" t="s">
        <v>798</v>
      </c>
      <c r="G243" s="1" t="s">
        <v>506</v>
      </c>
      <c r="H243" s="4" t="s">
        <v>799</v>
      </c>
      <c r="I243" s="5" t="s">
        <v>36</v>
      </c>
      <c r="J243" s="5" t="s">
        <v>37</v>
      </c>
      <c r="K243" s="5" t="s">
        <v>37</v>
      </c>
      <c r="L243" s="5" t="s">
        <v>38</v>
      </c>
      <c r="M243" s="5" t="s">
        <v>37</v>
      </c>
      <c r="N243" s="5" t="s">
        <v>37</v>
      </c>
      <c r="O243" s="5" t="s">
        <v>38</v>
      </c>
      <c r="P243" s="5" t="s">
        <v>39</v>
      </c>
      <c r="Q243" s="2">
        <v>45968</v>
      </c>
      <c r="V243" s="46">
        <f>IF(
  OR(
    ISNUMBER(SEARCH("unable to locate acct", tblDocketedComments[[#This Row],[Docketed Consumer Comments]])),
    ISNUMBER(SEARCH("unknown", tblDocketedComments[[#This Row],[Docketed Consumer Comments]])),
    ISNUMBER(SEARCH("inactive", tblDocketedComments[[#This Row],[Docketed Consumer Comments]]))
  ),
  0,
  1
)</f>
        <v>1</v>
      </c>
    </row>
    <row r="244" spans="1:22">
      <c r="A244" s="2">
        <v>45903</v>
      </c>
      <c r="B244" s="1" t="s">
        <v>800</v>
      </c>
      <c r="C244" s="1" t="s">
        <v>801</v>
      </c>
      <c r="D244" s="1" t="s">
        <v>63</v>
      </c>
      <c r="E244" s="1">
        <v>85028</v>
      </c>
      <c r="F244" s="1" t="s">
        <v>310</v>
      </c>
      <c r="G244" s="1" t="s">
        <v>506</v>
      </c>
      <c r="H244" s="19" t="s">
        <v>802</v>
      </c>
      <c r="I244" s="5" t="s">
        <v>73</v>
      </c>
      <c r="J244" s="5" t="s">
        <v>37</v>
      </c>
      <c r="K244" s="5" t="s">
        <v>37</v>
      </c>
      <c r="L244" s="5" t="s">
        <v>38</v>
      </c>
      <c r="M244" s="5" t="s">
        <v>37</v>
      </c>
      <c r="N244" s="5" t="s">
        <v>37</v>
      </c>
      <c r="O244" s="5" t="s">
        <v>38</v>
      </c>
      <c r="P244" s="5" t="s">
        <v>39</v>
      </c>
      <c r="Q244" s="2">
        <v>45968</v>
      </c>
      <c r="V244" s="46">
        <f>IF(
  OR(
    ISNUMBER(SEARCH("unable to locate acct", tblDocketedComments[[#This Row],[Docketed Consumer Comments]])),
    ISNUMBER(SEARCH("unknown", tblDocketedComments[[#This Row],[Docketed Consumer Comments]])),
    ISNUMBER(SEARCH("inactive", tblDocketedComments[[#This Row],[Docketed Consumer Comments]]))
  ),
  0,
  1
)</f>
        <v>1</v>
      </c>
    </row>
    <row r="245" spans="1:22">
      <c r="A245" s="2">
        <v>45903</v>
      </c>
      <c r="B245" s="1" t="s">
        <v>803</v>
      </c>
      <c r="C245" s="1" t="s">
        <v>804</v>
      </c>
      <c r="D245" s="1" t="s">
        <v>63</v>
      </c>
      <c r="E245" s="1">
        <v>85085</v>
      </c>
      <c r="F245" s="1" t="s">
        <v>805</v>
      </c>
      <c r="G245" s="1" t="s">
        <v>506</v>
      </c>
      <c r="H245" s="19" t="s">
        <v>806</v>
      </c>
      <c r="I245" s="5" t="s">
        <v>196</v>
      </c>
      <c r="J245" s="5" t="s">
        <v>37</v>
      </c>
      <c r="K245" s="5" t="s">
        <v>37</v>
      </c>
      <c r="L245" s="5" t="s">
        <v>38</v>
      </c>
      <c r="M245" s="5" t="s">
        <v>37</v>
      </c>
      <c r="N245" s="5" t="s">
        <v>37</v>
      </c>
      <c r="O245" s="5" t="s">
        <v>38</v>
      </c>
      <c r="P245" s="5" t="s">
        <v>39</v>
      </c>
      <c r="Q245" s="2">
        <v>45968</v>
      </c>
      <c r="V245" s="46">
        <f>IF(
  OR(
    ISNUMBER(SEARCH("unable to locate acct", tblDocketedComments[[#This Row],[Docketed Consumer Comments]])),
    ISNUMBER(SEARCH("unknown", tblDocketedComments[[#This Row],[Docketed Consumer Comments]])),
    ISNUMBER(SEARCH("inactive", tblDocketedComments[[#This Row],[Docketed Consumer Comments]]))
  ),
  0,
  1
)</f>
        <v>1</v>
      </c>
    </row>
    <row r="246" spans="1:22">
      <c r="A246" s="2">
        <v>45903</v>
      </c>
      <c r="B246" s="1" t="s">
        <v>807</v>
      </c>
      <c r="C246" s="1" t="s">
        <v>808</v>
      </c>
      <c r="D246" s="1" t="s">
        <v>169</v>
      </c>
      <c r="E246" s="1">
        <v>85338</v>
      </c>
      <c r="F246" s="1" t="s">
        <v>809</v>
      </c>
      <c r="G246" s="1" t="s">
        <v>506</v>
      </c>
      <c r="H246" s="4" t="s">
        <v>27</v>
      </c>
      <c r="V246" s="46">
        <f>IF(
  OR(
    ISNUMBER(SEARCH("unable to locate acct", tblDocketedComments[[#This Row],[Docketed Consumer Comments]])),
    ISNUMBER(SEARCH("unknown", tblDocketedComments[[#This Row],[Docketed Consumer Comments]])),
    ISNUMBER(SEARCH("inactive", tblDocketedComments[[#This Row],[Docketed Consumer Comments]]))
  ),
  0,
  1
)</f>
        <v>1</v>
      </c>
    </row>
    <row r="247" spans="1:22">
      <c r="A247" s="2">
        <v>45903</v>
      </c>
      <c r="B247" s="1" t="s">
        <v>810</v>
      </c>
      <c r="C247" s="1" t="s">
        <v>811</v>
      </c>
      <c r="D247" s="1" t="s">
        <v>169</v>
      </c>
      <c r="E247" s="1">
        <v>85338</v>
      </c>
      <c r="F247" s="1" t="s">
        <v>812</v>
      </c>
      <c r="G247" s="1" t="s">
        <v>506</v>
      </c>
      <c r="H247" s="19" t="s">
        <v>813</v>
      </c>
      <c r="I247" s="5" t="s">
        <v>541</v>
      </c>
      <c r="J247" s="5" t="s">
        <v>37</v>
      </c>
      <c r="K247" s="5" t="s">
        <v>37</v>
      </c>
      <c r="L247" s="5" t="s">
        <v>389</v>
      </c>
      <c r="M247" s="5" t="s">
        <v>37</v>
      </c>
      <c r="N247" s="5" t="s">
        <v>37</v>
      </c>
      <c r="O247" s="5" t="s">
        <v>38</v>
      </c>
      <c r="P247" s="5" t="s">
        <v>39</v>
      </c>
      <c r="Q247" s="2">
        <v>45968</v>
      </c>
      <c r="V247" s="46">
        <f>IF(
  OR(
    ISNUMBER(SEARCH("unable to locate acct", tblDocketedComments[[#This Row],[Docketed Consumer Comments]])),
    ISNUMBER(SEARCH("unknown", tblDocketedComments[[#This Row],[Docketed Consumer Comments]])),
    ISNUMBER(SEARCH("inactive", tblDocketedComments[[#This Row],[Docketed Consumer Comments]]))
  ),
  0,
  1
)</f>
        <v>1</v>
      </c>
    </row>
    <row r="248" spans="1:22">
      <c r="A248" s="2">
        <v>45903</v>
      </c>
      <c r="B248" s="1" t="s">
        <v>814</v>
      </c>
      <c r="C248" s="1" t="s">
        <v>815</v>
      </c>
      <c r="D248" s="1" t="s">
        <v>816</v>
      </c>
      <c r="E248" s="1">
        <v>86303</v>
      </c>
      <c r="F248" s="1" t="s">
        <v>310</v>
      </c>
      <c r="G248" s="1" t="s">
        <v>506</v>
      </c>
      <c r="H248" s="19" t="s">
        <v>817</v>
      </c>
      <c r="I248" s="5" t="s">
        <v>73</v>
      </c>
      <c r="J248" s="5" t="s">
        <v>37</v>
      </c>
      <c r="K248" s="5" t="s">
        <v>37</v>
      </c>
      <c r="L248" s="5" t="s">
        <v>38</v>
      </c>
      <c r="M248" s="5" t="s">
        <v>37</v>
      </c>
      <c r="N248" s="5" t="s">
        <v>37</v>
      </c>
      <c r="O248" s="5" t="s">
        <v>38</v>
      </c>
      <c r="P248" s="5" t="s">
        <v>39</v>
      </c>
      <c r="Q248" s="2">
        <v>45968</v>
      </c>
      <c r="V248" s="46">
        <f>IF(
  OR(
    ISNUMBER(SEARCH("unable to locate acct", tblDocketedComments[[#This Row],[Docketed Consumer Comments]])),
    ISNUMBER(SEARCH("unknown", tblDocketedComments[[#This Row],[Docketed Consumer Comments]])),
    ISNUMBER(SEARCH("inactive", tblDocketedComments[[#This Row],[Docketed Consumer Comments]]))
  ),
  0,
  1
)</f>
        <v>1</v>
      </c>
    </row>
    <row r="249" spans="1:22">
      <c r="A249" s="2">
        <v>45903</v>
      </c>
      <c r="B249" s="1" t="s">
        <v>818</v>
      </c>
      <c r="C249" s="1" t="s">
        <v>199</v>
      </c>
      <c r="D249" s="1" t="s">
        <v>63</v>
      </c>
      <c r="E249" s="1">
        <v>85028</v>
      </c>
      <c r="F249" s="1" t="s">
        <v>310</v>
      </c>
      <c r="G249" s="1" t="s">
        <v>506</v>
      </c>
      <c r="H249" s="4" t="s">
        <v>819</v>
      </c>
      <c r="I249" s="5" t="s">
        <v>36</v>
      </c>
      <c r="J249" s="5" t="s">
        <v>37</v>
      </c>
      <c r="K249" s="5" t="s">
        <v>37</v>
      </c>
      <c r="L249" s="5" t="s">
        <v>38</v>
      </c>
      <c r="M249" s="5" t="s">
        <v>37</v>
      </c>
      <c r="N249" s="5" t="s">
        <v>37</v>
      </c>
      <c r="O249" s="5" t="s">
        <v>38</v>
      </c>
      <c r="P249" s="5" t="s">
        <v>39</v>
      </c>
      <c r="Q249" s="2">
        <v>45968</v>
      </c>
      <c r="V249" s="46">
        <f>IF(
  OR(
    ISNUMBER(SEARCH("unable to locate acct", tblDocketedComments[[#This Row],[Docketed Consumer Comments]])),
    ISNUMBER(SEARCH("unknown", tblDocketedComments[[#This Row],[Docketed Consumer Comments]])),
    ISNUMBER(SEARCH("inactive", tblDocketedComments[[#This Row],[Docketed Consumer Comments]]))
  ),
  0,
  1
)</f>
        <v>1</v>
      </c>
    </row>
    <row r="250" spans="1:22">
      <c r="A250" s="2">
        <v>45903</v>
      </c>
      <c r="B250" s="1" t="s">
        <v>820</v>
      </c>
      <c r="C250" s="1" t="s">
        <v>821</v>
      </c>
      <c r="D250" s="1" t="s">
        <v>169</v>
      </c>
      <c r="E250" s="1">
        <v>85338</v>
      </c>
      <c r="F250" s="1" t="s">
        <v>822</v>
      </c>
      <c r="G250" s="1" t="s">
        <v>506</v>
      </c>
      <c r="H250" s="4" t="s">
        <v>823</v>
      </c>
      <c r="I250" s="5" t="s">
        <v>36</v>
      </c>
      <c r="J250" s="5" t="s">
        <v>37</v>
      </c>
      <c r="K250" s="5" t="s">
        <v>37</v>
      </c>
      <c r="L250" s="5" t="s">
        <v>38</v>
      </c>
      <c r="M250" s="5" t="s">
        <v>37</v>
      </c>
      <c r="N250" s="5" t="s">
        <v>37</v>
      </c>
      <c r="O250" s="5" t="s">
        <v>38</v>
      </c>
      <c r="P250" s="5" t="s">
        <v>39</v>
      </c>
      <c r="Q250" s="2">
        <v>45968</v>
      </c>
      <c r="V250" s="46">
        <f>IF(
  OR(
    ISNUMBER(SEARCH("unable to locate acct", tblDocketedComments[[#This Row],[Docketed Consumer Comments]])),
    ISNUMBER(SEARCH("unknown", tblDocketedComments[[#This Row],[Docketed Consumer Comments]])),
    ISNUMBER(SEARCH("inactive", tblDocketedComments[[#This Row],[Docketed Consumer Comments]]))
  ),
  0,
  1
)</f>
        <v>1</v>
      </c>
    </row>
    <row r="251" spans="1:22">
      <c r="A251" s="2">
        <v>45903</v>
      </c>
      <c r="B251" s="1" t="s">
        <v>824</v>
      </c>
      <c r="C251" s="1" t="s">
        <v>825</v>
      </c>
      <c r="D251" s="1" t="s">
        <v>63</v>
      </c>
      <c r="E251" s="1">
        <v>85013</v>
      </c>
      <c r="F251" s="1" t="s">
        <v>310</v>
      </c>
      <c r="G251" s="1" t="s">
        <v>506</v>
      </c>
      <c r="H251" s="4" t="s">
        <v>826</v>
      </c>
      <c r="I251" s="5" t="s">
        <v>73</v>
      </c>
      <c r="J251" s="5" t="s">
        <v>37</v>
      </c>
      <c r="K251" s="5" t="s">
        <v>37</v>
      </c>
      <c r="L251" s="5" t="s">
        <v>38</v>
      </c>
      <c r="M251" s="5" t="s">
        <v>37</v>
      </c>
      <c r="N251" s="5" t="s">
        <v>37</v>
      </c>
      <c r="O251" s="5" t="s">
        <v>38</v>
      </c>
      <c r="P251" s="5" t="s">
        <v>39</v>
      </c>
      <c r="Q251" s="2">
        <v>45968</v>
      </c>
      <c r="V251" s="46">
        <f>IF(
  OR(
    ISNUMBER(SEARCH("unable to locate acct", tblDocketedComments[[#This Row],[Docketed Consumer Comments]])),
    ISNUMBER(SEARCH("unknown", tblDocketedComments[[#This Row],[Docketed Consumer Comments]])),
    ISNUMBER(SEARCH("inactive", tblDocketedComments[[#This Row],[Docketed Consumer Comments]]))
  ),
  0,
  1
)</f>
        <v>1</v>
      </c>
    </row>
    <row r="252" spans="1:22">
      <c r="A252" s="2">
        <v>45903</v>
      </c>
      <c r="B252" s="1" t="s">
        <v>827</v>
      </c>
      <c r="C252" s="1" t="s">
        <v>256</v>
      </c>
      <c r="D252" s="1" t="s">
        <v>63</v>
      </c>
      <c r="E252" s="1">
        <v>85083</v>
      </c>
      <c r="F252" s="1" t="s">
        <v>310</v>
      </c>
      <c r="G252" s="1" t="s">
        <v>506</v>
      </c>
      <c r="H252" s="19" t="s">
        <v>828</v>
      </c>
      <c r="I252" s="5" t="s">
        <v>36</v>
      </c>
      <c r="J252" s="5" t="s">
        <v>37</v>
      </c>
      <c r="K252" s="5" t="s">
        <v>37</v>
      </c>
      <c r="L252" s="5" t="s">
        <v>829</v>
      </c>
      <c r="M252" s="5" t="s">
        <v>37</v>
      </c>
      <c r="N252" s="5" t="s">
        <v>37</v>
      </c>
      <c r="O252" s="5" t="s">
        <v>38</v>
      </c>
      <c r="P252" s="5" t="s">
        <v>39</v>
      </c>
      <c r="Q252" s="2">
        <v>45968</v>
      </c>
      <c r="V252" s="46">
        <f>IF(
  OR(
    ISNUMBER(SEARCH("unable to locate acct", tblDocketedComments[[#This Row],[Docketed Consumer Comments]])),
    ISNUMBER(SEARCH("unknown", tblDocketedComments[[#This Row],[Docketed Consumer Comments]])),
    ISNUMBER(SEARCH("inactive", tblDocketedComments[[#This Row],[Docketed Consumer Comments]]))
  ),
  0,
  1
)</f>
        <v>1</v>
      </c>
    </row>
    <row r="253" spans="1:22">
      <c r="A253" s="2">
        <v>45903</v>
      </c>
      <c r="B253" s="1" t="s">
        <v>830</v>
      </c>
      <c r="C253" s="1" t="s">
        <v>831</v>
      </c>
      <c r="D253" s="1" t="s">
        <v>63</v>
      </c>
      <c r="E253" s="1">
        <v>85016</v>
      </c>
      <c r="F253" s="1" t="s">
        <v>310</v>
      </c>
      <c r="G253" s="1" t="s">
        <v>506</v>
      </c>
      <c r="H253" s="4" t="s">
        <v>27</v>
      </c>
      <c r="V253" s="46">
        <f>IF(
  OR(
    ISNUMBER(SEARCH("unable to locate acct", tblDocketedComments[[#This Row],[Docketed Consumer Comments]])),
    ISNUMBER(SEARCH("unknown", tblDocketedComments[[#This Row],[Docketed Consumer Comments]])),
    ISNUMBER(SEARCH("inactive", tblDocketedComments[[#This Row],[Docketed Consumer Comments]]))
  ),
  0,
  1
)</f>
        <v>1</v>
      </c>
    </row>
    <row r="254" spans="1:22">
      <c r="A254" s="2">
        <v>45903</v>
      </c>
      <c r="B254" s="1" t="s">
        <v>832</v>
      </c>
      <c r="C254" s="1" t="s">
        <v>601</v>
      </c>
      <c r="D254" s="1" t="s">
        <v>63</v>
      </c>
      <c r="E254" s="1">
        <v>85013</v>
      </c>
      <c r="F254" s="1" t="s">
        <v>310</v>
      </c>
      <c r="G254" s="1" t="s">
        <v>506</v>
      </c>
      <c r="H254" s="19" t="s">
        <v>833</v>
      </c>
      <c r="I254" s="5" t="s">
        <v>73</v>
      </c>
      <c r="J254" s="5" t="s">
        <v>37</v>
      </c>
      <c r="K254" s="5" t="s">
        <v>37</v>
      </c>
      <c r="L254" s="5" t="s">
        <v>38</v>
      </c>
      <c r="M254" s="5" t="s">
        <v>37</v>
      </c>
      <c r="N254" s="5" t="s">
        <v>37</v>
      </c>
      <c r="O254" s="5" t="s">
        <v>38</v>
      </c>
      <c r="P254" s="5" t="s">
        <v>39</v>
      </c>
      <c r="Q254" s="2">
        <v>45968</v>
      </c>
      <c r="V254" s="46">
        <f>IF(
  OR(
    ISNUMBER(SEARCH("unable to locate acct", tblDocketedComments[[#This Row],[Docketed Consumer Comments]])),
    ISNUMBER(SEARCH("unknown", tblDocketedComments[[#This Row],[Docketed Consumer Comments]])),
    ISNUMBER(SEARCH("inactive", tblDocketedComments[[#This Row],[Docketed Consumer Comments]]))
  ),
  0,
  1
)</f>
        <v>1</v>
      </c>
    </row>
    <row r="255" spans="1:22">
      <c r="A255" s="2">
        <v>45903</v>
      </c>
      <c r="B255" s="1" t="s">
        <v>834</v>
      </c>
      <c r="C255" s="1" t="s">
        <v>835</v>
      </c>
      <c r="D255" s="1" t="s">
        <v>63</v>
      </c>
      <c r="E255" s="1">
        <v>85024</v>
      </c>
      <c r="F255" s="1" t="s">
        <v>310</v>
      </c>
      <c r="G255" s="1" t="s">
        <v>506</v>
      </c>
      <c r="H255" s="19" t="s">
        <v>836</v>
      </c>
      <c r="I255" s="5" t="s">
        <v>418</v>
      </c>
      <c r="J255" s="5" t="s">
        <v>37</v>
      </c>
      <c r="K255" s="5" t="s">
        <v>37</v>
      </c>
      <c r="L255" s="5" t="s">
        <v>389</v>
      </c>
      <c r="M255" s="5" t="s">
        <v>37</v>
      </c>
      <c r="N255" s="5" t="s">
        <v>37</v>
      </c>
      <c r="O255" s="5" t="s">
        <v>38</v>
      </c>
      <c r="P255" s="5" t="s">
        <v>39</v>
      </c>
      <c r="Q255" s="2">
        <v>45968</v>
      </c>
      <c r="V255" s="46">
        <f>IF(
  OR(
    ISNUMBER(SEARCH("unable to locate acct", tblDocketedComments[[#This Row],[Docketed Consumer Comments]])),
    ISNUMBER(SEARCH("unknown", tblDocketedComments[[#This Row],[Docketed Consumer Comments]])),
    ISNUMBER(SEARCH("inactive", tblDocketedComments[[#This Row],[Docketed Consumer Comments]]))
  ),
  0,
  1
)</f>
        <v>1</v>
      </c>
    </row>
    <row r="256" spans="1:22">
      <c r="A256" s="2">
        <v>45903</v>
      </c>
      <c r="B256" s="1" t="s">
        <v>837</v>
      </c>
      <c r="C256" s="1" t="s">
        <v>838</v>
      </c>
      <c r="D256" s="1" t="s">
        <v>24</v>
      </c>
      <c r="E256" s="1">
        <v>85308</v>
      </c>
      <c r="F256" s="1" t="s">
        <v>310</v>
      </c>
      <c r="G256" s="1" t="s">
        <v>506</v>
      </c>
      <c r="H256" s="19" t="s">
        <v>839</v>
      </c>
      <c r="I256" s="5" t="s">
        <v>196</v>
      </c>
      <c r="J256" s="5" t="s">
        <v>37</v>
      </c>
      <c r="K256" s="5" t="s">
        <v>37</v>
      </c>
      <c r="L256" s="7" t="s">
        <v>840</v>
      </c>
      <c r="M256" s="5" t="s">
        <v>37</v>
      </c>
      <c r="N256" s="5" t="s">
        <v>37</v>
      </c>
      <c r="O256" s="5" t="s">
        <v>38</v>
      </c>
      <c r="P256" s="2">
        <v>45933</v>
      </c>
      <c r="Q256" s="2">
        <v>45968</v>
      </c>
      <c r="R256" s="1" t="s">
        <v>561</v>
      </c>
      <c r="V256" s="46">
        <f>IF(
  OR(
    ISNUMBER(SEARCH("unable to locate acct", tblDocketedComments[[#This Row],[Docketed Consumer Comments]])),
    ISNUMBER(SEARCH("unknown", tblDocketedComments[[#This Row],[Docketed Consumer Comments]])),
    ISNUMBER(SEARCH("inactive", tblDocketedComments[[#This Row],[Docketed Consumer Comments]]))
  ),
  0,
  1
)</f>
        <v>1</v>
      </c>
    </row>
    <row r="257" spans="1:22">
      <c r="A257" s="2">
        <v>45903</v>
      </c>
      <c r="B257" s="1" t="s">
        <v>841</v>
      </c>
      <c r="C257" s="1" t="s">
        <v>842</v>
      </c>
      <c r="D257" s="1" t="s">
        <v>63</v>
      </c>
      <c r="E257" s="1">
        <v>85050</v>
      </c>
      <c r="F257" s="1" t="s">
        <v>31</v>
      </c>
      <c r="G257" s="1" t="s">
        <v>506</v>
      </c>
      <c r="H257" s="19" t="s">
        <v>843</v>
      </c>
      <c r="I257" s="5" t="s">
        <v>73</v>
      </c>
      <c r="J257" s="5" t="s">
        <v>37</v>
      </c>
      <c r="K257" s="5" t="s">
        <v>37</v>
      </c>
      <c r="L257" s="5" t="s">
        <v>38</v>
      </c>
      <c r="M257" s="5" t="s">
        <v>37</v>
      </c>
      <c r="N257" s="5" t="s">
        <v>37</v>
      </c>
      <c r="O257" s="5" t="s">
        <v>38</v>
      </c>
      <c r="P257" s="5" t="s">
        <v>39</v>
      </c>
      <c r="Q257" s="2">
        <v>45968</v>
      </c>
      <c r="V257" s="46">
        <f>IF(
  OR(
    ISNUMBER(SEARCH("unable to locate acct", tblDocketedComments[[#This Row],[Docketed Consumer Comments]])),
    ISNUMBER(SEARCH("unknown", tblDocketedComments[[#This Row],[Docketed Consumer Comments]])),
    ISNUMBER(SEARCH("inactive", tblDocketedComments[[#This Row],[Docketed Consumer Comments]]))
  ),
  0,
  1
)</f>
        <v>1</v>
      </c>
    </row>
    <row r="258" spans="1:22">
      <c r="A258" s="2">
        <v>45903</v>
      </c>
      <c r="B258" s="1" t="s">
        <v>650</v>
      </c>
      <c r="C258" s="1" t="s">
        <v>844</v>
      </c>
      <c r="D258" s="1" t="s">
        <v>63</v>
      </c>
      <c r="E258" s="1">
        <v>85029</v>
      </c>
      <c r="F258" s="1" t="s">
        <v>31</v>
      </c>
      <c r="G258" s="1" t="s">
        <v>506</v>
      </c>
      <c r="H258" s="19" t="s">
        <v>845</v>
      </c>
      <c r="I258" s="5" t="s">
        <v>36</v>
      </c>
      <c r="J258" s="5" t="s">
        <v>37</v>
      </c>
      <c r="K258" s="5" t="s">
        <v>37</v>
      </c>
      <c r="L258" s="5" t="s">
        <v>38</v>
      </c>
      <c r="M258" s="5" t="s">
        <v>37</v>
      </c>
      <c r="N258" s="5" t="s">
        <v>37</v>
      </c>
      <c r="O258" s="5" t="s">
        <v>38</v>
      </c>
      <c r="P258" s="5" t="s">
        <v>39</v>
      </c>
      <c r="Q258" s="2">
        <v>45968</v>
      </c>
      <c r="V258" s="46">
        <f>IF(
  OR(
    ISNUMBER(SEARCH("unable to locate acct", tblDocketedComments[[#This Row],[Docketed Consumer Comments]])),
    ISNUMBER(SEARCH("unknown", tblDocketedComments[[#This Row],[Docketed Consumer Comments]])),
    ISNUMBER(SEARCH("inactive", tblDocketedComments[[#This Row],[Docketed Consumer Comments]]))
  ),
  0,
  1
)</f>
        <v>1</v>
      </c>
    </row>
    <row r="259" spans="1:22">
      <c r="A259" s="2">
        <v>45903</v>
      </c>
      <c r="B259" s="1" t="s">
        <v>846</v>
      </c>
      <c r="C259" s="1" t="s">
        <v>847</v>
      </c>
      <c r="D259" s="1" t="s">
        <v>63</v>
      </c>
      <c r="E259" s="1">
        <v>85028</v>
      </c>
      <c r="F259" s="1" t="s">
        <v>31</v>
      </c>
      <c r="G259" s="1" t="s">
        <v>506</v>
      </c>
      <c r="H259" s="19" t="s">
        <v>848</v>
      </c>
      <c r="I259" s="5" t="s">
        <v>36</v>
      </c>
      <c r="J259" s="5" t="s">
        <v>38</v>
      </c>
      <c r="K259" s="5" t="s">
        <v>37</v>
      </c>
      <c r="L259" s="5" t="s">
        <v>38</v>
      </c>
      <c r="M259" s="5" t="s">
        <v>37</v>
      </c>
      <c r="N259" s="5" t="s">
        <v>37</v>
      </c>
      <c r="O259" s="5" t="s">
        <v>38</v>
      </c>
      <c r="P259" s="5" t="s">
        <v>39</v>
      </c>
      <c r="Q259" s="2">
        <v>45968</v>
      </c>
      <c r="V259" s="46">
        <f>IF(
  OR(
    ISNUMBER(SEARCH("unable to locate acct", tblDocketedComments[[#This Row],[Docketed Consumer Comments]])),
    ISNUMBER(SEARCH("unknown", tblDocketedComments[[#This Row],[Docketed Consumer Comments]])),
    ISNUMBER(SEARCH("inactive", tblDocketedComments[[#This Row],[Docketed Consumer Comments]]))
  ),
  0,
  1
)</f>
        <v>1</v>
      </c>
    </row>
    <row r="260" spans="1:22">
      <c r="A260" s="2">
        <v>45903</v>
      </c>
      <c r="B260" s="1" t="s">
        <v>849</v>
      </c>
      <c r="C260" s="1" t="s">
        <v>850</v>
      </c>
      <c r="D260" s="1" t="s">
        <v>125</v>
      </c>
      <c r="E260" s="1">
        <v>85251</v>
      </c>
      <c r="F260" s="1" t="s">
        <v>310</v>
      </c>
      <c r="G260" s="1" t="s">
        <v>506</v>
      </c>
      <c r="H260" s="4" t="s">
        <v>27</v>
      </c>
      <c r="V260" s="46">
        <f>IF(
  OR(
    ISNUMBER(SEARCH("unable to locate acct", tblDocketedComments[[#This Row],[Docketed Consumer Comments]])),
    ISNUMBER(SEARCH("unknown", tblDocketedComments[[#This Row],[Docketed Consumer Comments]])),
    ISNUMBER(SEARCH("inactive", tblDocketedComments[[#This Row],[Docketed Consumer Comments]]))
  ),
  0,
  1
)</f>
        <v>1</v>
      </c>
    </row>
    <row r="261" spans="1:22">
      <c r="A261" s="2">
        <v>45903</v>
      </c>
      <c r="B261" s="1" t="s">
        <v>851</v>
      </c>
      <c r="C261" s="1" t="s">
        <v>852</v>
      </c>
      <c r="D261" s="1" t="s">
        <v>635</v>
      </c>
      <c r="E261" s="1">
        <v>85281</v>
      </c>
      <c r="F261" s="1" t="s">
        <v>853</v>
      </c>
      <c r="G261" s="1" t="s">
        <v>506</v>
      </c>
      <c r="H261" s="19" t="s">
        <v>854</v>
      </c>
      <c r="I261" s="5" t="s">
        <v>541</v>
      </c>
      <c r="J261" s="5" t="s">
        <v>37</v>
      </c>
      <c r="K261" s="5" t="s">
        <v>37</v>
      </c>
      <c r="L261" s="5" t="s">
        <v>389</v>
      </c>
      <c r="M261" s="5" t="s">
        <v>37</v>
      </c>
      <c r="N261" s="5" t="s">
        <v>37</v>
      </c>
      <c r="O261" s="5" t="s">
        <v>38</v>
      </c>
      <c r="P261" s="5" t="s">
        <v>39</v>
      </c>
      <c r="Q261" s="2">
        <v>45968</v>
      </c>
      <c r="V261" s="46">
        <f>IF(
  OR(
    ISNUMBER(SEARCH("unable to locate acct", tblDocketedComments[[#This Row],[Docketed Consumer Comments]])),
    ISNUMBER(SEARCH("unknown", tblDocketedComments[[#This Row],[Docketed Consumer Comments]])),
    ISNUMBER(SEARCH("inactive", tblDocketedComments[[#This Row],[Docketed Consumer Comments]]))
  ),
  0,
  1
)</f>
        <v>1</v>
      </c>
    </row>
    <row r="262" spans="1:22">
      <c r="A262" s="2">
        <v>45903</v>
      </c>
      <c r="B262" s="1" t="s">
        <v>855</v>
      </c>
      <c r="C262" s="1" t="s">
        <v>135</v>
      </c>
      <c r="D262" s="1" t="s">
        <v>169</v>
      </c>
      <c r="E262" s="1">
        <v>85338</v>
      </c>
      <c r="F262" s="1" t="s">
        <v>856</v>
      </c>
      <c r="G262" s="1" t="s">
        <v>506</v>
      </c>
      <c r="H262" s="4" t="s">
        <v>857</v>
      </c>
      <c r="I262" s="5" t="s">
        <v>196</v>
      </c>
      <c r="J262" s="5" t="s">
        <v>37</v>
      </c>
      <c r="K262" s="5" t="s">
        <v>37</v>
      </c>
      <c r="L262" s="5" t="s">
        <v>858</v>
      </c>
      <c r="M262" s="5" t="s">
        <v>37</v>
      </c>
      <c r="N262" s="5" t="s">
        <v>37</v>
      </c>
      <c r="O262" s="5" t="s">
        <v>38</v>
      </c>
      <c r="P262" s="5" t="s">
        <v>39</v>
      </c>
      <c r="Q262" s="2">
        <v>45968</v>
      </c>
      <c r="R262" s="1" t="s">
        <v>859</v>
      </c>
      <c r="V262" s="46">
        <f>IF(
  OR(
    ISNUMBER(SEARCH("unable to locate acct", tblDocketedComments[[#This Row],[Docketed Consumer Comments]])),
    ISNUMBER(SEARCH("unknown", tblDocketedComments[[#This Row],[Docketed Consumer Comments]])),
    ISNUMBER(SEARCH("inactive", tblDocketedComments[[#This Row],[Docketed Consumer Comments]]))
  ),
  0,
  1
)</f>
        <v>1</v>
      </c>
    </row>
    <row r="263" spans="1:22">
      <c r="A263" s="2">
        <v>45903</v>
      </c>
      <c r="B263" s="1" t="s">
        <v>860</v>
      </c>
      <c r="C263" s="1" t="s">
        <v>861</v>
      </c>
      <c r="D263" s="1" t="s">
        <v>63</v>
      </c>
      <c r="E263" s="1">
        <v>85016</v>
      </c>
      <c r="F263" s="1" t="s">
        <v>31</v>
      </c>
      <c r="G263" s="1" t="s">
        <v>506</v>
      </c>
      <c r="H263" s="19" t="s">
        <v>862</v>
      </c>
      <c r="I263" s="5" t="s">
        <v>57</v>
      </c>
      <c r="J263" s="5" t="s">
        <v>37</v>
      </c>
      <c r="K263" s="5" t="s">
        <v>37</v>
      </c>
      <c r="L263" s="5" t="s">
        <v>863</v>
      </c>
      <c r="M263" s="5" t="s">
        <v>37</v>
      </c>
      <c r="N263" s="5" t="s">
        <v>37</v>
      </c>
      <c r="O263" s="5" t="s">
        <v>38</v>
      </c>
      <c r="P263" s="5" t="s">
        <v>39</v>
      </c>
      <c r="Q263" s="2">
        <v>45968</v>
      </c>
      <c r="V263" s="46">
        <f>IF(
  OR(
    ISNUMBER(SEARCH("unable to locate acct", tblDocketedComments[[#This Row],[Docketed Consumer Comments]])),
    ISNUMBER(SEARCH("unknown", tblDocketedComments[[#This Row],[Docketed Consumer Comments]])),
    ISNUMBER(SEARCH("inactive", tblDocketedComments[[#This Row],[Docketed Consumer Comments]]))
  ),
  0,
  1
)</f>
        <v>1</v>
      </c>
    </row>
    <row r="264" spans="1:22">
      <c r="A264" s="2">
        <v>45903</v>
      </c>
      <c r="B264" s="1" t="s">
        <v>864</v>
      </c>
      <c r="C264" s="1" t="s">
        <v>865</v>
      </c>
      <c r="D264" s="1" t="s">
        <v>63</v>
      </c>
      <c r="E264" s="1">
        <v>85028</v>
      </c>
      <c r="F264" s="1" t="s">
        <v>310</v>
      </c>
      <c r="G264" s="1" t="s">
        <v>506</v>
      </c>
      <c r="H264" s="19" t="s">
        <v>866</v>
      </c>
      <c r="I264" s="5" t="s">
        <v>36</v>
      </c>
      <c r="J264" s="5" t="s">
        <v>37</v>
      </c>
      <c r="K264" s="5" t="s">
        <v>37</v>
      </c>
      <c r="L264" s="5" t="s">
        <v>38</v>
      </c>
      <c r="M264" s="5" t="s">
        <v>37</v>
      </c>
      <c r="N264" s="5" t="s">
        <v>37</v>
      </c>
      <c r="O264" s="5" t="s">
        <v>38</v>
      </c>
      <c r="P264" s="5" t="s">
        <v>39</v>
      </c>
      <c r="Q264" s="2">
        <v>45968</v>
      </c>
      <c r="V264" s="46">
        <f>IF(
  OR(
    ISNUMBER(SEARCH("unable to locate acct", tblDocketedComments[[#This Row],[Docketed Consumer Comments]])),
    ISNUMBER(SEARCH("unknown", tblDocketedComments[[#This Row],[Docketed Consumer Comments]])),
    ISNUMBER(SEARCH("inactive", tblDocketedComments[[#This Row],[Docketed Consumer Comments]]))
  ),
  0,
  1
)</f>
        <v>1</v>
      </c>
    </row>
    <row r="265" spans="1:22">
      <c r="A265" s="2">
        <v>45903</v>
      </c>
      <c r="B265" s="1" t="s">
        <v>219</v>
      </c>
      <c r="C265" s="1" t="s">
        <v>867</v>
      </c>
      <c r="D265" s="1" t="s">
        <v>523</v>
      </c>
      <c r="E265" s="1">
        <v>85392</v>
      </c>
      <c r="F265" s="1" t="s">
        <v>868</v>
      </c>
      <c r="G265" s="1" t="s">
        <v>506</v>
      </c>
      <c r="H265" s="19" t="s">
        <v>869</v>
      </c>
      <c r="I265" s="5" t="s">
        <v>196</v>
      </c>
      <c r="J265" s="5" t="s">
        <v>38</v>
      </c>
      <c r="K265" s="5" t="s">
        <v>37</v>
      </c>
      <c r="L265" s="5" t="s">
        <v>38</v>
      </c>
      <c r="M265" s="5" t="s">
        <v>37</v>
      </c>
      <c r="N265" s="5" t="s">
        <v>37</v>
      </c>
      <c r="O265" s="5" t="s">
        <v>38</v>
      </c>
      <c r="P265" s="5" t="s">
        <v>39</v>
      </c>
      <c r="Q265" s="2">
        <v>45968</v>
      </c>
      <c r="V265" s="46">
        <f>IF(
  OR(
    ISNUMBER(SEARCH("unable to locate acct", tblDocketedComments[[#This Row],[Docketed Consumer Comments]])),
    ISNUMBER(SEARCH("unknown", tblDocketedComments[[#This Row],[Docketed Consumer Comments]])),
    ISNUMBER(SEARCH("inactive", tblDocketedComments[[#This Row],[Docketed Consumer Comments]]))
  ),
  0,
  1
)</f>
        <v>1</v>
      </c>
    </row>
    <row r="266" spans="1:22">
      <c r="A266" s="2">
        <v>45903</v>
      </c>
      <c r="B266" s="1" t="s">
        <v>870</v>
      </c>
      <c r="C266" s="1" t="s">
        <v>440</v>
      </c>
      <c r="D266" s="1" t="s">
        <v>169</v>
      </c>
      <c r="E266" s="1">
        <v>85338</v>
      </c>
      <c r="F266" s="1" t="s">
        <v>871</v>
      </c>
      <c r="G266" s="1" t="s">
        <v>506</v>
      </c>
      <c r="H266" s="4" t="s">
        <v>872</v>
      </c>
      <c r="I266" s="5" t="s">
        <v>196</v>
      </c>
      <c r="J266" s="5" t="s">
        <v>37</v>
      </c>
      <c r="K266" s="5" t="s">
        <v>37</v>
      </c>
      <c r="L266" s="5" t="s">
        <v>873</v>
      </c>
      <c r="M266" s="5" t="s">
        <v>37</v>
      </c>
      <c r="N266" s="5" t="s">
        <v>37</v>
      </c>
      <c r="O266" s="5" t="s">
        <v>38</v>
      </c>
      <c r="P266" s="5" t="s">
        <v>39</v>
      </c>
      <c r="Q266" s="2">
        <v>45968</v>
      </c>
      <c r="V266" s="46">
        <f>IF(
  OR(
    ISNUMBER(SEARCH("unable to locate acct", tblDocketedComments[[#This Row],[Docketed Consumer Comments]])),
    ISNUMBER(SEARCH("unknown", tblDocketedComments[[#This Row],[Docketed Consumer Comments]])),
    ISNUMBER(SEARCH("inactive", tblDocketedComments[[#This Row],[Docketed Consumer Comments]]))
  ),
  0,
  1
)</f>
        <v>1</v>
      </c>
    </row>
    <row r="267" spans="1:22">
      <c r="A267" s="2">
        <v>45903</v>
      </c>
      <c r="B267" s="1" t="s">
        <v>874</v>
      </c>
      <c r="C267" s="1" t="s">
        <v>875</v>
      </c>
      <c r="D267" s="1" t="s">
        <v>169</v>
      </c>
      <c r="E267" s="1">
        <v>85395</v>
      </c>
      <c r="F267" s="1" t="s">
        <v>876</v>
      </c>
      <c r="G267" s="1" t="s">
        <v>506</v>
      </c>
      <c r="H267" s="19" t="s">
        <v>877</v>
      </c>
      <c r="I267" s="5" t="s">
        <v>36</v>
      </c>
      <c r="J267" s="5" t="s">
        <v>37</v>
      </c>
      <c r="K267" s="5" t="s">
        <v>37</v>
      </c>
      <c r="L267" s="5" t="s">
        <v>38</v>
      </c>
      <c r="M267" s="5" t="s">
        <v>37</v>
      </c>
      <c r="N267" s="5" t="s">
        <v>37</v>
      </c>
      <c r="O267" s="5" t="s">
        <v>38</v>
      </c>
      <c r="P267" s="5" t="s">
        <v>39</v>
      </c>
      <c r="Q267" s="2">
        <v>45968</v>
      </c>
      <c r="V267" s="46">
        <f>IF(
  OR(
    ISNUMBER(SEARCH("unable to locate acct", tblDocketedComments[[#This Row],[Docketed Consumer Comments]])),
    ISNUMBER(SEARCH("unknown", tblDocketedComments[[#This Row],[Docketed Consumer Comments]])),
    ISNUMBER(SEARCH("inactive", tblDocketedComments[[#This Row],[Docketed Consumer Comments]]))
  ),
  0,
  1
)</f>
        <v>1</v>
      </c>
    </row>
    <row r="268" spans="1:22">
      <c r="A268" s="2">
        <v>45903</v>
      </c>
      <c r="B268" s="1" t="s">
        <v>878</v>
      </c>
      <c r="C268" s="1" t="s">
        <v>879</v>
      </c>
      <c r="D268" s="1" t="s">
        <v>880</v>
      </c>
      <c r="E268" s="1">
        <v>85086</v>
      </c>
      <c r="F268" s="1" t="s">
        <v>798</v>
      </c>
      <c r="G268" s="1" t="s">
        <v>506</v>
      </c>
      <c r="H268" s="19" t="s">
        <v>881</v>
      </c>
      <c r="I268" s="5" t="s">
        <v>36</v>
      </c>
      <c r="J268" s="5" t="s">
        <v>37</v>
      </c>
      <c r="K268" s="5" t="s">
        <v>37</v>
      </c>
      <c r="L268" s="5" t="s">
        <v>882</v>
      </c>
      <c r="M268" s="5" t="s">
        <v>37</v>
      </c>
      <c r="N268" s="5" t="s">
        <v>37</v>
      </c>
      <c r="O268" s="5" t="s">
        <v>38</v>
      </c>
      <c r="P268" s="5" t="s">
        <v>39</v>
      </c>
      <c r="Q268" s="2">
        <v>45968</v>
      </c>
      <c r="V268" s="46">
        <f>IF(
  OR(
    ISNUMBER(SEARCH("unable to locate acct", tblDocketedComments[[#This Row],[Docketed Consumer Comments]])),
    ISNUMBER(SEARCH("unknown", tblDocketedComments[[#This Row],[Docketed Consumer Comments]])),
    ISNUMBER(SEARCH("inactive", tblDocketedComments[[#This Row],[Docketed Consumer Comments]]))
  ),
  0,
  1
)</f>
        <v>1</v>
      </c>
    </row>
    <row r="269" spans="1:22">
      <c r="A269" s="2">
        <v>45903</v>
      </c>
      <c r="B269" s="1" t="s">
        <v>883</v>
      </c>
      <c r="C269" s="1" t="s">
        <v>459</v>
      </c>
      <c r="D269" s="1" t="s">
        <v>63</v>
      </c>
      <c r="E269" s="1">
        <v>85024</v>
      </c>
      <c r="F269" s="1" t="s">
        <v>310</v>
      </c>
      <c r="G269" s="1" t="s">
        <v>506</v>
      </c>
      <c r="H269" s="18" t="s">
        <v>884</v>
      </c>
      <c r="I269" s="5" t="s">
        <v>196</v>
      </c>
      <c r="J269" s="5" t="s">
        <v>37</v>
      </c>
      <c r="K269" s="5" t="s">
        <v>37</v>
      </c>
      <c r="L269" s="7" t="s">
        <v>885</v>
      </c>
      <c r="M269" s="5" t="s">
        <v>37</v>
      </c>
      <c r="N269" s="5" t="s">
        <v>37</v>
      </c>
      <c r="O269" s="5" t="s">
        <v>38</v>
      </c>
      <c r="P269" s="2">
        <v>45933</v>
      </c>
      <c r="Q269" s="2">
        <v>45968</v>
      </c>
      <c r="R269" s="1" t="s">
        <v>561</v>
      </c>
      <c r="V269" s="46">
        <f>IF(
  OR(
    ISNUMBER(SEARCH("unable to locate acct", tblDocketedComments[[#This Row],[Docketed Consumer Comments]])),
    ISNUMBER(SEARCH("unknown", tblDocketedComments[[#This Row],[Docketed Consumer Comments]])),
    ISNUMBER(SEARCH("inactive", tblDocketedComments[[#This Row],[Docketed Consumer Comments]]))
  ),
  0,
  1
)</f>
        <v>1</v>
      </c>
    </row>
    <row r="270" spans="1:22">
      <c r="A270" s="2">
        <v>45903</v>
      </c>
      <c r="B270" s="1" t="s">
        <v>886</v>
      </c>
      <c r="C270" s="1" t="s">
        <v>887</v>
      </c>
      <c r="D270" s="1" t="s">
        <v>169</v>
      </c>
      <c r="E270" s="1">
        <v>85338</v>
      </c>
      <c r="F270" s="1" t="s">
        <v>888</v>
      </c>
      <c r="G270" s="1" t="s">
        <v>506</v>
      </c>
      <c r="H270" s="19">
        <v>6626729560</v>
      </c>
      <c r="I270" s="5" t="s">
        <v>73</v>
      </c>
      <c r="J270" s="5" t="s">
        <v>37</v>
      </c>
      <c r="K270" s="5" t="s">
        <v>37</v>
      </c>
      <c r="L270" s="5" t="s">
        <v>38</v>
      </c>
      <c r="M270" s="5" t="s">
        <v>37</v>
      </c>
      <c r="N270" s="5" t="s">
        <v>37</v>
      </c>
      <c r="O270" s="5" t="s">
        <v>38</v>
      </c>
      <c r="P270" s="5" t="s">
        <v>39</v>
      </c>
      <c r="Q270" s="2">
        <v>45968</v>
      </c>
      <c r="V270" s="46">
        <f>IF(
  OR(
    ISNUMBER(SEARCH("unable to locate acct", tblDocketedComments[[#This Row],[Docketed Consumer Comments]])),
    ISNUMBER(SEARCH("unknown", tblDocketedComments[[#This Row],[Docketed Consumer Comments]])),
    ISNUMBER(SEARCH("inactive", tblDocketedComments[[#This Row],[Docketed Consumer Comments]]))
  ),
  0,
  1
)</f>
        <v>1</v>
      </c>
    </row>
    <row r="271" spans="1:22">
      <c r="A271" s="2">
        <v>45903</v>
      </c>
      <c r="B271" s="1" t="s">
        <v>889</v>
      </c>
      <c r="C271" s="1" t="s">
        <v>890</v>
      </c>
      <c r="D271" s="1" t="s">
        <v>202</v>
      </c>
      <c r="E271" s="1">
        <v>85383</v>
      </c>
      <c r="F271" s="1" t="s">
        <v>31</v>
      </c>
      <c r="G271" s="1" t="s">
        <v>506</v>
      </c>
      <c r="H271" s="19" t="s">
        <v>891</v>
      </c>
      <c r="I271" s="5" t="s">
        <v>196</v>
      </c>
      <c r="J271" s="5" t="s">
        <v>37</v>
      </c>
      <c r="K271" s="5" t="s">
        <v>37</v>
      </c>
      <c r="L271" s="5" t="s">
        <v>892</v>
      </c>
      <c r="M271" s="5" t="s">
        <v>37</v>
      </c>
      <c r="N271" s="5" t="s">
        <v>37</v>
      </c>
      <c r="O271" s="5" t="s">
        <v>38</v>
      </c>
      <c r="P271" s="5" t="s">
        <v>39</v>
      </c>
      <c r="Q271" s="2">
        <v>45968</v>
      </c>
      <c r="V271" s="46">
        <f>IF(
  OR(
    ISNUMBER(SEARCH("unable to locate acct", tblDocketedComments[[#This Row],[Docketed Consumer Comments]])),
    ISNUMBER(SEARCH("unknown", tblDocketedComments[[#This Row],[Docketed Consumer Comments]])),
    ISNUMBER(SEARCH("inactive", tblDocketedComments[[#This Row],[Docketed Consumer Comments]]))
  ),
  0,
  1
)</f>
        <v>1</v>
      </c>
    </row>
    <row r="272" spans="1:22">
      <c r="A272" s="2">
        <v>45903</v>
      </c>
      <c r="B272" s="1" t="s">
        <v>893</v>
      </c>
      <c r="C272" s="1" t="s">
        <v>777</v>
      </c>
      <c r="D272" s="1" t="s">
        <v>24</v>
      </c>
      <c r="E272" s="1">
        <v>85308</v>
      </c>
      <c r="F272" s="1" t="s">
        <v>894</v>
      </c>
      <c r="G272" s="1" t="s">
        <v>506</v>
      </c>
      <c r="H272" s="19" t="s">
        <v>895</v>
      </c>
      <c r="I272" s="5" t="s">
        <v>73</v>
      </c>
      <c r="J272" s="5" t="s">
        <v>37</v>
      </c>
      <c r="K272" s="5" t="s">
        <v>37</v>
      </c>
      <c r="L272" s="5" t="s">
        <v>38</v>
      </c>
      <c r="M272" s="5" t="s">
        <v>37</v>
      </c>
      <c r="N272" s="5" t="s">
        <v>37</v>
      </c>
      <c r="O272" s="5" t="s">
        <v>38</v>
      </c>
      <c r="P272" s="5" t="s">
        <v>39</v>
      </c>
      <c r="Q272" s="2">
        <v>45968</v>
      </c>
      <c r="V272" s="46">
        <f>IF(
  OR(
    ISNUMBER(SEARCH("unable to locate acct", tblDocketedComments[[#This Row],[Docketed Consumer Comments]])),
    ISNUMBER(SEARCH("unknown", tblDocketedComments[[#This Row],[Docketed Consumer Comments]])),
    ISNUMBER(SEARCH("inactive", tblDocketedComments[[#This Row],[Docketed Consumer Comments]]))
  ),
  0,
  1
)</f>
        <v>1</v>
      </c>
    </row>
    <row r="273" spans="1:22">
      <c r="A273" s="2">
        <v>45903</v>
      </c>
      <c r="B273" s="1" t="s">
        <v>896</v>
      </c>
      <c r="C273" s="1" t="s">
        <v>897</v>
      </c>
      <c r="D273" s="1" t="s">
        <v>240</v>
      </c>
      <c r="E273" s="1">
        <v>85340</v>
      </c>
      <c r="F273" s="1" t="s">
        <v>31</v>
      </c>
      <c r="G273" s="1" t="s">
        <v>506</v>
      </c>
      <c r="H273" s="4" t="s">
        <v>898</v>
      </c>
      <c r="I273" s="5" t="s">
        <v>73</v>
      </c>
      <c r="J273" s="5" t="s">
        <v>37</v>
      </c>
      <c r="K273" s="5" t="s">
        <v>37</v>
      </c>
      <c r="L273" s="5" t="s">
        <v>38</v>
      </c>
      <c r="M273" s="5" t="s">
        <v>37</v>
      </c>
      <c r="N273" s="5" t="s">
        <v>37</v>
      </c>
      <c r="O273" s="5" t="s">
        <v>38</v>
      </c>
      <c r="P273" s="5" t="s">
        <v>39</v>
      </c>
      <c r="Q273" s="2">
        <v>45968</v>
      </c>
      <c r="V273" s="46">
        <f>IF(
  OR(
    ISNUMBER(SEARCH("unable to locate acct", tblDocketedComments[[#This Row],[Docketed Consumer Comments]])),
    ISNUMBER(SEARCH("unknown", tblDocketedComments[[#This Row],[Docketed Consumer Comments]])),
    ISNUMBER(SEARCH("inactive", tblDocketedComments[[#This Row],[Docketed Consumer Comments]]))
  ),
  0,
  1
)</f>
        <v>1</v>
      </c>
    </row>
    <row r="274" spans="1:22">
      <c r="A274" s="2">
        <v>45903</v>
      </c>
      <c r="B274" s="1" t="s">
        <v>467</v>
      </c>
      <c r="C274" s="1" t="s">
        <v>899</v>
      </c>
      <c r="D274" s="1" t="s">
        <v>202</v>
      </c>
      <c r="E274" s="1">
        <v>85382</v>
      </c>
      <c r="F274" s="1" t="s">
        <v>310</v>
      </c>
      <c r="G274" s="1" t="s">
        <v>506</v>
      </c>
      <c r="H274" s="4" t="s">
        <v>27</v>
      </c>
      <c r="V274" s="46">
        <f>IF(
  OR(
    ISNUMBER(SEARCH("unable to locate acct", tblDocketedComments[[#This Row],[Docketed Consumer Comments]])),
    ISNUMBER(SEARCH("unknown", tblDocketedComments[[#This Row],[Docketed Consumer Comments]])),
    ISNUMBER(SEARCH("inactive", tblDocketedComments[[#This Row],[Docketed Consumer Comments]]))
  ),
  0,
  1
)</f>
        <v>1</v>
      </c>
    </row>
    <row r="275" spans="1:22">
      <c r="A275" s="2">
        <v>45903</v>
      </c>
      <c r="B275" s="1" t="s">
        <v>900</v>
      </c>
      <c r="C275" s="1" t="s">
        <v>901</v>
      </c>
      <c r="D275" s="1" t="s">
        <v>125</v>
      </c>
      <c r="E275" s="1">
        <v>85255</v>
      </c>
      <c r="F275" s="1" t="s">
        <v>310</v>
      </c>
      <c r="G275" s="1" t="s">
        <v>506</v>
      </c>
      <c r="H275" s="19" t="s">
        <v>902</v>
      </c>
      <c r="I275" s="5" t="s">
        <v>36</v>
      </c>
      <c r="J275" s="5" t="s">
        <v>37</v>
      </c>
      <c r="K275" s="5" t="s">
        <v>37</v>
      </c>
      <c r="L275" s="5" t="s">
        <v>38</v>
      </c>
      <c r="M275" s="5" t="s">
        <v>37</v>
      </c>
      <c r="N275" s="5" t="s">
        <v>37</v>
      </c>
      <c r="O275" s="5" t="s">
        <v>38</v>
      </c>
      <c r="P275" s="5" t="s">
        <v>39</v>
      </c>
      <c r="Q275" s="2">
        <v>45968</v>
      </c>
      <c r="V275" s="46">
        <f>IF(
  OR(
    ISNUMBER(SEARCH("unable to locate acct", tblDocketedComments[[#This Row],[Docketed Consumer Comments]])),
    ISNUMBER(SEARCH("unknown", tblDocketedComments[[#This Row],[Docketed Consumer Comments]])),
    ISNUMBER(SEARCH("inactive", tblDocketedComments[[#This Row],[Docketed Consumer Comments]]))
  ),
  0,
  1
)</f>
        <v>1</v>
      </c>
    </row>
    <row r="276" spans="1:22">
      <c r="A276" s="2">
        <v>45903</v>
      </c>
      <c r="B276" s="1" t="s">
        <v>903</v>
      </c>
      <c r="C276" s="1" t="s">
        <v>904</v>
      </c>
      <c r="D276" s="1" t="s">
        <v>240</v>
      </c>
      <c r="E276" s="1">
        <v>85340</v>
      </c>
      <c r="F276" s="1" t="s">
        <v>905</v>
      </c>
      <c r="G276" s="1" t="s">
        <v>506</v>
      </c>
      <c r="H276" s="19" t="s">
        <v>906</v>
      </c>
      <c r="I276" s="5" t="s">
        <v>36</v>
      </c>
      <c r="J276" s="5" t="s">
        <v>37</v>
      </c>
      <c r="K276" s="5" t="s">
        <v>37</v>
      </c>
      <c r="L276" s="5" t="s">
        <v>38</v>
      </c>
      <c r="M276" s="5" t="s">
        <v>37</v>
      </c>
      <c r="N276" s="5" t="s">
        <v>37</v>
      </c>
      <c r="O276" s="5" t="s">
        <v>38</v>
      </c>
      <c r="P276" s="5" t="s">
        <v>39</v>
      </c>
      <c r="Q276" s="2">
        <v>45968</v>
      </c>
      <c r="V276" s="46">
        <f>IF(
  OR(
    ISNUMBER(SEARCH("unable to locate acct", tblDocketedComments[[#This Row],[Docketed Consumer Comments]])),
    ISNUMBER(SEARCH("unknown", tblDocketedComments[[#This Row],[Docketed Consumer Comments]])),
    ISNUMBER(SEARCH("inactive", tblDocketedComments[[#This Row],[Docketed Consumer Comments]]))
  ),
  0,
  1
)</f>
        <v>1</v>
      </c>
    </row>
    <row r="277" spans="1:22">
      <c r="A277" s="2">
        <v>45903</v>
      </c>
      <c r="B277" s="1" t="s">
        <v>907</v>
      </c>
      <c r="C277" s="1" t="s">
        <v>908</v>
      </c>
      <c r="D277" s="1" t="s">
        <v>169</v>
      </c>
      <c r="E277" s="1">
        <v>85338</v>
      </c>
      <c r="F277" s="1" t="s">
        <v>909</v>
      </c>
      <c r="G277" s="1" t="s">
        <v>506</v>
      </c>
      <c r="H277" s="4" t="s">
        <v>27</v>
      </c>
      <c r="V277" s="46">
        <f>IF(
  OR(
    ISNUMBER(SEARCH("unable to locate acct", tblDocketedComments[[#This Row],[Docketed Consumer Comments]])),
    ISNUMBER(SEARCH("unknown", tblDocketedComments[[#This Row],[Docketed Consumer Comments]])),
    ISNUMBER(SEARCH("inactive", tblDocketedComments[[#This Row],[Docketed Consumer Comments]]))
  ),
  0,
  1
)</f>
        <v>1</v>
      </c>
    </row>
    <row r="278" spans="1:22">
      <c r="A278" s="2">
        <v>45903</v>
      </c>
      <c r="B278" s="1" t="s">
        <v>910</v>
      </c>
      <c r="C278" s="1" t="s">
        <v>911</v>
      </c>
      <c r="D278" s="1" t="s">
        <v>24</v>
      </c>
      <c r="E278" s="1">
        <v>85301</v>
      </c>
      <c r="F278" s="1" t="s">
        <v>310</v>
      </c>
      <c r="G278" s="1" t="s">
        <v>506</v>
      </c>
      <c r="H278" s="19" t="s">
        <v>912</v>
      </c>
      <c r="I278" s="5" t="s">
        <v>196</v>
      </c>
      <c r="J278" s="5" t="s">
        <v>37</v>
      </c>
      <c r="K278" s="5" t="s">
        <v>37</v>
      </c>
      <c r="L278" s="5" t="s">
        <v>38</v>
      </c>
      <c r="M278" s="5" t="s">
        <v>37</v>
      </c>
      <c r="N278" s="5" t="s">
        <v>37</v>
      </c>
      <c r="O278" s="5" t="s">
        <v>38</v>
      </c>
      <c r="P278" s="5" t="s">
        <v>39</v>
      </c>
      <c r="Q278" s="2">
        <v>45968</v>
      </c>
      <c r="V278" s="46">
        <f>IF(
  OR(
    ISNUMBER(SEARCH("unable to locate acct", tblDocketedComments[[#This Row],[Docketed Consumer Comments]])),
    ISNUMBER(SEARCH("unknown", tblDocketedComments[[#This Row],[Docketed Consumer Comments]])),
    ISNUMBER(SEARCH("inactive", tblDocketedComments[[#This Row],[Docketed Consumer Comments]]))
  ),
  0,
  1
)</f>
        <v>1</v>
      </c>
    </row>
    <row r="279" spans="1:22">
      <c r="A279" s="2">
        <v>45903</v>
      </c>
      <c r="B279" s="1" t="s">
        <v>913</v>
      </c>
      <c r="C279" s="1" t="s">
        <v>914</v>
      </c>
      <c r="D279" s="1" t="s">
        <v>112</v>
      </c>
      <c r="E279" s="1">
        <v>85388</v>
      </c>
      <c r="F279" s="1" t="s">
        <v>310</v>
      </c>
      <c r="G279" s="1" t="s">
        <v>506</v>
      </c>
      <c r="H279" s="19" t="s">
        <v>915</v>
      </c>
      <c r="I279" s="5" t="s">
        <v>36</v>
      </c>
      <c r="J279" s="5" t="s">
        <v>37</v>
      </c>
      <c r="K279" s="5" t="s">
        <v>37</v>
      </c>
      <c r="L279" s="5" t="s">
        <v>38</v>
      </c>
      <c r="M279" s="5" t="s">
        <v>37</v>
      </c>
      <c r="N279" s="5" t="s">
        <v>37</v>
      </c>
      <c r="O279" s="5" t="s">
        <v>38</v>
      </c>
      <c r="P279" s="5" t="s">
        <v>39</v>
      </c>
      <c r="Q279" s="2">
        <v>45968</v>
      </c>
      <c r="V279" s="46">
        <f>IF(
  OR(
    ISNUMBER(SEARCH("unable to locate acct", tblDocketedComments[[#This Row],[Docketed Consumer Comments]])),
    ISNUMBER(SEARCH("unknown", tblDocketedComments[[#This Row],[Docketed Consumer Comments]])),
    ISNUMBER(SEARCH("inactive", tblDocketedComments[[#This Row],[Docketed Consumer Comments]]))
  ),
  0,
  1
)</f>
        <v>1</v>
      </c>
    </row>
    <row r="280" spans="1:22">
      <c r="A280" s="2">
        <v>45903</v>
      </c>
      <c r="B280" s="1" t="s">
        <v>916</v>
      </c>
      <c r="C280" s="1" t="s">
        <v>917</v>
      </c>
      <c r="D280" s="1" t="s">
        <v>24</v>
      </c>
      <c r="E280" s="1">
        <v>85301</v>
      </c>
      <c r="F280" s="1" t="s">
        <v>31</v>
      </c>
      <c r="G280" s="1" t="s">
        <v>506</v>
      </c>
      <c r="H280" s="4" t="s">
        <v>918</v>
      </c>
      <c r="I280" s="5" t="s">
        <v>73</v>
      </c>
      <c r="J280" s="5" t="s">
        <v>37</v>
      </c>
      <c r="K280" s="5" t="s">
        <v>37</v>
      </c>
      <c r="L280" s="5" t="s">
        <v>38</v>
      </c>
      <c r="M280" s="5" t="s">
        <v>37</v>
      </c>
      <c r="N280" s="5" t="s">
        <v>37</v>
      </c>
      <c r="O280" s="5" t="s">
        <v>38</v>
      </c>
      <c r="P280" s="5" t="s">
        <v>39</v>
      </c>
      <c r="Q280" s="2">
        <v>45968</v>
      </c>
      <c r="V280" s="46">
        <f>IF(
  OR(
    ISNUMBER(SEARCH("unable to locate acct", tblDocketedComments[[#This Row],[Docketed Consumer Comments]])),
    ISNUMBER(SEARCH("unknown", tblDocketedComments[[#This Row],[Docketed Consumer Comments]])),
    ISNUMBER(SEARCH("inactive", tblDocketedComments[[#This Row],[Docketed Consumer Comments]]))
  ),
  0,
  1
)</f>
        <v>1</v>
      </c>
    </row>
    <row r="281" spans="1:22">
      <c r="A281" s="2">
        <v>45903</v>
      </c>
      <c r="B281" s="1" t="s">
        <v>919</v>
      </c>
      <c r="C281" s="1" t="s">
        <v>920</v>
      </c>
      <c r="D281" s="1" t="s">
        <v>63</v>
      </c>
      <c r="E281" s="1">
        <v>85054</v>
      </c>
      <c r="F281" s="1" t="s">
        <v>310</v>
      </c>
      <c r="G281" s="1" t="s">
        <v>506</v>
      </c>
      <c r="H281" s="4" t="s">
        <v>209</v>
      </c>
      <c r="V281" s="46">
        <f>IF(
  OR(
    ISNUMBER(SEARCH("unable to locate acct", tblDocketedComments[[#This Row],[Docketed Consumer Comments]])),
    ISNUMBER(SEARCH("unknown", tblDocketedComments[[#This Row],[Docketed Consumer Comments]])),
    ISNUMBER(SEARCH("inactive", tblDocketedComments[[#This Row],[Docketed Consumer Comments]]))
  ),
  0,
  1
)</f>
        <v>1</v>
      </c>
    </row>
    <row r="282" spans="1:22">
      <c r="A282" s="2">
        <v>45903</v>
      </c>
      <c r="B282" s="1" t="s">
        <v>921</v>
      </c>
      <c r="C282" s="1" t="s">
        <v>922</v>
      </c>
      <c r="D282" s="1" t="s">
        <v>923</v>
      </c>
      <c r="E282" s="1">
        <v>85501</v>
      </c>
      <c r="F282" s="1" t="s">
        <v>31</v>
      </c>
      <c r="G282" s="1" t="s">
        <v>506</v>
      </c>
      <c r="H282" s="19" t="s">
        <v>924</v>
      </c>
      <c r="I282" s="5" t="s">
        <v>196</v>
      </c>
      <c r="J282" s="5" t="s">
        <v>37</v>
      </c>
      <c r="K282" s="5" t="s">
        <v>37</v>
      </c>
      <c r="L282" s="5" t="s">
        <v>925</v>
      </c>
      <c r="M282" s="5" t="s">
        <v>37</v>
      </c>
      <c r="N282" s="5" t="s">
        <v>37</v>
      </c>
      <c r="O282" s="5" t="s">
        <v>38</v>
      </c>
      <c r="P282" s="5" t="s">
        <v>39</v>
      </c>
      <c r="Q282" s="2">
        <v>45968</v>
      </c>
      <c r="V282" s="46">
        <f>IF(
  OR(
    ISNUMBER(SEARCH("unable to locate acct", tblDocketedComments[[#This Row],[Docketed Consumer Comments]])),
    ISNUMBER(SEARCH("unknown", tblDocketedComments[[#This Row],[Docketed Consumer Comments]])),
    ISNUMBER(SEARCH("inactive", tblDocketedComments[[#This Row],[Docketed Consumer Comments]]))
  ),
  0,
  1
)</f>
        <v>1</v>
      </c>
    </row>
    <row r="283" spans="1:22">
      <c r="A283" s="2">
        <v>45903</v>
      </c>
      <c r="B283" s="1" t="s">
        <v>926</v>
      </c>
      <c r="C283" s="1" t="s">
        <v>927</v>
      </c>
      <c r="D283" s="1" t="s">
        <v>63</v>
      </c>
      <c r="E283" s="1">
        <v>85013</v>
      </c>
      <c r="F283" s="1" t="s">
        <v>310</v>
      </c>
      <c r="G283" s="1" t="s">
        <v>506</v>
      </c>
      <c r="H283" s="19" t="s">
        <v>928</v>
      </c>
      <c r="I283" s="5" t="s">
        <v>126</v>
      </c>
      <c r="J283" s="5" t="s">
        <v>37</v>
      </c>
      <c r="K283" s="5" t="s">
        <v>37</v>
      </c>
      <c r="L283" s="5" t="s">
        <v>929</v>
      </c>
      <c r="M283" s="5" t="s">
        <v>37</v>
      </c>
      <c r="N283" s="5" t="s">
        <v>37</v>
      </c>
      <c r="O283" s="5" t="s">
        <v>38</v>
      </c>
      <c r="P283" s="5" t="s">
        <v>39</v>
      </c>
      <c r="Q283" s="2">
        <v>45968</v>
      </c>
      <c r="V283" s="46">
        <f>IF(
  OR(
    ISNUMBER(SEARCH("unable to locate acct", tblDocketedComments[[#This Row],[Docketed Consumer Comments]])),
    ISNUMBER(SEARCH("unknown", tblDocketedComments[[#This Row],[Docketed Consumer Comments]])),
    ISNUMBER(SEARCH("inactive", tblDocketedComments[[#This Row],[Docketed Consumer Comments]]))
  ),
  0,
  1
)</f>
        <v>1</v>
      </c>
    </row>
    <row r="284" spans="1:22">
      <c r="A284" s="2">
        <v>45903</v>
      </c>
      <c r="B284" s="1" t="s">
        <v>930</v>
      </c>
      <c r="C284" s="1" t="s">
        <v>931</v>
      </c>
      <c r="D284" s="1" t="s">
        <v>169</v>
      </c>
      <c r="E284" s="1">
        <v>85395</v>
      </c>
      <c r="F284" s="1" t="s">
        <v>31</v>
      </c>
      <c r="G284" s="1" t="s">
        <v>506</v>
      </c>
      <c r="H284" s="19" t="s">
        <v>932</v>
      </c>
      <c r="I284" s="5" t="s">
        <v>36</v>
      </c>
      <c r="J284" s="5" t="s">
        <v>37</v>
      </c>
      <c r="K284" s="5" t="s">
        <v>37</v>
      </c>
      <c r="L284" s="5" t="s">
        <v>933</v>
      </c>
      <c r="M284" s="5" t="s">
        <v>37</v>
      </c>
      <c r="N284" s="5" t="s">
        <v>37</v>
      </c>
      <c r="O284" s="5" t="s">
        <v>38</v>
      </c>
      <c r="P284" s="5" t="s">
        <v>39</v>
      </c>
      <c r="Q284" s="2">
        <v>45968</v>
      </c>
      <c r="V284" s="46">
        <f>IF(
  OR(
    ISNUMBER(SEARCH("unable to locate acct", tblDocketedComments[[#This Row],[Docketed Consumer Comments]])),
    ISNUMBER(SEARCH("unknown", tblDocketedComments[[#This Row],[Docketed Consumer Comments]])),
    ISNUMBER(SEARCH("inactive", tblDocketedComments[[#This Row],[Docketed Consumer Comments]]))
  ),
  0,
  1
)</f>
        <v>1</v>
      </c>
    </row>
    <row r="285" spans="1:22">
      <c r="A285" s="2">
        <v>45903</v>
      </c>
      <c r="B285" s="1" t="s">
        <v>934</v>
      </c>
      <c r="C285" s="1" t="s">
        <v>935</v>
      </c>
      <c r="D285" s="1" t="s">
        <v>202</v>
      </c>
      <c r="E285" s="1">
        <v>85383</v>
      </c>
      <c r="F285" s="1" t="s">
        <v>310</v>
      </c>
      <c r="G285" s="1" t="s">
        <v>506</v>
      </c>
      <c r="H285" s="19" t="s">
        <v>936</v>
      </c>
      <c r="I285" s="5" t="s">
        <v>541</v>
      </c>
      <c r="J285" s="5" t="s">
        <v>37</v>
      </c>
      <c r="K285" s="5" t="s">
        <v>37</v>
      </c>
      <c r="L285" s="5" t="s">
        <v>389</v>
      </c>
      <c r="M285" s="5" t="s">
        <v>37</v>
      </c>
      <c r="N285" s="5" t="s">
        <v>37</v>
      </c>
      <c r="O285" s="5" t="s">
        <v>38</v>
      </c>
      <c r="P285" s="5" t="s">
        <v>39</v>
      </c>
      <c r="Q285" s="2">
        <v>45968</v>
      </c>
      <c r="V285" s="46">
        <f>IF(
  OR(
    ISNUMBER(SEARCH("unable to locate acct", tblDocketedComments[[#This Row],[Docketed Consumer Comments]])),
    ISNUMBER(SEARCH("unknown", tblDocketedComments[[#This Row],[Docketed Consumer Comments]])),
    ISNUMBER(SEARCH("inactive", tblDocketedComments[[#This Row],[Docketed Consumer Comments]]))
  ),
  0,
  1
)</f>
        <v>1</v>
      </c>
    </row>
    <row r="286" spans="1:22">
      <c r="A286" s="2">
        <v>45903</v>
      </c>
      <c r="B286" s="1" t="s">
        <v>937</v>
      </c>
      <c r="C286" s="1" t="s">
        <v>938</v>
      </c>
      <c r="D286" s="1" t="s">
        <v>63</v>
      </c>
      <c r="E286" s="1">
        <v>85083</v>
      </c>
      <c r="F286" s="1" t="s">
        <v>31</v>
      </c>
      <c r="G286" s="1" t="s">
        <v>506</v>
      </c>
      <c r="H286" s="19" t="s">
        <v>939</v>
      </c>
      <c r="I286" s="5" t="s">
        <v>73</v>
      </c>
      <c r="J286" s="5" t="s">
        <v>37</v>
      </c>
      <c r="K286" s="5" t="s">
        <v>37</v>
      </c>
      <c r="L286" s="5" t="s">
        <v>401</v>
      </c>
      <c r="M286" s="5" t="s">
        <v>37</v>
      </c>
      <c r="N286" s="5" t="s">
        <v>37</v>
      </c>
      <c r="O286" s="5" t="s">
        <v>38</v>
      </c>
      <c r="P286" s="5" t="s">
        <v>39</v>
      </c>
      <c r="Q286" s="2">
        <v>45968</v>
      </c>
      <c r="V286" s="46">
        <f>IF(
  OR(
    ISNUMBER(SEARCH("unable to locate acct", tblDocketedComments[[#This Row],[Docketed Consumer Comments]])),
    ISNUMBER(SEARCH("unknown", tblDocketedComments[[#This Row],[Docketed Consumer Comments]])),
    ISNUMBER(SEARCH("inactive", tblDocketedComments[[#This Row],[Docketed Consumer Comments]]))
  ),
  0,
  1
)</f>
        <v>1</v>
      </c>
    </row>
    <row r="287" spans="1:22">
      <c r="A287" s="2">
        <v>45903</v>
      </c>
      <c r="B287" s="1" t="s">
        <v>940</v>
      </c>
      <c r="C287" s="1" t="s">
        <v>941</v>
      </c>
      <c r="D287" s="1" t="s">
        <v>63</v>
      </c>
      <c r="E287" s="1">
        <v>85014</v>
      </c>
      <c r="F287" s="1" t="s">
        <v>310</v>
      </c>
      <c r="G287" s="1" t="s">
        <v>506</v>
      </c>
      <c r="H287" s="19" t="s">
        <v>942</v>
      </c>
      <c r="I287" s="5" t="s">
        <v>73</v>
      </c>
      <c r="J287" s="5" t="s">
        <v>37</v>
      </c>
      <c r="K287" s="5" t="s">
        <v>37</v>
      </c>
      <c r="L287" s="5" t="s">
        <v>38</v>
      </c>
      <c r="M287" s="5" t="s">
        <v>37</v>
      </c>
      <c r="N287" s="5" t="s">
        <v>37</v>
      </c>
      <c r="O287" s="5" t="s">
        <v>38</v>
      </c>
      <c r="P287" s="5" t="s">
        <v>39</v>
      </c>
      <c r="Q287" s="2">
        <v>45968</v>
      </c>
      <c r="V287" s="46">
        <f>IF(
  OR(
    ISNUMBER(SEARCH("unable to locate acct", tblDocketedComments[[#This Row],[Docketed Consumer Comments]])),
    ISNUMBER(SEARCH("unknown", tblDocketedComments[[#This Row],[Docketed Consumer Comments]])),
    ISNUMBER(SEARCH("inactive", tblDocketedComments[[#This Row],[Docketed Consumer Comments]]))
  ),
  0,
  1
)</f>
        <v>1</v>
      </c>
    </row>
    <row r="288" spans="1:22">
      <c r="A288" s="2">
        <v>45903</v>
      </c>
      <c r="B288" s="1" t="s">
        <v>943</v>
      </c>
      <c r="C288" s="1" t="s">
        <v>944</v>
      </c>
      <c r="D288" s="1" t="s">
        <v>202</v>
      </c>
      <c r="E288" s="1">
        <v>85382</v>
      </c>
      <c r="F288" s="1" t="s">
        <v>310</v>
      </c>
      <c r="G288" s="1" t="s">
        <v>506</v>
      </c>
      <c r="H288" s="4" t="s">
        <v>945</v>
      </c>
      <c r="I288" s="5" t="s">
        <v>36</v>
      </c>
      <c r="J288" s="5" t="s">
        <v>37</v>
      </c>
      <c r="K288" s="5" t="s">
        <v>37</v>
      </c>
      <c r="L288" s="5" t="s">
        <v>946</v>
      </c>
      <c r="M288" s="5" t="s">
        <v>37</v>
      </c>
      <c r="N288" s="5" t="s">
        <v>37</v>
      </c>
      <c r="O288" s="5" t="s">
        <v>38</v>
      </c>
      <c r="P288" s="5" t="s">
        <v>39</v>
      </c>
      <c r="Q288" s="2">
        <v>45968</v>
      </c>
      <c r="V288" s="46">
        <f>IF(
  OR(
    ISNUMBER(SEARCH("unable to locate acct", tblDocketedComments[[#This Row],[Docketed Consumer Comments]])),
    ISNUMBER(SEARCH("unknown", tblDocketedComments[[#This Row],[Docketed Consumer Comments]])),
    ISNUMBER(SEARCH("inactive", tblDocketedComments[[#This Row],[Docketed Consumer Comments]]))
  ),
  0,
  1
)</f>
        <v>1</v>
      </c>
    </row>
    <row r="289" spans="1:22">
      <c r="A289" s="2">
        <v>45903</v>
      </c>
      <c r="B289" s="1" t="s">
        <v>947</v>
      </c>
      <c r="C289" s="1" t="s">
        <v>948</v>
      </c>
      <c r="D289" s="1" t="s">
        <v>125</v>
      </c>
      <c r="E289" s="1">
        <v>85251</v>
      </c>
      <c r="F289" s="1" t="s">
        <v>310</v>
      </c>
      <c r="G289" s="1" t="s">
        <v>506</v>
      </c>
      <c r="H289" s="19" t="s">
        <v>949</v>
      </c>
      <c r="I289" s="5" t="s">
        <v>73</v>
      </c>
      <c r="J289" s="5" t="s">
        <v>37</v>
      </c>
      <c r="K289" s="5" t="s">
        <v>37</v>
      </c>
      <c r="L289" s="5" t="s">
        <v>38</v>
      </c>
      <c r="M289" s="5" t="s">
        <v>37</v>
      </c>
      <c r="N289" s="5" t="s">
        <v>37</v>
      </c>
      <c r="O289" s="5" t="s">
        <v>38</v>
      </c>
      <c r="P289" s="5" t="s">
        <v>39</v>
      </c>
      <c r="Q289" s="2">
        <v>45968</v>
      </c>
      <c r="V289" s="46">
        <f>IF(
  OR(
    ISNUMBER(SEARCH("unable to locate acct", tblDocketedComments[[#This Row],[Docketed Consumer Comments]])),
    ISNUMBER(SEARCH("unknown", tblDocketedComments[[#This Row],[Docketed Consumer Comments]])),
    ISNUMBER(SEARCH("inactive", tblDocketedComments[[#This Row],[Docketed Consumer Comments]]))
  ),
  0,
  1
)</f>
        <v>1</v>
      </c>
    </row>
    <row r="290" spans="1:22">
      <c r="A290" s="2">
        <v>45903</v>
      </c>
      <c r="B290" s="1" t="s">
        <v>950</v>
      </c>
      <c r="C290" s="1" t="s">
        <v>835</v>
      </c>
      <c r="D290" s="1" t="s">
        <v>63</v>
      </c>
      <c r="E290" s="1">
        <v>85016</v>
      </c>
      <c r="F290" s="1" t="s">
        <v>310</v>
      </c>
      <c r="G290" s="1" t="s">
        <v>506</v>
      </c>
      <c r="H290" s="19" t="s">
        <v>951</v>
      </c>
      <c r="I290" s="5" t="s">
        <v>126</v>
      </c>
      <c r="J290" s="5" t="s">
        <v>37</v>
      </c>
      <c r="K290" s="5" t="s">
        <v>37</v>
      </c>
      <c r="L290" s="5" t="s">
        <v>952</v>
      </c>
      <c r="M290" s="5" t="s">
        <v>37</v>
      </c>
      <c r="N290" s="5" t="s">
        <v>37</v>
      </c>
      <c r="O290" s="5" t="s">
        <v>38</v>
      </c>
      <c r="P290" s="5" t="s">
        <v>39</v>
      </c>
      <c r="Q290" s="2">
        <v>45968</v>
      </c>
      <c r="V290" s="46">
        <f>IF(
  OR(
    ISNUMBER(SEARCH("unable to locate acct", tblDocketedComments[[#This Row],[Docketed Consumer Comments]])),
    ISNUMBER(SEARCH("unknown", tblDocketedComments[[#This Row],[Docketed Consumer Comments]])),
    ISNUMBER(SEARCH("inactive", tblDocketedComments[[#This Row],[Docketed Consumer Comments]]))
  ),
  0,
  1
)</f>
        <v>1</v>
      </c>
    </row>
    <row r="291" spans="1:22">
      <c r="A291" s="2">
        <v>45903</v>
      </c>
      <c r="B291" s="1" t="s">
        <v>526</v>
      </c>
      <c r="C291" s="1" t="s">
        <v>129</v>
      </c>
      <c r="D291" s="1" t="s">
        <v>169</v>
      </c>
      <c r="E291" s="1">
        <v>85338</v>
      </c>
      <c r="F291" s="1" t="s">
        <v>31</v>
      </c>
      <c r="G291" s="1" t="s">
        <v>506</v>
      </c>
      <c r="H291" s="4" t="s">
        <v>209</v>
      </c>
      <c r="V291" s="46">
        <f>IF(
  OR(
    ISNUMBER(SEARCH("unable to locate acct", tblDocketedComments[[#This Row],[Docketed Consumer Comments]])),
    ISNUMBER(SEARCH("unknown", tblDocketedComments[[#This Row],[Docketed Consumer Comments]])),
    ISNUMBER(SEARCH("inactive", tblDocketedComments[[#This Row],[Docketed Consumer Comments]]))
  ),
  0,
  1
)</f>
        <v>1</v>
      </c>
    </row>
    <row r="292" spans="1:22">
      <c r="A292" s="2">
        <v>45903</v>
      </c>
      <c r="B292" s="1" t="s">
        <v>290</v>
      </c>
      <c r="C292" s="1" t="s">
        <v>953</v>
      </c>
      <c r="D292" s="1" t="s">
        <v>63</v>
      </c>
      <c r="E292" s="1">
        <v>85013</v>
      </c>
      <c r="F292" s="1" t="s">
        <v>310</v>
      </c>
      <c r="G292" s="1" t="s">
        <v>506</v>
      </c>
      <c r="H292" s="19" t="s">
        <v>954</v>
      </c>
      <c r="I292" s="5" t="s">
        <v>73</v>
      </c>
      <c r="J292" s="5" t="s">
        <v>37</v>
      </c>
      <c r="K292" s="5" t="s">
        <v>37</v>
      </c>
      <c r="L292" s="5" t="s">
        <v>38</v>
      </c>
      <c r="M292" s="5" t="s">
        <v>37</v>
      </c>
      <c r="N292" s="5" t="s">
        <v>37</v>
      </c>
      <c r="O292" s="5" t="s">
        <v>38</v>
      </c>
      <c r="P292" s="5" t="s">
        <v>39</v>
      </c>
      <c r="Q292" s="2">
        <v>45968</v>
      </c>
      <c r="V292" s="46">
        <f>IF(
  OR(
    ISNUMBER(SEARCH("unable to locate acct", tblDocketedComments[[#This Row],[Docketed Consumer Comments]])),
    ISNUMBER(SEARCH("unknown", tblDocketedComments[[#This Row],[Docketed Consumer Comments]])),
    ISNUMBER(SEARCH("inactive", tblDocketedComments[[#This Row],[Docketed Consumer Comments]]))
  ),
  0,
  1
)</f>
        <v>1</v>
      </c>
    </row>
    <row r="293" spans="1:22">
      <c r="A293" s="2">
        <v>45903</v>
      </c>
      <c r="B293" s="1" t="s">
        <v>955</v>
      </c>
      <c r="C293" s="1" t="s">
        <v>956</v>
      </c>
      <c r="D293" s="1" t="s">
        <v>63</v>
      </c>
      <c r="E293" s="1">
        <v>85028</v>
      </c>
      <c r="F293" s="1" t="s">
        <v>310</v>
      </c>
      <c r="G293" s="1" t="s">
        <v>506</v>
      </c>
      <c r="H293" s="19" t="s">
        <v>957</v>
      </c>
      <c r="I293" s="5" t="s">
        <v>196</v>
      </c>
      <c r="J293" s="5" t="s">
        <v>37</v>
      </c>
      <c r="K293" s="5" t="s">
        <v>37</v>
      </c>
      <c r="L293" s="5" t="s">
        <v>958</v>
      </c>
      <c r="M293" s="5" t="s">
        <v>37</v>
      </c>
      <c r="N293" s="5" t="s">
        <v>37</v>
      </c>
      <c r="O293" s="5" t="s">
        <v>38</v>
      </c>
      <c r="P293" s="5" t="s">
        <v>39</v>
      </c>
      <c r="Q293" s="2">
        <v>45968</v>
      </c>
      <c r="V293" s="46">
        <f>IF(
  OR(
    ISNUMBER(SEARCH("unable to locate acct", tblDocketedComments[[#This Row],[Docketed Consumer Comments]])),
    ISNUMBER(SEARCH("unknown", tblDocketedComments[[#This Row],[Docketed Consumer Comments]])),
    ISNUMBER(SEARCH("inactive", tblDocketedComments[[#This Row],[Docketed Consumer Comments]]))
  ),
  0,
  1
)</f>
        <v>1</v>
      </c>
    </row>
    <row r="294" spans="1:22">
      <c r="A294" s="2">
        <v>45903</v>
      </c>
      <c r="B294" s="1" t="s">
        <v>176</v>
      </c>
      <c r="C294" s="1" t="s">
        <v>911</v>
      </c>
      <c r="D294" s="1" t="s">
        <v>169</v>
      </c>
      <c r="E294" s="1">
        <v>85338</v>
      </c>
      <c r="F294" s="1" t="s">
        <v>517</v>
      </c>
      <c r="G294" s="1" t="s">
        <v>506</v>
      </c>
      <c r="H294" s="4" t="s">
        <v>209</v>
      </c>
      <c r="V294" s="46">
        <f>IF(
  OR(
    ISNUMBER(SEARCH("unable to locate acct", tblDocketedComments[[#This Row],[Docketed Consumer Comments]])),
    ISNUMBER(SEARCH("unknown", tblDocketedComments[[#This Row],[Docketed Consumer Comments]])),
    ISNUMBER(SEARCH("inactive", tblDocketedComments[[#This Row],[Docketed Consumer Comments]]))
  ),
  0,
  1
)</f>
        <v>1</v>
      </c>
    </row>
    <row r="295" spans="1:22">
      <c r="A295" s="2">
        <v>45903</v>
      </c>
      <c r="B295" s="1" t="s">
        <v>959</v>
      </c>
      <c r="C295" s="1" t="s">
        <v>228</v>
      </c>
      <c r="D295" s="1" t="s">
        <v>202</v>
      </c>
      <c r="E295" s="1">
        <v>85381</v>
      </c>
      <c r="F295" s="1" t="s">
        <v>31</v>
      </c>
      <c r="G295" s="1" t="s">
        <v>506</v>
      </c>
      <c r="H295" s="19" t="s">
        <v>960</v>
      </c>
      <c r="I295" s="5" t="s">
        <v>36</v>
      </c>
      <c r="J295" s="5" t="s">
        <v>37</v>
      </c>
      <c r="K295" s="5" t="s">
        <v>37</v>
      </c>
      <c r="L295" s="5" t="s">
        <v>38</v>
      </c>
      <c r="M295" s="5" t="s">
        <v>37</v>
      </c>
      <c r="N295" s="5" t="s">
        <v>37</v>
      </c>
      <c r="O295" s="5" t="s">
        <v>38</v>
      </c>
      <c r="P295" s="5" t="s">
        <v>39</v>
      </c>
      <c r="Q295" s="2">
        <v>45968</v>
      </c>
      <c r="V295" s="46">
        <f>IF(
  OR(
    ISNUMBER(SEARCH("unable to locate acct", tblDocketedComments[[#This Row],[Docketed Consumer Comments]])),
    ISNUMBER(SEARCH("unknown", tblDocketedComments[[#This Row],[Docketed Consumer Comments]])),
    ISNUMBER(SEARCH("inactive", tblDocketedComments[[#This Row],[Docketed Consumer Comments]]))
  ),
  0,
  1
)</f>
        <v>1</v>
      </c>
    </row>
    <row r="296" spans="1:22">
      <c r="A296" s="2">
        <v>45903</v>
      </c>
      <c r="B296" s="1" t="s">
        <v>961</v>
      </c>
      <c r="C296" s="1" t="s">
        <v>962</v>
      </c>
      <c r="D296" s="1" t="s">
        <v>112</v>
      </c>
      <c r="E296" s="1">
        <v>85388</v>
      </c>
      <c r="F296" s="1" t="s">
        <v>310</v>
      </c>
      <c r="G296" s="1" t="s">
        <v>506</v>
      </c>
      <c r="H296" s="19" t="s">
        <v>963</v>
      </c>
      <c r="I296" s="5" t="s">
        <v>418</v>
      </c>
      <c r="J296" s="5" t="s">
        <v>37</v>
      </c>
      <c r="K296" s="5" t="s">
        <v>37</v>
      </c>
      <c r="L296" s="5" t="s">
        <v>389</v>
      </c>
      <c r="M296" s="5" t="s">
        <v>37</v>
      </c>
      <c r="N296" s="5" t="s">
        <v>37</v>
      </c>
      <c r="O296" s="5" t="s">
        <v>38</v>
      </c>
      <c r="P296" s="5" t="s">
        <v>39</v>
      </c>
      <c r="Q296" s="2">
        <v>45968</v>
      </c>
      <c r="V296" s="46">
        <f>IF(
  OR(
    ISNUMBER(SEARCH("unable to locate acct", tblDocketedComments[[#This Row],[Docketed Consumer Comments]])),
    ISNUMBER(SEARCH("unknown", tblDocketedComments[[#This Row],[Docketed Consumer Comments]])),
    ISNUMBER(SEARCH("inactive", tblDocketedComments[[#This Row],[Docketed Consumer Comments]]))
  ),
  0,
  1
)</f>
        <v>1</v>
      </c>
    </row>
    <row r="297" spans="1:22">
      <c r="A297" s="2">
        <v>45903</v>
      </c>
      <c r="B297" s="1" t="s">
        <v>964</v>
      </c>
      <c r="C297" s="1" t="s">
        <v>965</v>
      </c>
      <c r="D297" s="1" t="s">
        <v>125</v>
      </c>
      <c r="E297" s="1">
        <v>85254</v>
      </c>
      <c r="F297" s="1" t="s">
        <v>31</v>
      </c>
      <c r="G297" s="1" t="s">
        <v>506</v>
      </c>
      <c r="H297" s="19" t="s">
        <v>966</v>
      </c>
      <c r="I297" s="5" t="s">
        <v>196</v>
      </c>
      <c r="J297" s="5" t="s">
        <v>37</v>
      </c>
      <c r="K297" s="5" t="s">
        <v>37</v>
      </c>
      <c r="L297" s="5" t="s">
        <v>38</v>
      </c>
      <c r="M297" s="5" t="s">
        <v>37</v>
      </c>
      <c r="N297" s="5" t="s">
        <v>37</v>
      </c>
      <c r="O297" s="5" t="s">
        <v>38</v>
      </c>
      <c r="P297" s="5" t="s">
        <v>39</v>
      </c>
      <c r="Q297" s="2">
        <v>45968</v>
      </c>
      <c r="V297" s="46">
        <f>IF(
  OR(
    ISNUMBER(SEARCH("unable to locate acct", tblDocketedComments[[#This Row],[Docketed Consumer Comments]])),
    ISNUMBER(SEARCH("unknown", tblDocketedComments[[#This Row],[Docketed Consumer Comments]])),
    ISNUMBER(SEARCH("inactive", tblDocketedComments[[#This Row],[Docketed Consumer Comments]]))
  ),
  0,
  1
)</f>
        <v>1</v>
      </c>
    </row>
    <row r="298" spans="1:22">
      <c r="A298" s="2">
        <v>45903</v>
      </c>
      <c r="B298" s="1" t="s">
        <v>967</v>
      </c>
      <c r="C298" s="1" t="s">
        <v>890</v>
      </c>
      <c r="D298" s="1" t="s">
        <v>202</v>
      </c>
      <c r="E298" s="1">
        <v>85383</v>
      </c>
      <c r="F298" s="1" t="s">
        <v>310</v>
      </c>
      <c r="G298" s="1" t="s">
        <v>506</v>
      </c>
      <c r="H298" s="4" t="s">
        <v>27</v>
      </c>
      <c r="V298" s="46">
        <f>IF(
  OR(
    ISNUMBER(SEARCH("unable to locate acct", tblDocketedComments[[#This Row],[Docketed Consumer Comments]])),
    ISNUMBER(SEARCH("unknown", tblDocketedComments[[#This Row],[Docketed Consumer Comments]])),
    ISNUMBER(SEARCH("inactive", tblDocketedComments[[#This Row],[Docketed Consumer Comments]]))
  ),
  0,
  1
)</f>
        <v>1</v>
      </c>
    </row>
    <row r="299" spans="1:22">
      <c r="A299" s="2">
        <v>45903</v>
      </c>
      <c r="B299" s="1" t="s">
        <v>160</v>
      </c>
      <c r="C299" s="1" t="s">
        <v>968</v>
      </c>
      <c r="D299" s="1" t="s">
        <v>240</v>
      </c>
      <c r="E299" s="1">
        <v>85340</v>
      </c>
      <c r="F299" s="1" t="s">
        <v>969</v>
      </c>
      <c r="G299" s="1" t="s">
        <v>506</v>
      </c>
      <c r="H299" s="4" t="s">
        <v>27</v>
      </c>
      <c r="V299" s="46">
        <f>IF(
  OR(
    ISNUMBER(SEARCH("unable to locate acct", tblDocketedComments[[#This Row],[Docketed Consumer Comments]])),
    ISNUMBER(SEARCH("unknown", tblDocketedComments[[#This Row],[Docketed Consumer Comments]])),
    ISNUMBER(SEARCH("inactive", tblDocketedComments[[#This Row],[Docketed Consumer Comments]]))
  ),
  0,
  1
)</f>
        <v>1</v>
      </c>
    </row>
    <row r="300" spans="1:22">
      <c r="A300" s="2">
        <v>45903</v>
      </c>
      <c r="B300" s="1" t="s">
        <v>970</v>
      </c>
      <c r="C300" s="1" t="s">
        <v>355</v>
      </c>
      <c r="D300" s="1" t="s">
        <v>202</v>
      </c>
      <c r="E300" s="1">
        <v>85382</v>
      </c>
      <c r="F300" s="1" t="s">
        <v>971</v>
      </c>
      <c r="G300" s="1" t="s">
        <v>506</v>
      </c>
      <c r="H300" s="19" t="s">
        <v>972</v>
      </c>
      <c r="I300" s="5" t="s">
        <v>541</v>
      </c>
      <c r="J300" s="5" t="s">
        <v>37</v>
      </c>
      <c r="K300" s="5" t="s">
        <v>37</v>
      </c>
      <c r="L300" s="5" t="s">
        <v>389</v>
      </c>
      <c r="M300" s="5" t="s">
        <v>37</v>
      </c>
      <c r="N300" s="5" t="s">
        <v>37</v>
      </c>
      <c r="O300" s="5" t="s">
        <v>38</v>
      </c>
      <c r="P300" s="5" t="s">
        <v>39</v>
      </c>
      <c r="Q300" s="2">
        <v>45968</v>
      </c>
      <c r="V300" s="46">
        <f>IF(
  OR(
    ISNUMBER(SEARCH("unable to locate acct", tblDocketedComments[[#This Row],[Docketed Consumer Comments]])),
    ISNUMBER(SEARCH("unknown", tblDocketedComments[[#This Row],[Docketed Consumer Comments]])),
    ISNUMBER(SEARCH("inactive", tblDocketedComments[[#This Row],[Docketed Consumer Comments]]))
  ),
  0,
  1
)</f>
        <v>1</v>
      </c>
    </row>
    <row r="301" spans="1:22">
      <c r="A301" s="2">
        <v>45903</v>
      </c>
      <c r="B301" s="1" t="s">
        <v>134</v>
      </c>
      <c r="C301" s="1" t="s">
        <v>789</v>
      </c>
      <c r="D301" s="1" t="s">
        <v>240</v>
      </c>
      <c r="E301" s="1">
        <v>85340</v>
      </c>
      <c r="F301" s="1" t="s">
        <v>31</v>
      </c>
      <c r="G301" s="1" t="s">
        <v>506</v>
      </c>
      <c r="H301" s="19" t="s">
        <v>973</v>
      </c>
      <c r="I301" s="5" t="s">
        <v>418</v>
      </c>
      <c r="J301" s="5" t="s">
        <v>37</v>
      </c>
      <c r="K301" s="5" t="s">
        <v>37</v>
      </c>
      <c r="L301" s="5" t="s">
        <v>389</v>
      </c>
      <c r="M301" s="5" t="s">
        <v>37</v>
      </c>
      <c r="N301" s="5" t="s">
        <v>37</v>
      </c>
      <c r="O301" s="5" t="s">
        <v>38</v>
      </c>
      <c r="P301" s="5" t="s">
        <v>39</v>
      </c>
      <c r="Q301" s="2">
        <v>45968</v>
      </c>
      <c r="V301" s="46">
        <f>IF(
  OR(
    ISNUMBER(SEARCH("unable to locate acct", tblDocketedComments[[#This Row],[Docketed Consumer Comments]])),
    ISNUMBER(SEARCH("unknown", tblDocketedComments[[#This Row],[Docketed Consumer Comments]])),
    ISNUMBER(SEARCH("inactive", tblDocketedComments[[#This Row],[Docketed Consumer Comments]]))
  ),
  0,
  1
)</f>
        <v>1</v>
      </c>
    </row>
    <row r="302" spans="1:22">
      <c r="A302" s="2">
        <v>45903</v>
      </c>
      <c r="B302" s="1" t="s">
        <v>974</v>
      </c>
      <c r="C302" s="1" t="s">
        <v>975</v>
      </c>
      <c r="D302" s="1" t="s">
        <v>125</v>
      </c>
      <c r="E302" s="1">
        <v>85251</v>
      </c>
      <c r="F302" s="1" t="s">
        <v>310</v>
      </c>
      <c r="G302" s="1" t="s">
        <v>506</v>
      </c>
      <c r="H302" s="19" t="s">
        <v>976</v>
      </c>
      <c r="I302" s="5" t="s">
        <v>126</v>
      </c>
      <c r="J302" s="5" t="s">
        <v>37</v>
      </c>
      <c r="K302" s="5" t="s">
        <v>37</v>
      </c>
      <c r="L302" s="7" t="s">
        <v>977</v>
      </c>
      <c r="M302" s="5" t="s">
        <v>37</v>
      </c>
      <c r="N302" s="5" t="s">
        <v>37</v>
      </c>
      <c r="O302" s="5" t="s">
        <v>38</v>
      </c>
      <c r="P302" s="2">
        <v>45933</v>
      </c>
      <c r="Q302" s="2">
        <v>45967</v>
      </c>
      <c r="R302" s="1" t="s">
        <v>978</v>
      </c>
      <c r="V302" s="46">
        <f>IF(
  OR(
    ISNUMBER(SEARCH("unable to locate acct", tblDocketedComments[[#This Row],[Docketed Consumer Comments]])),
    ISNUMBER(SEARCH("unknown", tblDocketedComments[[#This Row],[Docketed Consumer Comments]])),
    ISNUMBER(SEARCH("inactive", tblDocketedComments[[#This Row],[Docketed Consumer Comments]]))
  ),
  0,
  1
)</f>
        <v>1</v>
      </c>
    </row>
    <row r="303" spans="1:22">
      <c r="A303" s="2">
        <v>45903</v>
      </c>
      <c r="B303" s="1" t="s">
        <v>979</v>
      </c>
      <c r="C303" s="1" t="s">
        <v>673</v>
      </c>
      <c r="D303" s="1" t="s">
        <v>202</v>
      </c>
      <c r="E303" s="1">
        <v>85383</v>
      </c>
      <c r="F303" s="1" t="s">
        <v>310</v>
      </c>
      <c r="G303" s="1" t="s">
        <v>506</v>
      </c>
      <c r="H303" s="19" t="s">
        <v>980</v>
      </c>
      <c r="I303" s="5" t="s">
        <v>36</v>
      </c>
      <c r="J303" s="5" t="s">
        <v>37</v>
      </c>
      <c r="K303" s="5" t="s">
        <v>37</v>
      </c>
      <c r="L303" s="5" t="s">
        <v>38</v>
      </c>
      <c r="M303" s="5" t="s">
        <v>37</v>
      </c>
      <c r="N303" s="5" t="s">
        <v>37</v>
      </c>
      <c r="O303" s="5" t="s">
        <v>38</v>
      </c>
      <c r="P303" s="5" t="s">
        <v>39</v>
      </c>
      <c r="Q303" s="2">
        <v>45967</v>
      </c>
      <c r="V303" s="46">
        <f>IF(
  OR(
    ISNUMBER(SEARCH("unable to locate acct", tblDocketedComments[[#This Row],[Docketed Consumer Comments]])),
    ISNUMBER(SEARCH("unknown", tblDocketedComments[[#This Row],[Docketed Consumer Comments]])),
    ISNUMBER(SEARCH("inactive", tblDocketedComments[[#This Row],[Docketed Consumer Comments]]))
  ),
  0,
  1
)</f>
        <v>1</v>
      </c>
    </row>
    <row r="304" spans="1:22">
      <c r="A304" s="2">
        <v>45903</v>
      </c>
      <c r="B304" s="1" t="s">
        <v>981</v>
      </c>
      <c r="C304" s="1" t="s">
        <v>208</v>
      </c>
      <c r="D304" s="1" t="s">
        <v>261</v>
      </c>
      <c r="E304" s="1">
        <v>86314</v>
      </c>
      <c r="F304" s="1" t="s">
        <v>31</v>
      </c>
      <c r="G304" s="1" t="s">
        <v>506</v>
      </c>
      <c r="H304" s="19" t="s">
        <v>982</v>
      </c>
      <c r="I304" s="5" t="s">
        <v>126</v>
      </c>
      <c r="J304" s="5" t="s">
        <v>37</v>
      </c>
      <c r="K304" s="5" t="s">
        <v>37</v>
      </c>
      <c r="L304" s="5" t="s">
        <v>983</v>
      </c>
      <c r="M304" s="5" t="s">
        <v>37</v>
      </c>
      <c r="N304" s="5" t="s">
        <v>37</v>
      </c>
      <c r="O304" s="5" t="s">
        <v>38</v>
      </c>
      <c r="P304" s="5" t="s">
        <v>39</v>
      </c>
      <c r="Q304" s="2">
        <v>45967</v>
      </c>
      <c r="R304" s="1" t="s">
        <v>984</v>
      </c>
      <c r="V304" s="46">
        <f>IF(
  OR(
    ISNUMBER(SEARCH("unable to locate acct", tblDocketedComments[[#This Row],[Docketed Consumer Comments]])),
    ISNUMBER(SEARCH("unknown", tblDocketedComments[[#This Row],[Docketed Consumer Comments]])),
    ISNUMBER(SEARCH("inactive", tblDocketedComments[[#This Row],[Docketed Consumer Comments]]))
  ),
  0,
  1
)</f>
        <v>1</v>
      </c>
    </row>
    <row r="305" spans="1:22">
      <c r="A305" s="2">
        <v>45903</v>
      </c>
      <c r="B305" s="1" t="s">
        <v>985</v>
      </c>
      <c r="C305" s="1" t="s">
        <v>263</v>
      </c>
      <c r="D305" s="1" t="s">
        <v>169</v>
      </c>
      <c r="E305" s="1">
        <v>85395</v>
      </c>
      <c r="F305" s="1" t="s">
        <v>986</v>
      </c>
      <c r="G305" s="1" t="s">
        <v>506</v>
      </c>
      <c r="H305" s="19" t="s">
        <v>987</v>
      </c>
      <c r="I305" s="5" t="s">
        <v>196</v>
      </c>
      <c r="J305" s="5" t="s">
        <v>37</v>
      </c>
      <c r="K305" s="5" t="s">
        <v>37</v>
      </c>
      <c r="L305" s="5" t="s">
        <v>38</v>
      </c>
      <c r="M305" s="5" t="s">
        <v>37</v>
      </c>
      <c r="N305" s="5" t="s">
        <v>37</v>
      </c>
      <c r="O305" s="5" t="s">
        <v>38</v>
      </c>
      <c r="P305" s="5" t="s">
        <v>39</v>
      </c>
      <c r="Q305" s="2">
        <v>45967</v>
      </c>
      <c r="V305" s="46">
        <f>IF(
  OR(
    ISNUMBER(SEARCH("unable to locate acct", tblDocketedComments[[#This Row],[Docketed Consumer Comments]])),
    ISNUMBER(SEARCH("unknown", tblDocketedComments[[#This Row],[Docketed Consumer Comments]])),
    ISNUMBER(SEARCH("inactive", tblDocketedComments[[#This Row],[Docketed Consumer Comments]]))
  ),
  0,
  1
)</f>
        <v>1</v>
      </c>
    </row>
    <row r="306" spans="1:22">
      <c r="A306" s="2">
        <v>45903</v>
      </c>
      <c r="B306" s="1" t="s">
        <v>134</v>
      </c>
      <c r="C306" s="1" t="s">
        <v>777</v>
      </c>
      <c r="D306" s="1" t="s">
        <v>240</v>
      </c>
      <c r="E306" s="1">
        <v>85340</v>
      </c>
      <c r="F306" s="1" t="s">
        <v>31</v>
      </c>
      <c r="G306" s="1" t="s">
        <v>506</v>
      </c>
      <c r="H306" s="19" t="s">
        <v>988</v>
      </c>
      <c r="I306" s="5" t="s">
        <v>243</v>
      </c>
      <c r="J306" s="5" t="s">
        <v>37</v>
      </c>
      <c r="K306" s="5" t="s">
        <v>37</v>
      </c>
      <c r="L306" s="5" t="s">
        <v>389</v>
      </c>
      <c r="M306" s="5" t="s">
        <v>37</v>
      </c>
      <c r="N306" s="5" t="s">
        <v>37</v>
      </c>
      <c r="O306" s="5" t="s">
        <v>38</v>
      </c>
      <c r="P306" s="5" t="s">
        <v>39</v>
      </c>
      <c r="Q306" s="2">
        <v>45967</v>
      </c>
      <c r="V306" s="46">
        <f>IF(
  OR(
    ISNUMBER(SEARCH("unable to locate acct", tblDocketedComments[[#This Row],[Docketed Consumer Comments]])),
    ISNUMBER(SEARCH("unknown", tblDocketedComments[[#This Row],[Docketed Consumer Comments]])),
    ISNUMBER(SEARCH("inactive", tblDocketedComments[[#This Row],[Docketed Consumer Comments]]))
  ),
  0,
  1
)</f>
        <v>1</v>
      </c>
    </row>
    <row r="307" spans="1:22">
      <c r="A307" s="2">
        <v>45903</v>
      </c>
      <c r="B307" s="1" t="s">
        <v>989</v>
      </c>
      <c r="C307" s="1" t="s">
        <v>437</v>
      </c>
      <c r="D307" s="1" t="s">
        <v>63</v>
      </c>
      <c r="E307" s="1">
        <v>85028</v>
      </c>
      <c r="F307" s="1" t="s">
        <v>310</v>
      </c>
      <c r="G307" s="1" t="s">
        <v>506</v>
      </c>
      <c r="H307" s="4" t="s">
        <v>27</v>
      </c>
      <c r="V307" s="46">
        <f>IF(
  OR(
    ISNUMBER(SEARCH("unable to locate acct", tblDocketedComments[[#This Row],[Docketed Consumer Comments]])),
    ISNUMBER(SEARCH("unknown", tblDocketedComments[[#This Row],[Docketed Consumer Comments]])),
    ISNUMBER(SEARCH("inactive", tblDocketedComments[[#This Row],[Docketed Consumer Comments]]))
  ),
  0,
  1
)</f>
        <v>1</v>
      </c>
    </row>
    <row r="308" spans="1:22">
      <c r="A308" s="2">
        <v>45903</v>
      </c>
      <c r="B308" s="1" t="s">
        <v>990</v>
      </c>
      <c r="C308" s="1" t="s">
        <v>991</v>
      </c>
      <c r="D308" s="1" t="s">
        <v>169</v>
      </c>
      <c r="E308" s="1">
        <v>85338</v>
      </c>
      <c r="F308" s="1" t="s">
        <v>992</v>
      </c>
      <c r="G308" s="1" t="s">
        <v>506</v>
      </c>
      <c r="H308" s="19" t="s">
        <v>993</v>
      </c>
      <c r="I308" s="5" t="s">
        <v>418</v>
      </c>
      <c r="J308" s="5" t="s">
        <v>37</v>
      </c>
      <c r="K308" s="5" t="s">
        <v>37</v>
      </c>
      <c r="L308" s="5" t="s">
        <v>389</v>
      </c>
      <c r="M308" s="5" t="s">
        <v>37</v>
      </c>
      <c r="N308" s="5" t="s">
        <v>37</v>
      </c>
      <c r="O308" s="5" t="s">
        <v>38</v>
      </c>
      <c r="P308" s="5" t="s">
        <v>39</v>
      </c>
      <c r="Q308" s="2">
        <v>45967</v>
      </c>
      <c r="V308" s="46">
        <f>IF(
  OR(
    ISNUMBER(SEARCH("unable to locate acct", tblDocketedComments[[#This Row],[Docketed Consumer Comments]])),
    ISNUMBER(SEARCH("unknown", tblDocketedComments[[#This Row],[Docketed Consumer Comments]])),
    ISNUMBER(SEARCH("inactive", tblDocketedComments[[#This Row],[Docketed Consumer Comments]]))
  ),
  0,
  1
)</f>
        <v>1</v>
      </c>
    </row>
    <row r="309" spans="1:22">
      <c r="A309" s="2">
        <v>45903</v>
      </c>
      <c r="B309" s="1" t="s">
        <v>837</v>
      </c>
      <c r="C309" s="1" t="s">
        <v>994</v>
      </c>
      <c r="D309" s="1" t="s">
        <v>202</v>
      </c>
      <c r="E309" s="1">
        <v>85383</v>
      </c>
      <c r="F309" s="1" t="s">
        <v>31</v>
      </c>
      <c r="G309" s="1" t="s">
        <v>506</v>
      </c>
      <c r="H309" s="4" t="s">
        <v>27</v>
      </c>
      <c r="V309" s="46">
        <f>IF(
  OR(
    ISNUMBER(SEARCH("unable to locate acct", tblDocketedComments[[#This Row],[Docketed Consumer Comments]])),
    ISNUMBER(SEARCH("unknown", tblDocketedComments[[#This Row],[Docketed Consumer Comments]])),
    ISNUMBER(SEARCH("inactive", tblDocketedComments[[#This Row],[Docketed Consumer Comments]]))
  ),
  0,
  1
)</f>
        <v>1</v>
      </c>
    </row>
    <row r="310" spans="1:22">
      <c r="A310" s="2">
        <v>45903</v>
      </c>
      <c r="B310" s="1" t="s">
        <v>657</v>
      </c>
      <c r="C310" s="1" t="s">
        <v>42</v>
      </c>
      <c r="D310" s="1" t="s">
        <v>169</v>
      </c>
      <c r="E310" s="1">
        <v>85395</v>
      </c>
      <c r="F310" s="1" t="s">
        <v>31</v>
      </c>
      <c r="G310" s="1" t="s">
        <v>506</v>
      </c>
      <c r="H310" s="19" t="s">
        <v>995</v>
      </c>
      <c r="I310" s="5" t="s">
        <v>541</v>
      </c>
      <c r="J310" s="5" t="s">
        <v>37</v>
      </c>
      <c r="K310" s="5" t="s">
        <v>37</v>
      </c>
      <c r="L310" s="5" t="s">
        <v>389</v>
      </c>
      <c r="M310" s="5" t="s">
        <v>37</v>
      </c>
      <c r="N310" s="5" t="s">
        <v>37</v>
      </c>
      <c r="O310" s="5" t="s">
        <v>38</v>
      </c>
      <c r="P310" s="5" t="s">
        <v>39</v>
      </c>
      <c r="Q310" s="2">
        <v>45967</v>
      </c>
      <c r="V310" s="46">
        <f>IF(
  OR(
    ISNUMBER(SEARCH("unable to locate acct", tblDocketedComments[[#This Row],[Docketed Consumer Comments]])),
    ISNUMBER(SEARCH("unknown", tblDocketedComments[[#This Row],[Docketed Consumer Comments]])),
    ISNUMBER(SEARCH("inactive", tblDocketedComments[[#This Row],[Docketed Consumer Comments]]))
  ),
  0,
  1
)</f>
        <v>1</v>
      </c>
    </row>
    <row r="311" spans="1:22">
      <c r="A311" s="2">
        <v>45903</v>
      </c>
      <c r="B311" s="1" t="s">
        <v>996</v>
      </c>
      <c r="C311" s="1" t="s">
        <v>997</v>
      </c>
      <c r="D311" s="1" t="s">
        <v>129</v>
      </c>
      <c r="E311" s="1">
        <v>85298</v>
      </c>
      <c r="F311" s="1" t="s">
        <v>310</v>
      </c>
      <c r="G311" s="1" t="s">
        <v>506</v>
      </c>
      <c r="H311" s="4" t="s">
        <v>27</v>
      </c>
      <c r="V311" s="46">
        <f>IF(
  OR(
    ISNUMBER(SEARCH("unable to locate acct", tblDocketedComments[[#This Row],[Docketed Consumer Comments]])),
    ISNUMBER(SEARCH("unknown", tblDocketedComments[[#This Row],[Docketed Consumer Comments]])),
    ISNUMBER(SEARCH("inactive", tblDocketedComments[[#This Row],[Docketed Consumer Comments]]))
  ),
  0,
  1
)</f>
        <v>1</v>
      </c>
    </row>
    <row r="312" spans="1:22">
      <c r="A312" s="2">
        <v>45903</v>
      </c>
      <c r="B312" s="1" t="s">
        <v>998</v>
      </c>
      <c r="C312" s="1" t="s">
        <v>920</v>
      </c>
      <c r="D312" s="1" t="s">
        <v>63</v>
      </c>
      <c r="E312" s="1">
        <v>85004</v>
      </c>
      <c r="F312" s="1" t="s">
        <v>310</v>
      </c>
      <c r="G312" s="1" t="s">
        <v>506</v>
      </c>
      <c r="H312" s="19" t="s">
        <v>999</v>
      </c>
      <c r="I312" s="5" t="s">
        <v>126</v>
      </c>
      <c r="J312" s="5" t="s">
        <v>38</v>
      </c>
      <c r="K312" s="5" t="s">
        <v>37</v>
      </c>
      <c r="L312" s="5" t="s">
        <v>38</v>
      </c>
      <c r="M312" s="5" t="s">
        <v>37</v>
      </c>
      <c r="N312" s="5" t="s">
        <v>37</v>
      </c>
      <c r="O312" s="5" t="s">
        <v>38</v>
      </c>
      <c r="P312" s="5" t="s">
        <v>39</v>
      </c>
      <c r="Q312" s="2">
        <v>45967</v>
      </c>
      <c r="V312" s="46">
        <f>IF(
  OR(
    ISNUMBER(SEARCH("unable to locate acct", tblDocketedComments[[#This Row],[Docketed Consumer Comments]])),
    ISNUMBER(SEARCH("unknown", tblDocketedComments[[#This Row],[Docketed Consumer Comments]])),
    ISNUMBER(SEARCH("inactive", tblDocketedComments[[#This Row],[Docketed Consumer Comments]]))
  ),
  0,
  1
)</f>
        <v>1</v>
      </c>
    </row>
    <row r="313" spans="1:22">
      <c r="A313" s="2">
        <v>45903</v>
      </c>
      <c r="B313" s="1" t="s">
        <v>1000</v>
      </c>
      <c r="C313" s="1" t="s">
        <v>1001</v>
      </c>
      <c r="D313" s="1" t="s">
        <v>63</v>
      </c>
      <c r="E313" s="1">
        <v>85012</v>
      </c>
      <c r="F313" s="1" t="s">
        <v>1002</v>
      </c>
      <c r="G313" s="1" t="s">
        <v>506</v>
      </c>
      <c r="H313" s="19" t="s">
        <v>1003</v>
      </c>
      <c r="I313" s="5" t="s">
        <v>36</v>
      </c>
      <c r="J313" s="5" t="s">
        <v>37</v>
      </c>
      <c r="K313" s="5" t="s">
        <v>37</v>
      </c>
      <c r="L313" s="5" t="s">
        <v>1004</v>
      </c>
      <c r="M313" s="5" t="s">
        <v>37</v>
      </c>
      <c r="N313" s="5" t="s">
        <v>37</v>
      </c>
      <c r="O313" s="5" t="s">
        <v>38</v>
      </c>
      <c r="P313" s="5" t="s">
        <v>39</v>
      </c>
      <c r="Q313" s="2">
        <v>45967</v>
      </c>
      <c r="V313" s="46">
        <f>IF(
  OR(
    ISNUMBER(SEARCH("unable to locate acct", tblDocketedComments[[#This Row],[Docketed Consumer Comments]])),
    ISNUMBER(SEARCH("unknown", tblDocketedComments[[#This Row],[Docketed Consumer Comments]])),
    ISNUMBER(SEARCH("inactive", tblDocketedComments[[#This Row],[Docketed Consumer Comments]]))
  ),
  0,
  1
)</f>
        <v>1</v>
      </c>
    </row>
    <row r="314" spans="1:22">
      <c r="A314" s="2">
        <v>45903</v>
      </c>
      <c r="B314" s="1" t="s">
        <v>1005</v>
      </c>
      <c r="C314" s="1" t="s">
        <v>443</v>
      </c>
      <c r="D314" s="1" t="s">
        <v>63</v>
      </c>
      <c r="E314" s="1">
        <v>85027</v>
      </c>
      <c r="F314" s="1" t="s">
        <v>310</v>
      </c>
      <c r="G314" s="1" t="s">
        <v>506</v>
      </c>
      <c r="H314" s="4" t="s">
        <v>27</v>
      </c>
      <c r="V314" s="46">
        <f>IF(
  OR(
    ISNUMBER(SEARCH("unable to locate acct", tblDocketedComments[[#This Row],[Docketed Consumer Comments]])),
    ISNUMBER(SEARCH("unknown", tblDocketedComments[[#This Row],[Docketed Consumer Comments]])),
    ISNUMBER(SEARCH("inactive", tblDocketedComments[[#This Row],[Docketed Consumer Comments]]))
  ),
  0,
  1
)</f>
        <v>1</v>
      </c>
    </row>
    <row r="315" spans="1:22">
      <c r="A315" s="2">
        <v>45903</v>
      </c>
      <c r="B315" s="1" t="s">
        <v>1006</v>
      </c>
      <c r="C315" s="1" t="s">
        <v>1007</v>
      </c>
      <c r="D315" s="1" t="s">
        <v>63</v>
      </c>
      <c r="E315" s="1">
        <v>85085</v>
      </c>
      <c r="F315" s="1" t="s">
        <v>31</v>
      </c>
      <c r="G315" s="1" t="s">
        <v>506</v>
      </c>
      <c r="H315" s="19" t="s">
        <v>1008</v>
      </c>
      <c r="I315" s="5" t="s">
        <v>36</v>
      </c>
      <c r="J315" s="5" t="s">
        <v>37</v>
      </c>
      <c r="K315" s="5" t="s">
        <v>37</v>
      </c>
      <c r="L315" s="5" t="s">
        <v>38</v>
      </c>
      <c r="M315" s="5" t="s">
        <v>37</v>
      </c>
      <c r="N315" s="5" t="s">
        <v>37</v>
      </c>
      <c r="O315" s="5" t="s">
        <v>38</v>
      </c>
      <c r="P315" s="5" t="s">
        <v>39</v>
      </c>
      <c r="Q315" s="2">
        <v>45967</v>
      </c>
      <c r="U315" s="1" t="s">
        <v>1009</v>
      </c>
      <c r="V315" s="46">
        <f>IF(
  OR(
    ISNUMBER(SEARCH("unable to locate acct", tblDocketedComments[[#This Row],[Docketed Consumer Comments]])),
    ISNUMBER(SEARCH("unknown", tblDocketedComments[[#This Row],[Docketed Consumer Comments]])),
    ISNUMBER(SEARCH("inactive", tblDocketedComments[[#This Row],[Docketed Consumer Comments]]))
  ),
  0,
  1
)</f>
        <v>1</v>
      </c>
    </row>
    <row r="316" spans="1:22">
      <c r="A316" s="2">
        <v>45903</v>
      </c>
      <c r="B316" s="1" t="s">
        <v>1010</v>
      </c>
      <c r="C316" s="1" t="s">
        <v>1011</v>
      </c>
      <c r="D316" s="1" t="s">
        <v>63</v>
      </c>
      <c r="E316" s="1">
        <v>85024</v>
      </c>
      <c r="F316" s="1" t="s">
        <v>310</v>
      </c>
      <c r="G316" s="1" t="s">
        <v>506</v>
      </c>
      <c r="H316" s="19" t="s">
        <v>1012</v>
      </c>
      <c r="I316" s="5" t="s">
        <v>196</v>
      </c>
      <c r="J316" s="5" t="s">
        <v>37</v>
      </c>
      <c r="K316" s="5" t="s">
        <v>37</v>
      </c>
      <c r="L316" s="5" t="s">
        <v>38</v>
      </c>
      <c r="M316" s="5" t="s">
        <v>37</v>
      </c>
      <c r="N316" s="5" t="s">
        <v>37</v>
      </c>
      <c r="O316" s="5" t="s">
        <v>38</v>
      </c>
      <c r="P316" s="5" t="s">
        <v>39</v>
      </c>
      <c r="Q316" s="2">
        <v>45967</v>
      </c>
      <c r="V316" s="46">
        <f>IF(
  OR(
    ISNUMBER(SEARCH("unable to locate acct", tblDocketedComments[[#This Row],[Docketed Consumer Comments]])),
    ISNUMBER(SEARCH("unknown", tblDocketedComments[[#This Row],[Docketed Consumer Comments]])),
    ISNUMBER(SEARCH("inactive", tblDocketedComments[[#This Row],[Docketed Consumer Comments]]))
  ),
  0,
  1
)</f>
        <v>1</v>
      </c>
    </row>
    <row r="317" spans="1:22">
      <c r="A317" s="2">
        <v>45903</v>
      </c>
      <c r="B317" s="1" t="s">
        <v>1013</v>
      </c>
      <c r="C317" s="1" t="s">
        <v>1014</v>
      </c>
      <c r="D317" s="1" t="s">
        <v>125</v>
      </c>
      <c r="E317" s="1">
        <v>85259</v>
      </c>
      <c r="F317" s="1" t="s">
        <v>310</v>
      </c>
      <c r="G317" s="1" t="s">
        <v>506</v>
      </c>
      <c r="H317" s="4" t="s">
        <v>209</v>
      </c>
      <c r="V317" s="46">
        <f>IF(
  OR(
    ISNUMBER(SEARCH("unable to locate acct", tblDocketedComments[[#This Row],[Docketed Consumer Comments]])),
    ISNUMBER(SEARCH("unknown", tblDocketedComments[[#This Row],[Docketed Consumer Comments]])),
    ISNUMBER(SEARCH("inactive", tblDocketedComments[[#This Row],[Docketed Consumer Comments]]))
  ),
  0,
  1
)</f>
        <v>1</v>
      </c>
    </row>
    <row r="318" spans="1:22">
      <c r="A318" s="2">
        <v>45903</v>
      </c>
      <c r="B318" s="1" t="s">
        <v>779</v>
      </c>
      <c r="C318" s="1" t="s">
        <v>479</v>
      </c>
      <c r="D318" s="1" t="s">
        <v>63</v>
      </c>
      <c r="E318" s="1">
        <v>85023</v>
      </c>
      <c r="F318" s="1" t="s">
        <v>31</v>
      </c>
      <c r="G318" s="1" t="s">
        <v>506</v>
      </c>
      <c r="H318" s="4" t="s">
        <v>1015</v>
      </c>
      <c r="I318" s="5" t="s">
        <v>541</v>
      </c>
      <c r="J318" s="5" t="s">
        <v>38</v>
      </c>
      <c r="K318" s="5" t="s">
        <v>37</v>
      </c>
      <c r="L318" s="5" t="s">
        <v>389</v>
      </c>
      <c r="M318" s="5" t="s">
        <v>37</v>
      </c>
      <c r="N318" s="5" t="s">
        <v>37</v>
      </c>
      <c r="O318" s="5" t="s">
        <v>38</v>
      </c>
      <c r="P318" s="5" t="s">
        <v>39</v>
      </c>
      <c r="Q318" s="2">
        <v>45967</v>
      </c>
      <c r="V318" s="46">
        <f>IF(
  OR(
    ISNUMBER(SEARCH("unable to locate acct", tblDocketedComments[[#This Row],[Docketed Consumer Comments]])),
    ISNUMBER(SEARCH("unknown", tblDocketedComments[[#This Row],[Docketed Consumer Comments]])),
    ISNUMBER(SEARCH("inactive", tblDocketedComments[[#This Row],[Docketed Consumer Comments]]))
  ),
  0,
  1
)</f>
        <v>1</v>
      </c>
    </row>
    <row r="319" spans="1:22">
      <c r="A319" s="2">
        <v>45903</v>
      </c>
      <c r="B319" s="1" t="s">
        <v>1016</v>
      </c>
      <c r="C319" s="1" t="s">
        <v>1017</v>
      </c>
      <c r="D319" s="1" t="s">
        <v>112</v>
      </c>
      <c r="E319" s="1">
        <v>85387</v>
      </c>
      <c r="F319" s="1" t="s">
        <v>310</v>
      </c>
      <c r="G319" s="1" t="s">
        <v>506</v>
      </c>
      <c r="H319" s="19" t="s">
        <v>1018</v>
      </c>
      <c r="I319" s="5" t="s">
        <v>126</v>
      </c>
      <c r="J319" s="5" t="s">
        <v>37</v>
      </c>
      <c r="K319" s="5" t="s">
        <v>37</v>
      </c>
      <c r="L319" s="5" t="s">
        <v>38</v>
      </c>
      <c r="M319" s="5" t="s">
        <v>37</v>
      </c>
      <c r="N319" s="5" t="s">
        <v>37</v>
      </c>
      <c r="O319" s="5" t="s">
        <v>38</v>
      </c>
      <c r="P319" s="5" t="s">
        <v>39</v>
      </c>
      <c r="Q319" s="2">
        <v>45967</v>
      </c>
      <c r="V319" s="46">
        <f>IF(
  OR(
    ISNUMBER(SEARCH("unable to locate acct", tblDocketedComments[[#This Row],[Docketed Consumer Comments]])),
    ISNUMBER(SEARCH("unknown", tblDocketedComments[[#This Row],[Docketed Consumer Comments]])),
    ISNUMBER(SEARCH("inactive", tblDocketedComments[[#This Row],[Docketed Consumer Comments]]))
  ),
  0,
  1
)</f>
        <v>1</v>
      </c>
    </row>
    <row r="320" spans="1:22">
      <c r="A320" s="2">
        <v>45903</v>
      </c>
      <c r="B320" s="1" t="s">
        <v>1019</v>
      </c>
      <c r="C320" s="1" t="s">
        <v>1020</v>
      </c>
      <c r="D320" s="1" t="s">
        <v>619</v>
      </c>
      <c r="E320" s="1">
        <v>85366</v>
      </c>
      <c r="F320" s="1" t="s">
        <v>31</v>
      </c>
      <c r="G320" s="1" t="s">
        <v>506</v>
      </c>
      <c r="H320" s="4" t="s">
        <v>27</v>
      </c>
      <c r="V320" s="46">
        <f>IF(
  OR(
    ISNUMBER(SEARCH("unable to locate acct", tblDocketedComments[[#This Row],[Docketed Consumer Comments]])),
    ISNUMBER(SEARCH("unknown", tblDocketedComments[[#This Row],[Docketed Consumer Comments]])),
    ISNUMBER(SEARCH("inactive", tblDocketedComments[[#This Row],[Docketed Consumer Comments]]))
  ),
  0,
  1
)</f>
        <v>1</v>
      </c>
    </row>
    <row r="321" spans="1:22">
      <c r="A321" s="2">
        <v>45903</v>
      </c>
      <c r="B321" s="1" t="s">
        <v>1021</v>
      </c>
      <c r="C321" s="1" t="s">
        <v>771</v>
      </c>
      <c r="D321" s="1" t="s">
        <v>125</v>
      </c>
      <c r="E321" s="1">
        <v>85258</v>
      </c>
      <c r="F321" s="1" t="s">
        <v>310</v>
      </c>
      <c r="G321" s="1" t="s">
        <v>506</v>
      </c>
      <c r="H321" s="19" t="s">
        <v>1022</v>
      </c>
      <c r="I321" s="5" t="s">
        <v>36</v>
      </c>
      <c r="J321" s="5" t="s">
        <v>37</v>
      </c>
      <c r="K321" s="5" t="s">
        <v>37</v>
      </c>
      <c r="L321" s="7" t="s">
        <v>1023</v>
      </c>
      <c r="M321" s="5" t="s">
        <v>37</v>
      </c>
      <c r="N321" s="5" t="s">
        <v>37</v>
      </c>
      <c r="O321" s="5" t="s">
        <v>38</v>
      </c>
      <c r="P321" s="5" t="s">
        <v>39</v>
      </c>
      <c r="Q321" s="2">
        <v>45967</v>
      </c>
      <c r="R321" s="1" t="s">
        <v>1024</v>
      </c>
      <c r="V321" s="46">
        <f>IF(
  OR(
    ISNUMBER(SEARCH("unable to locate acct", tblDocketedComments[[#This Row],[Docketed Consumer Comments]])),
    ISNUMBER(SEARCH("unknown", tblDocketedComments[[#This Row],[Docketed Consumer Comments]])),
    ISNUMBER(SEARCH("inactive", tblDocketedComments[[#This Row],[Docketed Consumer Comments]]))
  ),
  0,
  1
)</f>
        <v>1</v>
      </c>
    </row>
    <row r="322" spans="1:22" ht="11.25" customHeight="1">
      <c r="A322" s="2">
        <v>45903</v>
      </c>
      <c r="B322" s="1" t="s">
        <v>1025</v>
      </c>
      <c r="C322" s="1" t="s">
        <v>1026</v>
      </c>
      <c r="D322" s="1" t="s">
        <v>202</v>
      </c>
      <c r="E322" s="1">
        <v>85383</v>
      </c>
      <c r="F322" s="1" t="s">
        <v>31</v>
      </c>
      <c r="G322" s="1" t="s">
        <v>506</v>
      </c>
      <c r="H322" s="19" t="s">
        <v>1027</v>
      </c>
      <c r="I322" s="5" t="s">
        <v>126</v>
      </c>
      <c r="J322" s="5" t="s">
        <v>37</v>
      </c>
      <c r="K322" s="5" t="s">
        <v>37</v>
      </c>
      <c r="L322" s="5" t="s">
        <v>1028</v>
      </c>
      <c r="M322" s="5" t="s">
        <v>37</v>
      </c>
      <c r="N322" s="5" t="s">
        <v>37</v>
      </c>
      <c r="O322" s="5" t="s">
        <v>38</v>
      </c>
      <c r="P322" s="5" t="s">
        <v>39</v>
      </c>
      <c r="Q322" s="2">
        <v>45967</v>
      </c>
      <c r="R322" s="1" t="s">
        <v>1029</v>
      </c>
      <c r="V322" s="46">
        <f>IF(
  OR(
    ISNUMBER(SEARCH("unable to locate acct", tblDocketedComments[[#This Row],[Docketed Consumer Comments]])),
    ISNUMBER(SEARCH("unknown", tblDocketedComments[[#This Row],[Docketed Consumer Comments]])),
    ISNUMBER(SEARCH("inactive", tblDocketedComments[[#This Row],[Docketed Consumer Comments]]))
  ),
  0,
  1
)</f>
        <v>1</v>
      </c>
    </row>
    <row r="323" spans="1:22">
      <c r="A323" s="2">
        <v>45903</v>
      </c>
      <c r="B323" s="1" t="s">
        <v>818</v>
      </c>
      <c r="C323" s="1" t="s">
        <v>135</v>
      </c>
      <c r="D323" s="1" t="s">
        <v>63</v>
      </c>
      <c r="E323" s="1">
        <v>85028</v>
      </c>
      <c r="F323" s="1" t="s">
        <v>31</v>
      </c>
      <c r="G323" s="1" t="s">
        <v>506</v>
      </c>
      <c r="H323" s="19" t="s">
        <v>1030</v>
      </c>
      <c r="I323" s="5" t="s">
        <v>36</v>
      </c>
      <c r="J323" s="5" t="s">
        <v>37</v>
      </c>
      <c r="K323" s="5" t="s">
        <v>37</v>
      </c>
      <c r="L323" s="5" t="s">
        <v>38</v>
      </c>
      <c r="M323" s="5" t="s">
        <v>37</v>
      </c>
      <c r="N323" s="5" t="s">
        <v>37</v>
      </c>
      <c r="O323" s="5" t="s">
        <v>38</v>
      </c>
      <c r="P323" s="5" t="s">
        <v>39</v>
      </c>
      <c r="Q323" s="2">
        <v>45967</v>
      </c>
      <c r="U323" s="1" t="s">
        <v>724</v>
      </c>
      <c r="V323" s="46">
        <f>IF(
  OR(
    ISNUMBER(SEARCH("unable to locate acct", tblDocketedComments[[#This Row],[Docketed Consumer Comments]])),
    ISNUMBER(SEARCH("unknown", tblDocketedComments[[#This Row],[Docketed Consumer Comments]])),
    ISNUMBER(SEARCH("inactive", tblDocketedComments[[#This Row],[Docketed Consumer Comments]]))
  ),
  0,
  1
)</f>
        <v>1</v>
      </c>
    </row>
    <row r="324" spans="1:22">
      <c r="A324" s="2">
        <v>45903</v>
      </c>
      <c r="B324" s="1" t="s">
        <v>1031</v>
      </c>
      <c r="C324" s="1" t="s">
        <v>652</v>
      </c>
      <c r="D324" s="1" t="s">
        <v>63</v>
      </c>
      <c r="E324" s="1">
        <v>85016</v>
      </c>
      <c r="F324" s="1" t="s">
        <v>310</v>
      </c>
      <c r="G324" s="1" t="s">
        <v>506</v>
      </c>
      <c r="H324" s="19" t="s">
        <v>1032</v>
      </c>
      <c r="I324" s="5" t="s">
        <v>36</v>
      </c>
      <c r="J324" s="5" t="s">
        <v>37</v>
      </c>
      <c r="K324" s="5" t="s">
        <v>37</v>
      </c>
      <c r="L324" s="5" t="s">
        <v>38</v>
      </c>
      <c r="M324" s="5" t="s">
        <v>37</v>
      </c>
      <c r="N324" s="5" t="s">
        <v>37</v>
      </c>
      <c r="O324" s="5" t="s">
        <v>38</v>
      </c>
      <c r="P324" s="5" t="s">
        <v>39</v>
      </c>
      <c r="Q324" s="2">
        <v>45967</v>
      </c>
      <c r="V324" s="46">
        <f>IF(
  OR(
    ISNUMBER(SEARCH("unable to locate acct", tblDocketedComments[[#This Row],[Docketed Consumer Comments]])),
    ISNUMBER(SEARCH("unknown", tblDocketedComments[[#This Row],[Docketed Consumer Comments]])),
    ISNUMBER(SEARCH("inactive", tblDocketedComments[[#This Row],[Docketed Consumer Comments]]))
  ),
  0,
  1
)</f>
        <v>1</v>
      </c>
    </row>
    <row r="325" spans="1:22">
      <c r="A325" s="2">
        <v>45903</v>
      </c>
      <c r="B325" s="1" t="s">
        <v>1033</v>
      </c>
      <c r="C325" s="1" t="s">
        <v>784</v>
      </c>
      <c r="D325" s="1" t="s">
        <v>169</v>
      </c>
      <c r="E325" s="1">
        <v>85395</v>
      </c>
      <c r="F325" s="1" t="s">
        <v>1034</v>
      </c>
      <c r="G325" s="1" t="s">
        <v>506</v>
      </c>
      <c r="H325" s="19" t="s">
        <v>1035</v>
      </c>
      <c r="I325" s="5" t="s">
        <v>36</v>
      </c>
      <c r="J325" s="5" t="s">
        <v>37</v>
      </c>
      <c r="K325" s="5" t="s">
        <v>37</v>
      </c>
      <c r="L325" s="5" t="s">
        <v>38</v>
      </c>
      <c r="M325" s="5" t="s">
        <v>37</v>
      </c>
      <c r="N325" s="5" t="s">
        <v>37</v>
      </c>
      <c r="O325" s="5" t="s">
        <v>38</v>
      </c>
      <c r="P325" s="5" t="s">
        <v>39</v>
      </c>
      <c r="Q325" s="2">
        <v>45967</v>
      </c>
      <c r="V325" s="46">
        <f>IF(
  OR(
    ISNUMBER(SEARCH("unable to locate acct", tblDocketedComments[[#This Row],[Docketed Consumer Comments]])),
    ISNUMBER(SEARCH("unknown", tblDocketedComments[[#This Row],[Docketed Consumer Comments]])),
    ISNUMBER(SEARCH("inactive", tblDocketedComments[[#This Row],[Docketed Consumer Comments]]))
  ),
  0,
  1
)</f>
        <v>1</v>
      </c>
    </row>
    <row r="326" spans="1:22">
      <c r="A326" s="2">
        <v>45903</v>
      </c>
      <c r="B326" s="1" t="s">
        <v>1036</v>
      </c>
      <c r="C326" s="1" t="s">
        <v>658</v>
      </c>
      <c r="D326" s="1" t="s">
        <v>24</v>
      </c>
      <c r="E326" s="1">
        <v>85310</v>
      </c>
      <c r="F326" s="1" t="s">
        <v>310</v>
      </c>
      <c r="G326" s="1" t="s">
        <v>506</v>
      </c>
      <c r="H326" s="4" t="s">
        <v>90</v>
      </c>
      <c r="V326" s="46">
        <f>IF(
  OR(
    ISNUMBER(SEARCH("unable to locate acct", tblDocketedComments[[#This Row],[Docketed Consumer Comments]])),
    ISNUMBER(SEARCH("unknown", tblDocketedComments[[#This Row],[Docketed Consumer Comments]])),
    ISNUMBER(SEARCH("inactive", tblDocketedComments[[#This Row],[Docketed Consumer Comments]]))
  ),
  0,
  1
)</f>
        <v>1</v>
      </c>
    </row>
    <row r="327" spans="1:22">
      <c r="A327" s="2">
        <v>45903</v>
      </c>
      <c r="B327" s="1" t="s">
        <v>1037</v>
      </c>
      <c r="C327" s="1" t="s">
        <v>1038</v>
      </c>
      <c r="D327" s="1" t="s">
        <v>202</v>
      </c>
      <c r="E327" s="1">
        <v>85383</v>
      </c>
      <c r="F327" s="1" t="s">
        <v>31</v>
      </c>
      <c r="G327" s="1" t="s">
        <v>506</v>
      </c>
      <c r="H327" s="19" t="s">
        <v>1039</v>
      </c>
      <c r="I327" s="5" t="s">
        <v>1040</v>
      </c>
      <c r="J327" s="5" t="s">
        <v>37</v>
      </c>
      <c r="K327" s="5" t="s">
        <v>37</v>
      </c>
      <c r="L327" s="5" t="s">
        <v>401</v>
      </c>
      <c r="M327" s="5" t="s">
        <v>37</v>
      </c>
      <c r="N327" s="5" t="s">
        <v>37</v>
      </c>
      <c r="O327" s="5" t="s">
        <v>38</v>
      </c>
      <c r="P327" s="5" t="s">
        <v>39</v>
      </c>
      <c r="Q327" s="2">
        <v>45967</v>
      </c>
      <c r="V327" s="46">
        <f>IF(
  OR(
    ISNUMBER(SEARCH("unable to locate acct", tblDocketedComments[[#This Row],[Docketed Consumer Comments]])),
    ISNUMBER(SEARCH("unknown", tblDocketedComments[[#This Row],[Docketed Consumer Comments]])),
    ISNUMBER(SEARCH("inactive", tblDocketedComments[[#This Row],[Docketed Consumer Comments]]))
  ),
  0,
  1
)</f>
        <v>1</v>
      </c>
    </row>
    <row r="328" spans="1:22">
      <c r="A328" s="2">
        <v>45903</v>
      </c>
      <c r="B328" s="1" t="s">
        <v>1041</v>
      </c>
      <c r="C328" s="1" t="s">
        <v>1042</v>
      </c>
      <c r="D328" s="1" t="s">
        <v>202</v>
      </c>
      <c r="E328" s="1">
        <v>85483</v>
      </c>
      <c r="F328" s="1" t="s">
        <v>310</v>
      </c>
      <c r="G328" s="1" t="s">
        <v>506</v>
      </c>
      <c r="H328" s="19" t="s">
        <v>1043</v>
      </c>
      <c r="I328" s="5" t="s">
        <v>36</v>
      </c>
      <c r="J328" s="5" t="s">
        <v>37</v>
      </c>
      <c r="K328" s="5" t="s">
        <v>37</v>
      </c>
      <c r="L328" s="5" t="s">
        <v>38</v>
      </c>
      <c r="M328" s="5" t="s">
        <v>37</v>
      </c>
      <c r="N328" s="5" t="s">
        <v>37</v>
      </c>
      <c r="O328" s="5" t="s">
        <v>38</v>
      </c>
      <c r="P328" s="5" t="s">
        <v>39</v>
      </c>
      <c r="Q328" s="2">
        <v>45967</v>
      </c>
      <c r="V328" s="46">
        <f>IF(
  OR(
    ISNUMBER(SEARCH("unable to locate acct", tblDocketedComments[[#This Row],[Docketed Consumer Comments]])),
    ISNUMBER(SEARCH("unknown", tblDocketedComments[[#This Row],[Docketed Consumer Comments]])),
    ISNUMBER(SEARCH("inactive", tblDocketedComments[[#This Row],[Docketed Consumer Comments]]))
  ),
  0,
  1
)</f>
        <v>1</v>
      </c>
    </row>
    <row r="329" spans="1:22">
      <c r="A329" s="2">
        <v>45903</v>
      </c>
      <c r="B329" s="1" t="s">
        <v>1044</v>
      </c>
      <c r="C329" s="1" t="s">
        <v>597</v>
      </c>
      <c r="D329" s="1" t="s">
        <v>63</v>
      </c>
      <c r="E329" s="1">
        <v>85015</v>
      </c>
      <c r="F329" s="1" t="s">
        <v>310</v>
      </c>
      <c r="G329" s="1" t="s">
        <v>506</v>
      </c>
      <c r="H329" s="19" t="s">
        <v>1045</v>
      </c>
      <c r="I329" s="5" t="s">
        <v>196</v>
      </c>
      <c r="J329" s="5" t="s">
        <v>37</v>
      </c>
      <c r="K329" s="5" t="s">
        <v>37</v>
      </c>
      <c r="L329" s="5" t="s">
        <v>38</v>
      </c>
      <c r="M329" s="5" t="s">
        <v>37</v>
      </c>
      <c r="N329" s="5" t="s">
        <v>37</v>
      </c>
      <c r="O329" s="5" t="s">
        <v>38</v>
      </c>
      <c r="P329" s="5" t="s">
        <v>39</v>
      </c>
      <c r="Q329" s="2">
        <v>45967</v>
      </c>
      <c r="V329" s="46">
        <f>IF(
  OR(
    ISNUMBER(SEARCH("unable to locate acct", tblDocketedComments[[#This Row],[Docketed Consumer Comments]])),
    ISNUMBER(SEARCH("unknown", tblDocketedComments[[#This Row],[Docketed Consumer Comments]])),
    ISNUMBER(SEARCH("inactive", tblDocketedComments[[#This Row],[Docketed Consumer Comments]]))
  ),
  0,
  1
)</f>
        <v>1</v>
      </c>
    </row>
    <row r="330" spans="1:22">
      <c r="A330" s="2">
        <v>45903</v>
      </c>
      <c r="B330" s="1" t="s">
        <v>1046</v>
      </c>
      <c r="C330" s="1" t="s">
        <v>1047</v>
      </c>
      <c r="D330" s="1" t="s">
        <v>125</v>
      </c>
      <c r="E330" s="1">
        <v>85260</v>
      </c>
      <c r="F330" s="1" t="s">
        <v>310</v>
      </c>
      <c r="G330" s="1" t="s">
        <v>506</v>
      </c>
      <c r="H330" s="19" t="s">
        <v>1048</v>
      </c>
      <c r="I330" s="5" t="s">
        <v>36</v>
      </c>
      <c r="J330" s="5" t="s">
        <v>37</v>
      </c>
      <c r="K330" s="5" t="s">
        <v>37</v>
      </c>
      <c r="L330" s="5" t="s">
        <v>38</v>
      </c>
      <c r="M330" s="5" t="s">
        <v>37</v>
      </c>
      <c r="N330" s="5" t="s">
        <v>37</v>
      </c>
      <c r="O330" s="5" t="s">
        <v>38</v>
      </c>
      <c r="P330" s="5" t="s">
        <v>39</v>
      </c>
      <c r="Q330" s="2">
        <v>45967</v>
      </c>
      <c r="V330" s="46">
        <f>IF(
  OR(
    ISNUMBER(SEARCH("unable to locate acct", tblDocketedComments[[#This Row],[Docketed Consumer Comments]])),
    ISNUMBER(SEARCH("unknown", tblDocketedComments[[#This Row],[Docketed Consumer Comments]])),
    ISNUMBER(SEARCH("inactive", tblDocketedComments[[#This Row],[Docketed Consumer Comments]]))
  ),
  0,
  1
)</f>
        <v>1</v>
      </c>
    </row>
    <row r="331" spans="1:22">
      <c r="A331" s="2">
        <v>45903</v>
      </c>
      <c r="B331" s="1" t="s">
        <v>1049</v>
      </c>
      <c r="C331" s="1" t="s">
        <v>1050</v>
      </c>
      <c r="D331" s="1" t="s">
        <v>63</v>
      </c>
      <c r="E331" s="1">
        <v>85085</v>
      </c>
      <c r="F331" s="1" t="s">
        <v>310</v>
      </c>
      <c r="G331" s="1" t="s">
        <v>506</v>
      </c>
      <c r="H331" s="19" t="s">
        <v>1051</v>
      </c>
      <c r="I331" s="5" t="s">
        <v>36</v>
      </c>
      <c r="J331" s="5" t="s">
        <v>37</v>
      </c>
      <c r="K331" s="5" t="s">
        <v>37</v>
      </c>
      <c r="L331" s="5" t="s">
        <v>38</v>
      </c>
      <c r="M331" s="5" t="s">
        <v>37</v>
      </c>
      <c r="N331" s="5" t="s">
        <v>37</v>
      </c>
      <c r="O331" s="5" t="s">
        <v>38</v>
      </c>
      <c r="P331" s="5" t="s">
        <v>39</v>
      </c>
      <c r="Q331" s="2">
        <v>45967</v>
      </c>
      <c r="V331" s="46">
        <f>IF(
  OR(
    ISNUMBER(SEARCH("unable to locate acct", tblDocketedComments[[#This Row],[Docketed Consumer Comments]])),
    ISNUMBER(SEARCH("unknown", tblDocketedComments[[#This Row],[Docketed Consumer Comments]])),
    ISNUMBER(SEARCH("inactive", tblDocketedComments[[#This Row],[Docketed Consumer Comments]]))
  ),
  0,
  1
)</f>
        <v>1</v>
      </c>
    </row>
    <row r="332" spans="1:22">
      <c r="A332" s="2">
        <v>45903</v>
      </c>
      <c r="B332" s="1" t="s">
        <v>1052</v>
      </c>
      <c r="C332" s="1" t="s">
        <v>1053</v>
      </c>
      <c r="D332" s="1" t="s">
        <v>1054</v>
      </c>
      <c r="E332" s="1">
        <v>85268</v>
      </c>
      <c r="F332" s="1" t="s">
        <v>1055</v>
      </c>
      <c r="G332" s="1" t="s">
        <v>506</v>
      </c>
      <c r="H332" s="4" t="s">
        <v>27</v>
      </c>
      <c r="V332" s="46">
        <f>IF(
  OR(
    ISNUMBER(SEARCH("unable to locate acct", tblDocketedComments[[#This Row],[Docketed Consumer Comments]])),
    ISNUMBER(SEARCH("unknown", tblDocketedComments[[#This Row],[Docketed Consumer Comments]])),
    ISNUMBER(SEARCH("inactive", tblDocketedComments[[#This Row],[Docketed Consumer Comments]]))
  ),
  0,
  1
)</f>
        <v>1</v>
      </c>
    </row>
    <row r="333" spans="1:22">
      <c r="A333" s="2">
        <v>45903</v>
      </c>
      <c r="B333" s="1" t="s">
        <v>1056</v>
      </c>
      <c r="C333" s="1" t="s">
        <v>757</v>
      </c>
      <c r="D333" s="1" t="s">
        <v>63</v>
      </c>
      <c r="E333" s="1">
        <v>85024</v>
      </c>
      <c r="F333" s="1" t="s">
        <v>31</v>
      </c>
      <c r="G333" s="1" t="s">
        <v>506</v>
      </c>
      <c r="H333" s="19" t="s">
        <v>1057</v>
      </c>
      <c r="I333" s="5" t="s">
        <v>196</v>
      </c>
      <c r="J333" s="5" t="s">
        <v>37</v>
      </c>
      <c r="K333" s="5" t="s">
        <v>37</v>
      </c>
      <c r="L333" s="7" t="s">
        <v>1058</v>
      </c>
      <c r="M333" s="5" t="s">
        <v>37</v>
      </c>
      <c r="N333" s="5" t="s">
        <v>37</v>
      </c>
      <c r="O333" s="5" t="s">
        <v>38</v>
      </c>
      <c r="P333" s="2">
        <v>45936</v>
      </c>
      <c r="Q333" s="2">
        <v>45967</v>
      </c>
      <c r="R333" s="1" t="s">
        <v>1059</v>
      </c>
      <c r="V333" s="46">
        <f>IF(
  OR(
    ISNUMBER(SEARCH("unable to locate acct", tblDocketedComments[[#This Row],[Docketed Consumer Comments]])),
    ISNUMBER(SEARCH("unknown", tblDocketedComments[[#This Row],[Docketed Consumer Comments]])),
    ISNUMBER(SEARCH("inactive", tblDocketedComments[[#This Row],[Docketed Consumer Comments]]))
  ),
  0,
  1
)</f>
        <v>1</v>
      </c>
    </row>
    <row r="334" spans="1:22">
      <c r="A334" s="2">
        <v>45903</v>
      </c>
      <c r="B334" s="1" t="s">
        <v>1060</v>
      </c>
      <c r="C334" s="1" t="s">
        <v>135</v>
      </c>
      <c r="D334" s="1" t="s">
        <v>169</v>
      </c>
      <c r="E334" s="1">
        <v>85338</v>
      </c>
      <c r="F334" s="1" t="s">
        <v>1061</v>
      </c>
      <c r="G334" s="1" t="s">
        <v>506</v>
      </c>
      <c r="H334" s="19" t="s">
        <v>1062</v>
      </c>
      <c r="I334" s="5" t="s">
        <v>36</v>
      </c>
      <c r="J334" s="5" t="s">
        <v>37</v>
      </c>
      <c r="K334" s="5" t="s">
        <v>37</v>
      </c>
      <c r="L334" s="5" t="s">
        <v>38</v>
      </c>
      <c r="M334" s="5" t="s">
        <v>37</v>
      </c>
      <c r="N334" s="5" t="s">
        <v>37</v>
      </c>
      <c r="O334" s="5" t="s">
        <v>38</v>
      </c>
      <c r="P334" s="5" t="s">
        <v>39</v>
      </c>
      <c r="Q334" s="2">
        <v>45967</v>
      </c>
      <c r="V334" s="46">
        <f>IF(
  OR(
    ISNUMBER(SEARCH("unable to locate acct", tblDocketedComments[[#This Row],[Docketed Consumer Comments]])),
    ISNUMBER(SEARCH("unknown", tblDocketedComments[[#This Row],[Docketed Consumer Comments]])),
    ISNUMBER(SEARCH("inactive", tblDocketedComments[[#This Row],[Docketed Consumer Comments]]))
  ),
  0,
  1
)</f>
        <v>1</v>
      </c>
    </row>
    <row r="335" spans="1:22">
      <c r="A335" s="2">
        <v>45903</v>
      </c>
      <c r="B335" s="1" t="s">
        <v>1063</v>
      </c>
      <c r="C335" s="1" t="s">
        <v>1064</v>
      </c>
      <c r="D335" s="1" t="s">
        <v>202</v>
      </c>
      <c r="E335" s="1">
        <v>85345</v>
      </c>
      <c r="F335" s="1" t="s">
        <v>310</v>
      </c>
      <c r="G335" s="1" t="s">
        <v>506</v>
      </c>
      <c r="H335" s="19" t="s">
        <v>1065</v>
      </c>
      <c r="I335" s="5" t="s">
        <v>36</v>
      </c>
      <c r="J335" s="5" t="s">
        <v>37</v>
      </c>
      <c r="K335" s="5" t="s">
        <v>37</v>
      </c>
      <c r="L335" s="5" t="s">
        <v>38</v>
      </c>
      <c r="M335" s="5" t="s">
        <v>37</v>
      </c>
      <c r="N335" s="5" t="s">
        <v>37</v>
      </c>
      <c r="O335" s="5" t="s">
        <v>38</v>
      </c>
      <c r="P335" s="5" t="s">
        <v>39</v>
      </c>
      <c r="Q335" s="2">
        <v>45967</v>
      </c>
      <c r="V335" s="46">
        <f>IF(
  OR(
    ISNUMBER(SEARCH("unable to locate acct", tblDocketedComments[[#This Row],[Docketed Consumer Comments]])),
    ISNUMBER(SEARCH("unknown", tblDocketedComments[[#This Row],[Docketed Consumer Comments]])),
    ISNUMBER(SEARCH("inactive", tblDocketedComments[[#This Row],[Docketed Consumer Comments]]))
  ),
  0,
  1
)</f>
        <v>1</v>
      </c>
    </row>
    <row r="336" spans="1:22">
      <c r="A336" s="2">
        <v>45903</v>
      </c>
      <c r="B336" s="1" t="s">
        <v>1066</v>
      </c>
      <c r="C336" s="1" t="s">
        <v>1067</v>
      </c>
      <c r="D336" s="1" t="s">
        <v>202</v>
      </c>
      <c r="E336" s="1">
        <v>85383</v>
      </c>
      <c r="F336" s="1" t="s">
        <v>310</v>
      </c>
      <c r="G336" s="1" t="s">
        <v>506</v>
      </c>
      <c r="H336" s="19" t="s">
        <v>1068</v>
      </c>
      <c r="I336" s="5" t="s">
        <v>196</v>
      </c>
      <c r="J336" s="5" t="s">
        <v>37</v>
      </c>
      <c r="K336" s="5" t="s">
        <v>37</v>
      </c>
      <c r="L336" s="5" t="s">
        <v>38</v>
      </c>
      <c r="M336" s="5" t="s">
        <v>37</v>
      </c>
      <c r="N336" s="5" t="s">
        <v>37</v>
      </c>
      <c r="O336" s="5" t="s">
        <v>38</v>
      </c>
      <c r="P336" s="5" t="s">
        <v>39</v>
      </c>
      <c r="Q336" s="2">
        <v>45967</v>
      </c>
      <c r="V336" s="46">
        <f>IF(
  OR(
    ISNUMBER(SEARCH("unable to locate acct", tblDocketedComments[[#This Row],[Docketed Consumer Comments]])),
    ISNUMBER(SEARCH("unknown", tblDocketedComments[[#This Row],[Docketed Consumer Comments]])),
    ISNUMBER(SEARCH("inactive", tblDocketedComments[[#This Row],[Docketed Consumer Comments]]))
  ),
  0,
  1
)</f>
        <v>1</v>
      </c>
    </row>
    <row r="337" spans="1:22">
      <c r="A337" s="2">
        <v>45903</v>
      </c>
      <c r="B337" s="1" t="s">
        <v>1069</v>
      </c>
      <c r="C337" s="1" t="s">
        <v>1070</v>
      </c>
      <c r="D337" s="1" t="s">
        <v>202</v>
      </c>
      <c r="E337" s="1">
        <v>85383</v>
      </c>
      <c r="F337" s="1" t="s">
        <v>310</v>
      </c>
      <c r="G337" s="1" t="s">
        <v>506</v>
      </c>
      <c r="H337" s="19" t="s">
        <v>1071</v>
      </c>
      <c r="I337" s="5" t="s">
        <v>196</v>
      </c>
      <c r="J337" s="5" t="s">
        <v>37</v>
      </c>
      <c r="K337" s="5" t="s">
        <v>37</v>
      </c>
      <c r="L337" s="7" t="s">
        <v>1072</v>
      </c>
      <c r="M337" s="5" t="s">
        <v>37</v>
      </c>
      <c r="N337" s="5" t="s">
        <v>37</v>
      </c>
      <c r="O337" s="5" t="s">
        <v>38</v>
      </c>
      <c r="P337" s="2">
        <v>45936</v>
      </c>
      <c r="Q337" s="2">
        <v>45967</v>
      </c>
      <c r="R337" s="1" t="s">
        <v>1073</v>
      </c>
      <c r="V337" s="46">
        <f>IF(
  OR(
    ISNUMBER(SEARCH("unable to locate acct", tblDocketedComments[[#This Row],[Docketed Consumer Comments]])),
    ISNUMBER(SEARCH("unknown", tblDocketedComments[[#This Row],[Docketed Consumer Comments]])),
    ISNUMBER(SEARCH("inactive", tblDocketedComments[[#This Row],[Docketed Consumer Comments]]))
  ),
  0,
  1
)</f>
        <v>1</v>
      </c>
    </row>
    <row r="338" spans="1:22">
      <c r="A338" s="2">
        <v>45903</v>
      </c>
      <c r="B338" s="1" t="s">
        <v>1074</v>
      </c>
      <c r="C338" s="1" t="s">
        <v>1075</v>
      </c>
      <c r="D338" s="1" t="s">
        <v>202</v>
      </c>
      <c r="E338" s="1">
        <v>85383</v>
      </c>
      <c r="F338" s="1" t="s">
        <v>310</v>
      </c>
      <c r="G338" s="1" t="s">
        <v>506</v>
      </c>
      <c r="H338" s="19" t="s">
        <v>1076</v>
      </c>
      <c r="I338" s="5" t="s">
        <v>36</v>
      </c>
      <c r="J338" s="5" t="s">
        <v>37</v>
      </c>
      <c r="K338" s="5" t="s">
        <v>37</v>
      </c>
      <c r="L338" s="5" t="s">
        <v>38</v>
      </c>
      <c r="M338" s="5" t="s">
        <v>37</v>
      </c>
      <c r="N338" s="5" t="s">
        <v>37</v>
      </c>
      <c r="O338" s="5" t="s">
        <v>38</v>
      </c>
      <c r="P338" s="5" t="s">
        <v>39</v>
      </c>
      <c r="Q338" s="2">
        <v>45967</v>
      </c>
      <c r="R338" s="1" t="s">
        <v>1077</v>
      </c>
      <c r="V338" s="46">
        <f>IF(
  OR(
    ISNUMBER(SEARCH("unable to locate acct", tblDocketedComments[[#This Row],[Docketed Consumer Comments]])),
    ISNUMBER(SEARCH("unknown", tblDocketedComments[[#This Row],[Docketed Consumer Comments]])),
    ISNUMBER(SEARCH("inactive", tblDocketedComments[[#This Row],[Docketed Consumer Comments]]))
  ),
  0,
  1
)</f>
        <v>1</v>
      </c>
    </row>
    <row r="339" spans="1:22">
      <c r="A339" s="2">
        <v>45903</v>
      </c>
      <c r="B339" s="1" t="s">
        <v>1078</v>
      </c>
      <c r="C339" s="1" t="s">
        <v>1079</v>
      </c>
      <c r="D339" s="1" t="s">
        <v>169</v>
      </c>
      <c r="E339" s="1">
        <v>85338</v>
      </c>
      <c r="F339" s="1" t="s">
        <v>31</v>
      </c>
      <c r="G339" s="1" t="s">
        <v>506</v>
      </c>
      <c r="H339" s="19" t="s">
        <v>1080</v>
      </c>
      <c r="I339" s="5" t="s">
        <v>418</v>
      </c>
      <c r="J339" s="5" t="s">
        <v>37</v>
      </c>
      <c r="K339" s="5" t="s">
        <v>37</v>
      </c>
      <c r="L339" s="5" t="s">
        <v>389</v>
      </c>
      <c r="M339" s="5" t="s">
        <v>37</v>
      </c>
      <c r="N339" s="5" t="s">
        <v>37</v>
      </c>
      <c r="O339" s="5" t="s">
        <v>38</v>
      </c>
      <c r="P339" s="5" t="s">
        <v>39</v>
      </c>
      <c r="Q339" s="2">
        <v>45967</v>
      </c>
      <c r="V339" s="46">
        <f>IF(
  OR(
    ISNUMBER(SEARCH("unable to locate acct", tblDocketedComments[[#This Row],[Docketed Consumer Comments]])),
    ISNUMBER(SEARCH("unknown", tblDocketedComments[[#This Row],[Docketed Consumer Comments]])),
    ISNUMBER(SEARCH("inactive", tblDocketedComments[[#This Row],[Docketed Consumer Comments]]))
  ),
  0,
  1
)</f>
        <v>1</v>
      </c>
    </row>
    <row r="340" spans="1:22">
      <c r="A340" s="2">
        <v>45903</v>
      </c>
      <c r="B340" s="1" t="s">
        <v>1081</v>
      </c>
      <c r="C340" s="1" t="s">
        <v>1082</v>
      </c>
      <c r="D340" s="1" t="s">
        <v>523</v>
      </c>
      <c r="E340" s="1">
        <v>85392</v>
      </c>
      <c r="F340" s="1" t="s">
        <v>310</v>
      </c>
      <c r="G340" s="1" t="s">
        <v>506</v>
      </c>
      <c r="H340" s="19" t="s">
        <v>1083</v>
      </c>
      <c r="I340" s="5" t="s">
        <v>36</v>
      </c>
      <c r="J340" s="5" t="s">
        <v>37</v>
      </c>
      <c r="K340" s="5" t="s">
        <v>37</v>
      </c>
      <c r="L340" s="5" t="s">
        <v>38</v>
      </c>
      <c r="M340" s="5" t="s">
        <v>37</v>
      </c>
      <c r="N340" s="5" t="s">
        <v>37</v>
      </c>
      <c r="O340" s="5" t="s">
        <v>38</v>
      </c>
      <c r="P340" s="5" t="s">
        <v>39</v>
      </c>
      <c r="Q340" s="2">
        <v>45967</v>
      </c>
      <c r="V340" s="46">
        <f>IF(
  OR(
    ISNUMBER(SEARCH("unable to locate acct", tblDocketedComments[[#This Row],[Docketed Consumer Comments]])),
    ISNUMBER(SEARCH("unknown", tblDocketedComments[[#This Row],[Docketed Consumer Comments]])),
    ISNUMBER(SEARCH("inactive", tblDocketedComments[[#This Row],[Docketed Consumer Comments]]))
  ),
  0,
  1
)</f>
        <v>1</v>
      </c>
    </row>
    <row r="341" spans="1:22">
      <c r="A341" s="2">
        <v>45903</v>
      </c>
      <c r="B341" s="1" t="s">
        <v>1084</v>
      </c>
      <c r="C341" s="1" t="s">
        <v>1085</v>
      </c>
      <c r="D341" s="1" t="s">
        <v>169</v>
      </c>
      <c r="E341" s="1">
        <v>85395</v>
      </c>
      <c r="F341" s="1" t="s">
        <v>1086</v>
      </c>
      <c r="G341" s="1" t="s">
        <v>506</v>
      </c>
      <c r="H341" s="19" t="s">
        <v>1087</v>
      </c>
      <c r="I341" s="5" t="s">
        <v>36</v>
      </c>
      <c r="J341" s="5" t="s">
        <v>37</v>
      </c>
      <c r="K341" s="5" t="s">
        <v>37</v>
      </c>
      <c r="L341" s="5" t="s">
        <v>38</v>
      </c>
      <c r="M341" s="5" t="s">
        <v>37</v>
      </c>
      <c r="N341" s="5" t="s">
        <v>37</v>
      </c>
      <c r="O341" s="5" t="s">
        <v>38</v>
      </c>
      <c r="P341" s="5" t="s">
        <v>39</v>
      </c>
      <c r="Q341" s="2">
        <v>45967</v>
      </c>
      <c r="V341" s="46">
        <f>IF(
  OR(
    ISNUMBER(SEARCH("unable to locate acct", tblDocketedComments[[#This Row],[Docketed Consumer Comments]])),
    ISNUMBER(SEARCH("unknown", tblDocketedComments[[#This Row],[Docketed Consumer Comments]])),
    ISNUMBER(SEARCH("inactive", tblDocketedComments[[#This Row],[Docketed Consumer Comments]]))
  ),
  0,
  1
)</f>
        <v>1</v>
      </c>
    </row>
    <row r="342" spans="1:22">
      <c r="A342" s="2">
        <v>45903</v>
      </c>
      <c r="B342" s="1" t="s">
        <v>1088</v>
      </c>
      <c r="C342" s="1" t="s">
        <v>1089</v>
      </c>
      <c r="D342" s="1" t="s">
        <v>169</v>
      </c>
      <c r="E342" s="1">
        <v>85338</v>
      </c>
      <c r="F342" s="1" t="s">
        <v>761</v>
      </c>
      <c r="G342" s="1" t="s">
        <v>506</v>
      </c>
      <c r="H342" s="19" t="s">
        <v>1090</v>
      </c>
      <c r="I342" s="5" t="s">
        <v>36</v>
      </c>
      <c r="J342" s="5" t="s">
        <v>37</v>
      </c>
      <c r="K342" s="5" t="s">
        <v>37</v>
      </c>
      <c r="L342" s="5" t="s">
        <v>38</v>
      </c>
      <c r="M342" s="5" t="s">
        <v>38</v>
      </c>
      <c r="N342" s="15">
        <v>2144.27</v>
      </c>
      <c r="O342" s="5" t="s">
        <v>38</v>
      </c>
      <c r="P342" s="7"/>
      <c r="Q342" s="2">
        <v>45967</v>
      </c>
      <c r="R342" s="1" t="s">
        <v>495</v>
      </c>
      <c r="V342" s="46">
        <f>IF(
  OR(
    ISNUMBER(SEARCH("unable to locate acct", tblDocketedComments[[#This Row],[Docketed Consumer Comments]])),
    ISNUMBER(SEARCH("unknown", tblDocketedComments[[#This Row],[Docketed Consumer Comments]])),
    ISNUMBER(SEARCH("inactive", tblDocketedComments[[#This Row],[Docketed Consumer Comments]]))
  ),
  0,
  1
)</f>
        <v>1</v>
      </c>
    </row>
    <row r="343" spans="1:22">
      <c r="A343" s="2">
        <v>45903</v>
      </c>
      <c r="B343" s="1" t="s">
        <v>1091</v>
      </c>
      <c r="C343" s="1" t="s">
        <v>62</v>
      </c>
      <c r="D343" s="1" t="s">
        <v>523</v>
      </c>
      <c r="E343" s="1">
        <v>85392</v>
      </c>
      <c r="F343" s="1" t="s">
        <v>31</v>
      </c>
      <c r="G343" s="1" t="s">
        <v>506</v>
      </c>
      <c r="H343" s="4" t="s">
        <v>27</v>
      </c>
      <c r="V343" s="46">
        <f>IF(
  OR(
    ISNUMBER(SEARCH("unable to locate acct", tblDocketedComments[[#This Row],[Docketed Consumer Comments]])),
    ISNUMBER(SEARCH("unknown", tblDocketedComments[[#This Row],[Docketed Consumer Comments]])),
    ISNUMBER(SEARCH("inactive", tblDocketedComments[[#This Row],[Docketed Consumer Comments]]))
  ),
  0,
  1
)</f>
        <v>1</v>
      </c>
    </row>
    <row r="344" spans="1:22">
      <c r="A344" s="2">
        <v>45903</v>
      </c>
      <c r="B344" s="1" t="s">
        <v>1092</v>
      </c>
      <c r="C344" s="1" t="s">
        <v>1093</v>
      </c>
      <c r="D344" s="1" t="s">
        <v>202</v>
      </c>
      <c r="E344" s="1">
        <v>85383</v>
      </c>
      <c r="F344" s="1" t="s">
        <v>310</v>
      </c>
      <c r="G344" s="1" t="s">
        <v>506</v>
      </c>
      <c r="H344" s="19" t="s">
        <v>1094</v>
      </c>
      <c r="I344" s="5" t="s">
        <v>36</v>
      </c>
      <c r="J344" s="5" t="s">
        <v>37</v>
      </c>
      <c r="K344" s="5" t="s">
        <v>37</v>
      </c>
      <c r="L344" s="5" t="s">
        <v>38</v>
      </c>
      <c r="M344" s="5" t="s">
        <v>37</v>
      </c>
      <c r="N344" s="5" t="s">
        <v>37</v>
      </c>
      <c r="O344" s="5" t="s">
        <v>38</v>
      </c>
      <c r="P344" s="5" t="s">
        <v>39</v>
      </c>
      <c r="Q344" s="2">
        <v>45967</v>
      </c>
      <c r="V344" s="46">
        <f>IF(
  OR(
    ISNUMBER(SEARCH("unable to locate acct", tblDocketedComments[[#This Row],[Docketed Consumer Comments]])),
    ISNUMBER(SEARCH("unknown", tblDocketedComments[[#This Row],[Docketed Consumer Comments]])),
    ISNUMBER(SEARCH("inactive", tblDocketedComments[[#This Row],[Docketed Consumer Comments]]))
  ),
  0,
  1
)</f>
        <v>1</v>
      </c>
    </row>
    <row r="345" spans="1:22">
      <c r="A345" s="2">
        <v>45903</v>
      </c>
      <c r="B345" s="1" t="s">
        <v>1095</v>
      </c>
      <c r="C345" s="1" t="s">
        <v>156</v>
      </c>
      <c r="D345" s="1" t="s">
        <v>24</v>
      </c>
      <c r="E345" s="1">
        <v>85308</v>
      </c>
      <c r="F345" s="1" t="s">
        <v>310</v>
      </c>
      <c r="G345" s="1" t="s">
        <v>506</v>
      </c>
      <c r="H345" s="19" t="s">
        <v>1096</v>
      </c>
      <c r="I345" s="5" t="s">
        <v>196</v>
      </c>
      <c r="J345" s="5" t="s">
        <v>37</v>
      </c>
      <c r="K345" s="5" t="s">
        <v>37</v>
      </c>
      <c r="L345" s="5" t="s">
        <v>1097</v>
      </c>
      <c r="M345" s="5" t="s">
        <v>37</v>
      </c>
      <c r="N345" s="5" t="s">
        <v>37</v>
      </c>
      <c r="O345" s="5" t="s">
        <v>38</v>
      </c>
      <c r="P345" s="5" t="s">
        <v>39</v>
      </c>
      <c r="Q345" s="2">
        <v>45967</v>
      </c>
      <c r="V345" s="46">
        <f>IF(
  OR(
    ISNUMBER(SEARCH("unable to locate acct", tblDocketedComments[[#This Row],[Docketed Consumer Comments]])),
    ISNUMBER(SEARCH("unknown", tblDocketedComments[[#This Row],[Docketed Consumer Comments]])),
    ISNUMBER(SEARCH("inactive", tblDocketedComments[[#This Row],[Docketed Consumer Comments]]))
  ),
  0,
  1
)</f>
        <v>1</v>
      </c>
    </row>
    <row r="346" spans="1:22">
      <c r="A346" s="2">
        <v>45903</v>
      </c>
      <c r="B346" s="1" t="s">
        <v>1098</v>
      </c>
      <c r="C346" s="1" t="s">
        <v>1099</v>
      </c>
      <c r="D346" s="1" t="s">
        <v>125</v>
      </c>
      <c r="E346" s="1">
        <v>85251</v>
      </c>
      <c r="F346" s="1" t="s">
        <v>310</v>
      </c>
      <c r="G346" s="1" t="s">
        <v>506</v>
      </c>
      <c r="H346" s="19" t="s">
        <v>1100</v>
      </c>
      <c r="I346" s="5" t="s">
        <v>126</v>
      </c>
      <c r="J346" s="5" t="s">
        <v>37</v>
      </c>
      <c r="K346" s="5" t="s">
        <v>37</v>
      </c>
      <c r="L346" s="5" t="s">
        <v>1101</v>
      </c>
      <c r="M346" s="5" t="s">
        <v>37</v>
      </c>
      <c r="N346" s="5" t="s">
        <v>37</v>
      </c>
      <c r="O346" s="5" t="s">
        <v>38</v>
      </c>
      <c r="P346" s="5" t="s">
        <v>39</v>
      </c>
      <c r="Q346" s="2">
        <v>45967</v>
      </c>
      <c r="V346" s="46">
        <f>IF(
  OR(
    ISNUMBER(SEARCH("unable to locate acct", tblDocketedComments[[#This Row],[Docketed Consumer Comments]])),
    ISNUMBER(SEARCH("unknown", tblDocketedComments[[#This Row],[Docketed Consumer Comments]])),
    ISNUMBER(SEARCH("inactive", tblDocketedComments[[#This Row],[Docketed Consumer Comments]]))
  ),
  0,
  1
)</f>
        <v>1</v>
      </c>
    </row>
    <row r="347" spans="1:22">
      <c r="A347" s="2">
        <v>45903</v>
      </c>
      <c r="B347" s="1" t="s">
        <v>1102</v>
      </c>
      <c r="C347" s="1" t="s">
        <v>1103</v>
      </c>
      <c r="D347" s="1" t="s">
        <v>125</v>
      </c>
      <c r="E347" s="1">
        <v>85266</v>
      </c>
      <c r="F347" s="1" t="s">
        <v>31</v>
      </c>
      <c r="G347" s="1" t="s">
        <v>506</v>
      </c>
      <c r="H347" s="19">
        <v>6177370000</v>
      </c>
      <c r="I347" s="5" t="s">
        <v>36</v>
      </c>
      <c r="J347" s="5" t="s">
        <v>37</v>
      </c>
      <c r="K347" s="5" t="s">
        <v>37</v>
      </c>
      <c r="L347" s="5" t="s">
        <v>38</v>
      </c>
      <c r="M347" s="5" t="s">
        <v>37</v>
      </c>
      <c r="N347" s="5" t="s">
        <v>37</v>
      </c>
      <c r="O347" s="5" t="s">
        <v>38</v>
      </c>
      <c r="P347" s="5" t="s">
        <v>39</v>
      </c>
      <c r="Q347" s="2">
        <v>45967</v>
      </c>
      <c r="V347" s="46">
        <f>IF(
  OR(
    ISNUMBER(SEARCH("unable to locate acct", tblDocketedComments[[#This Row],[Docketed Consumer Comments]])),
    ISNUMBER(SEARCH("unknown", tblDocketedComments[[#This Row],[Docketed Consumer Comments]])),
    ISNUMBER(SEARCH("inactive", tblDocketedComments[[#This Row],[Docketed Consumer Comments]]))
  ),
  0,
  1
)</f>
        <v>1</v>
      </c>
    </row>
    <row r="348" spans="1:22">
      <c r="A348" s="2">
        <v>45903</v>
      </c>
      <c r="B348" s="1" t="s">
        <v>1104</v>
      </c>
      <c r="C348" s="1" t="s">
        <v>1105</v>
      </c>
      <c r="D348" s="1" t="s">
        <v>174</v>
      </c>
      <c r="E348" s="1">
        <v>85396</v>
      </c>
      <c r="F348" s="1" t="s">
        <v>1106</v>
      </c>
      <c r="G348" s="1" t="s">
        <v>506</v>
      </c>
      <c r="H348" s="4" t="s">
        <v>90</v>
      </c>
      <c r="V348" s="46">
        <f>IF(
  OR(
    ISNUMBER(SEARCH("unable to locate acct", tblDocketedComments[[#This Row],[Docketed Consumer Comments]])),
    ISNUMBER(SEARCH("unknown", tblDocketedComments[[#This Row],[Docketed Consumer Comments]])),
    ISNUMBER(SEARCH("inactive", tblDocketedComments[[#This Row],[Docketed Consumer Comments]]))
  ),
  0,
  1
)</f>
        <v>1</v>
      </c>
    </row>
    <row r="349" spans="1:22">
      <c r="A349" s="2">
        <v>45903</v>
      </c>
      <c r="B349" s="1" t="s">
        <v>1107</v>
      </c>
      <c r="C349" s="1" t="s">
        <v>1108</v>
      </c>
      <c r="D349" s="1" t="s">
        <v>63</v>
      </c>
      <c r="E349" s="1">
        <v>85085</v>
      </c>
      <c r="F349" s="1" t="s">
        <v>310</v>
      </c>
      <c r="G349" s="1" t="s">
        <v>506</v>
      </c>
      <c r="H349" s="19" t="s">
        <v>1109</v>
      </c>
      <c r="I349" s="5" t="s">
        <v>73</v>
      </c>
      <c r="J349" s="5" t="s">
        <v>37</v>
      </c>
      <c r="K349" s="5" t="s">
        <v>37</v>
      </c>
      <c r="L349" s="5" t="s">
        <v>38</v>
      </c>
      <c r="M349" s="5" t="s">
        <v>37</v>
      </c>
      <c r="N349" s="5" t="s">
        <v>37</v>
      </c>
      <c r="O349" s="5" t="s">
        <v>38</v>
      </c>
      <c r="P349" s="5" t="s">
        <v>39</v>
      </c>
      <c r="Q349" s="2">
        <v>45967</v>
      </c>
      <c r="V349" s="46">
        <f>IF(
  OR(
    ISNUMBER(SEARCH("unable to locate acct", tblDocketedComments[[#This Row],[Docketed Consumer Comments]])),
    ISNUMBER(SEARCH("unknown", tblDocketedComments[[#This Row],[Docketed Consumer Comments]])),
    ISNUMBER(SEARCH("inactive", tblDocketedComments[[#This Row],[Docketed Consumer Comments]]))
  ),
  0,
  1
)</f>
        <v>1</v>
      </c>
    </row>
    <row r="350" spans="1:22">
      <c r="A350" s="2">
        <v>45903</v>
      </c>
      <c r="B350" s="1" t="s">
        <v>1110</v>
      </c>
      <c r="C350" s="1" t="s">
        <v>131</v>
      </c>
      <c r="D350" s="1" t="s">
        <v>169</v>
      </c>
      <c r="E350" s="1">
        <v>85395</v>
      </c>
      <c r="F350" s="1" t="s">
        <v>1111</v>
      </c>
      <c r="G350" s="1" t="s">
        <v>506</v>
      </c>
      <c r="H350" s="4" t="s">
        <v>27</v>
      </c>
      <c r="V350" s="46">
        <f>IF(
  OR(
    ISNUMBER(SEARCH("unable to locate acct", tblDocketedComments[[#This Row],[Docketed Consumer Comments]])),
    ISNUMBER(SEARCH("unknown", tblDocketedComments[[#This Row],[Docketed Consumer Comments]])),
    ISNUMBER(SEARCH("inactive", tblDocketedComments[[#This Row],[Docketed Consumer Comments]]))
  ),
  0,
  1
)</f>
        <v>1</v>
      </c>
    </row>
    <row r="351" spans="1:22">
      <c r="A351" s="2">
        <v>45903</v>
      </c>
      <c r="B351" s="1" t="s">
        <v>1112</v>
      </c>
      <c r="C351" s="1" t="s">
        <v>1113</v>
      </c>
      <c r="D351" s="1" t="s">
        <v>523</v>
      </c>
      <c r="E351" s="1">
        <v>85392</v>
      </c>
      <c r="F351" s="1" t="s">
        <v>31</v>
      </c>
      <c r="G351" s="1" t="s">
        <v>506</v>
      </c>
      <c r="H351" s="19">
        <v>3066335881</v>
      </c>
      <c r="I351" s="5" t="s">
        <v>196</v>
      </c>
      <c r="J351" s="5" t="s">
        <v>37</v>
      </c>
      <c r="K351" s="5" t="s">
        <v>37</v>
      </c>
      <c r="L351" s="5" t="s">
        <v>38</v>
      </c>
      <c r="M351" s="5" t="s">
        <v>37</v>
      </c>
      <c r="N351" s="5" t="s">
        <v>37</v>
      </c>
      <c r="O351" s="5" t="s">
        <v>38</v>
      </c>
      <c r="P351" s="5" t="s">
        <v>39</v>
      </c>
      <c r="Q351" s="2">
        <v>45967</v>
      </c>
      <c r="V351" s="46">
        <f>IF(
  OR(
    ISNUMBER(SEARCH("unable to locate acct", tblDocketedComments[[#This Row],[Docketed Consumer Comments]])),
    ISNUMBER(SEARCH("unknown", tblDocketedComments[[#This Row],[Docketed Consumer Comments]])),
    ISNUMBER(SEARCH("inactive", tblDocketedComments[[#This Row],[Docketed Consumer Comments]]))
  ),
  0,
  1
)</f>
        <v>1</v>
      </c>
    </row>
    <row r="352" spans="1:22">
      <c r="A352" s="2">
        <v>45903</v>
      </c>
      <c r="B352" s="1" t="s">
        <v>1114</v>
      </c>
      <c r="C352" s="1" t="s">
        <v>1115</v>
      </c>
      <c r="D352" s="1" t="s">
        <v>63</v>
      </c>
      <c r="E352" s="1">
        <v>85024</v>
      </c>
      <c r="F352" s="1" t="s">
        <v>31</v>
      </c>
      <c r="G352" s="1" t="s">
        <v>506</v>
      </c>
      <c r="H352" s="4" t="s">
        <v>27</v>
      </c>
      <c r="V352" s="46">
        <f>IF(
  OR(
    ISNUMBER(SEARCH("unable to locate acct", tblDocketedComments[[#This Row],[Docketed Consumer Comments]])),
    ISNUMBER(SEARCH("unknown", tblDocketedComments[[#This Row],[Docketed Consumer Comments]])),
    ISNUMBER(SEARCH("inactive", tblDocketedComments[[#This Row],[Docketed Consumer Comments]]))
  ),
  0,
  1
)</f>
        <v>1</v>
      </c>
    </row>
    <row r="353" spans="1:22">
      <c r="A353" s="2">
        <v>45903</v>
      </c>
      <c r="B353" s="1" t="s">
        <v>1116</v>
      </c>
      <c r="C353" s="1" t="s">
        <v>1117</v>
      </c>
      <c r="D353" s="1" t="s">
        <v>63</v>
      </c>
      <c r="E353" s="1">
        <v>85020</v>
      </c>
      <c r="F353" s="1" t="s">
        <v>310</v>
      </c>
      <c r="G353" s="1" t="s">
        <v>506</v>
      </c>
      <c r="H353" s="19" t="s">
        <v>1118</v>
      </c>
      <c r="I353" s="5" t="s">
        <v>36</v>
      </c>
      <c r="J353" s="5" t="s">
        <v>37</v>
      </c>
      <c r="K353" s="5" t="s">
        <v>37</v>
      </c>
      <c r="L353" s="5" t="s">
        <v>38</v>
      </c>
      <c r="M353" s="5" t="s">
        <v>37</v>
      </c>
      <c r="N353" s="5" t="s">
        <v>37</v>
      </c>
      <c r="O353" s="5" t="s">
        <v>38</v>
      </c>
      <c r="P353" s="5" t="s">
        <v>39</v>
      </c>
      <c r="Q353" s="2">
        <v>45967</v>
      </c>
      <c r="V353" s="46">
        <f>IF(
  OR(
    ISNUMBER(SEARCH("unable to locate acct", tblDocketedComments[[#This Row],[Docketed Consumer Comments]])),
    ISNUMBER(SEARCH("unknown", tblDocketedComments[[#This Row],[Docketed Consumer Comments]])),
    ISNUMBER(SEARCH("inactive", tblDocketedComments[[#This Row],[Docketed Consumer Comments]]))
  ),
  0,
  1
)</f>
        <v>1</v>
      </c>
    </row>
    <row r="354" spans="1:22">
      <c r="A354" s="2">
        <v>45903</v>
      </c>
      <c r="B354" s="1" t="s">
        <v>1119</v>
      </c>
      <c r="C354" s="1" t="s">
        <v>1120</v>
      </c>
      <c r="D354" s="1" t="s">
        <v>63</v>
      </c>
      <c r="E354" s="1">
        <v>85050</v>
      </c>
      <c r="F354" s="1" t="s">
        <v>1121</v>
      </c>
      <c r="G354" s="1" t="s">
        <v>506</v>
      </c>
      <c r="H354" s="19" t="s">
        <v>1122</v>
      </c>
      <c r="I354" s="5" t="s">
        <v>36</v>
      </c>
      <c r="J354" s="5" t="s">
        <v>37</v>
      </c>
      <c r="K354" s="5" t="s">
        <v>37</v>
      </c>
      <c r="L354" s="5" t="s">
        <v>38</v>
      </c>
      <c r="M354" s="5" t="s">
        <v>37</v>
      </c>
      <c r="N354" s="5" t="s">
        <v>37</v>
      </c>
      <c r="O354" s="5" t="s">
        <v>38</v>
      </c>
      <c r="P354" s="5" t="s">
        <v>39</v>
      </c>
      <c r="Q354" s="2">
        <v>45967</v>
      </c>
      <c r="V354" s="46">
        <f>IF(
  OR(
    ISNUMBER(SEARCH("unable to locate acct", tblDocketedComments[[#This Row],[Docketed Consumer Comments]])),
    ISNUMBER(SEARCH("unknown", tblDocketedComments[[#This Row],[Docketed Consumer Comments]])),
    ISNUMBER(SEARCH("inactive", tblDocketedComments[[#This Row],[Docketed Consumer Comments]]))
  ),
  0,
  1
)</f>
        <v>1</v>
      </c>
    </row>
    <row r="355" spans="1:22">
      <c r="A355" s="2">
        <v>45903</v>
      </c>
      <c r="B355" s="1" t="s">
        <v>1123</v>
      </c>
      <c r="C355" s="1" t="s">
        <v>1124</v>
      </c>
      <c r="D355" s="1" t="s">
        <v>24</v>
      </c>
      <c r="E355" s="1">
        <v>85307</v>
      </c>
      <c r="F355" s="1" t="s">
        <v>31</v>
      </c>
      <c r="G355" s="1" t="s">
        <v>506</v>
      </c>
      <c r="H355" s="19" t="s">
        <v>1125</v>
      </c>
      <c r="I355" s="5" t="s">
        <v>36</v>
      </c>
      <c r="J355" s="5" t="s">
        <v>37</v>
      </c>
      <c r="K355" s="5" t="s">
        <v>37</v>
      </c>
      <c r="L355" s="5" t="s">
        <v>38</v>
      </c>
      <c r="M355" s="5" t="s">
        <v>37</v>
      </c>
      <c r="N355" s="5" t="s">
        <v>37</v>
      </c>
      <c r="O355" s="5" t="s">
        <v>38</v>
      </c>
      <c r="P355" s="5" t="s">
        <v>39</v>
      </c>
      <c r="Q355" s="2">
        <v>45967</v>
      </c>
      <c r="V355" s="46">
        <f>IF(
  OR(
    ISNUMBER(SEARCH("unable to locate acct", tblDocketedComments[[#This Row],[Docketed Consumer Comments]])),
    ISNUMBER(SEARCH("unknown", tblDocketedComments[[#This Row],[Docketed Consumer Comments]])),
    ISNUMBER(SEARCH("inactive", tblDocketedComments[[#This Row],[Docketed Consumer Comments]]))
  ),
  0,
  1
)</f>
        <v>1</v>
      </c>
    </row>
    <row r="356" spans="1:22">
      <c r="A356" s="2">
        <v>45903</v>
      </c>
      <c r="B356" s="1" t="s">
        <v>1126</v>
      </c>
      <c r="C356" s="1" t="s">
        <v>1127</v>
      </c>
      <c r="D356" s="1" t="s">
        <v>24</v>
      </c>
      <c r="E356" s="1">
        <v>85308</v>
      </c>
      <c r="F356" s="1" t="s">
        <v>310</v>
      </c>
      <c r="G356" s="1" t="s">
        <v>506</v>
      </c>
      <c r="H356" s="19" t="s">
        <v>1128</v>
      </c>
      <c r="I356" s="5" t="s">
        <v>36</v>
      </c>
      <c r="J356" s="5" t="s">
        <v>37</v>
      </c>
      <c r="K356" s="5" t="s">
        <v>37</v>
      </c>
      <c r="L356" s="5" t="s">
        <v>38</v>
      </c>
      <c r="M356" s="5" t="s">
        <v>37</v>
      </c>
      <c r="N356" s="5" t="s">
        <v>37</v>
      </c>
      <c r="O356" s="5" t="s">
        <v>38</v>
      </c>
      <c r="P356" s="5" t="s">
        <v>39</v>
      </c>
      <c r="Q356" s="2">
        <v>45967</v>
      </c>
      <c r="V356" s="46">
        <f>IF(
  OR(
    ISNUMBER(SEARCH("unable to locate acct", tblDocketedComments[[#This Row],[Docketed Consumer Comments]])),
    ISNUMBER(SEARCH("unknown", tblDocketedComments[[#This Row],[Docketed Consumer Comments]])),
    ISNUMBER(SEARCH("inactive", tblDocketedComments[[#This Row],[Docketed Consumer Comments]]))
  ),
  0,
  1
)</f>
        <v>1</v>
      </c>
    </row>
    <row r="357" spans="1:22">
      <c r="A357" s="2">
        <v>45903</v>
      </c>
      <c r="B357" s="1" t="s">
        <v>1129</v>
      </c>
      <c r="C357" s="1" t="s">
        <v>1130</v>
      </c>
      <c r="D357" s="1" t="s">
        <v>63</v>
      </c>
      <c r="E357" s="1">
        <v>85050</v>
      </c>
      <c r="F357" s="1" t="s">
        <v>31</v>
      </c>
      <c r="G357" s="1" t="s">
        <v>506</v>
      </c>
      <c r="H357" s="19" t="s">
        <v>1131</v>
      </c>
      <c r="I357" s="5" t="s">
        <v>196</v>
      </c>
      <c r="J357" s="5" t="s">
        <v>37</v>
      </c>
      <c r="K357" s="5" t="s">
        <v>37</v>
      </c>
      <c r="L357" s="5" t="s">
        <v>38</v>
      </c>
      <c r="M357" s="5" t="s">
        <v>37</v>
      </c>
      <c r="N357" s="5" t="s">
        <v>37</v>
      </c>
      <c r="O357" s="5" t="s">
        <v>38</v>
      </c>
      <c r="P357" s="5" t="s">
        <v>39</v>
      </c>
      <c r="Q357" s="2">
        <v>45967</v>
      </c>
      <c r="V357" s="46">
        <f>IF(
  OR(
    ISNUMBER(SEARCH("unable to locate acct", tblDocketedComments[[#This Row],[Docketed Consumer Comments]])),
    ISNUMBER(SEARCH("unknown", tblDocketedComments[[#This Row],[Docketed Consumer Comments]])),
    ISNUMBER(SEARCH("inactive", tblDocketedComments[[#This Row],[Docketed Consumer Comments]]))
  ),
  0,
  1
)</f>
        <v>1</v>
      </c>
    </row>
    <row r="358" spans="1:22">
      <c r="A358" s="2">
        <v>45903</v>
      </c>
      <c r="B358" s="1" t="s">
        <v>1132</v>
      </c>
      <c r="C358" s="1" t="s">
        <v>1133</v>
      </c>
      <c r="D358" s="1" t="s">
        <v>63</v>
      </c>
      <c r="E358" s="1">
        <v>85024</v>
      </c>
      <c r="F358" s="1" t="s">
        <v>310</v>
      </c>
      <c r="G358" s="1" t="s">
        <v>506</v>
      </c>
      <c r="H358" s="19">
        <v>6430651000</v>
      </c>
      <c r="I358" s="5" t="s">
        <v>196</v>
      </c>
      <c r="J358" s="5" t="s">
        <v>37</v>
      </c>
      <c r="K358" s="5" t="s">
        <v>37</v>
      </c>
      <c r="L358" s="5" t="s">
        <v>38</v>
      </c>
      <c r="M358" s="5" t="s">
        <v>37</v>
      </c>
      <c r="N358" s="5" t="s">
        <v>37</v>
      </c>
      <c r="O358" s="5" t="s">
        <v>38</v>
      </c>
      <c r="P358" s="5" t="s">
        <v>39</v>
      </c>
      <c r="Q358" s="2">
        <v>45967</v>
      </c>
      <c r="V358" s="46">
        <f>IF(
  OR(
    ISNUMBER(SEARCH("unable to locate acct", tblDocketedComments[[#This Row],[Docketed Consumer Comments]])),
    ISNUMBER(SEARCH("unknown", tblDocketedComments[[#This Row],[Docketed Consumer Comments]])),
    ISNUMBER(SEARCH("inactive", tblDocketedComments[[#This Row],[Docketed Consumer Comments]]))
  ),
  0,
  1
)</f>
        <v>1</v>
      </c>
    </row>
    <row r="359" spans="1:22">
      <c r="A359" s="2">
        <v>45903</v>
      </c>
      <c r="B359" s="1" t="s">
        <v>1134</v>
      </c>
      <c r="C359" s="1" t="s">
        <v>991</v>
      </c>
      <c r="D359" s="1" t="s">
        <v>240</v>
      </c>
      <c r="E359" s="1">
        <v>85395</v>
      </c>
      <c r="F359" s="1" t="s">
        <v>1135</v>
      </c>
      <c r="G359" s="1" t="s">
        <v>506</v>
      </c>
      <c r="H359" s="4" t="s">
        <v>209</v>
      </c>
      <c r="V359" s="46">
        <f>IF(
  OR(
    ISNUMBER(SEARCH("unable to locate acct", tblDocketedComments[[#This Row],[Docketed Consumer Comments]])),
    ISNUMBER(SEARCH("unknown", tblDocketedComments[[#This Row],[Docketed Consumer Comments]])),
    ISNUMBER(SEARCH("inactive", tblDocketedComments[[#This Row],[Docketed Consumer Comments]]))
  ),
  0,
  1
)</f>
        <v>1</v>
      </c>
    </row>
    <row r="360" spans="1:22">
      <c r="A360" s="2">
        <v>45903</v>
      </c>
      <c r="B360" s="1" t="s">
        <v>1136</v>
      </c>
      <c r="C360" s="1" t="s">
        <v>177</v>
      </c>
      <c r="D360" s="1" t="s">
        <v>169</v>
      </c>
      <c r="E360" s="1">
        <v>85338</v>
      </c>
      <c r="F360" s="1" t="s">
        <v>1137</v>
      </c>
      <c r="G360" s="1" t="s">
        <v>506</v>
      </c>
      <c r="H360" s="4" t="s">
        <v>1138</v>
      </c>
      <c r="I360" s="5" t="s">
        <v>36</v>
      </c>
      <c r="J360" s="5" t="s">
        <v>38</v>
      </c>
      <c r="K360" s="5" t="s">
        <v>37</v>
      </c>
      <c r="L360" s="5" t="s">
        <v>38</v>
      </c>
      <c r="M360" s="5" t="s">
        <v>37</v>
      </c>
      <c r="N360" s="5" t="s">
        <v>37</v>
      </c>
      <c r="O360" s="5" t="s">
        <v>38</v>
      </c>
      <c r="P360" s="5" t="s">
        <v>39</v>
      </c>
      <c r="Q360" s="2">
        <v>45967</v>
      </c>
      <c r="V360" s="46">
        <f>IF(
  OR(
    ISNUMBER(SEARCH("unable to locate acct", tblDocketedComments[[#This Row],[Docketed Consumer Comments]])),
    ISNUMBER(SEARCH("unknown", tblDocketedComments[[#This Row],[Docketed Consumer Comments]])),
    ISNUMBER(SEARCH("inactive", tblDocketedComments[[#This Row],[Docketed Consumer Comments]]))
  ),
  0,
  1
)</f>
        <v>1</v>
      </c>
    </row>
    <row r="361" spans="1:22">
      <c r="A361" s="2">
        <v>45903</v>
      </c>
      <c r="B361" s="1" t="s">
        <v>1139</v>
      </c>
      <c r="C361" s="1" t="s">
        <v>1140</v>
      </c>
      <c r="D361" s="1" t="s">
        <v>169</v>
      </c>
      <c r="E361" s="1">
        <v>85395</v>
      </c>
      <c r="F361" s="1" t="s">
        <v>1141</v>
      </c>
      <c r="G361" s="1" t="s">
        <v>506</v>
      </c>
      <c r="H361" s="19">
        <v>1370139140</v>
      </c>
      <c r="I361" s="5" t="s">
        <v>36</v>
      </c>
      <c r="J361" s="5" t="s">
        <v>37</v>
      </c>
      <c r="K361" s="5" t="s">
        <v>37</v>
      </c>
      <c r="L361" s="5" t="s">
        <v>38</v>
      </c>
      <c r="M361" s="5" t="s">
        <v>37</v>
      </c>
      <c r="N361" s="5" t="s">
        <v>37</v>
      </c>
      <c r="O361" s="5" t="s">
        <v>38</v>
      </c>
      <c r="P361" s="5" t="s">
        <v>39</v>
      </c>
      <c r="Q361" s="2">
        <v>45967</v>
      </c>
      <c r="V361" s="46">
        <f>IF(
  OR(
    ISNUMBER(SEARCH("unable to locate acct", tblDocketedComments[[#This Row],[Docketed Consumer Comments]])),
    ISNUMBER(SEARCH("unknown", tblDocketedComments[[#This Row],[Docketed Consumer Comments]])),
    ISNUMBER(SEARCH("inactive", tblDocketedComments[[#This Row],[Docketed Consumer Comments]]))
  ),
  0,
  1
)</f>
        <v>1</v>
      </c>
    </row>
    <row r="362" spans="1:22">
      <c r="A362" s="2">
        <v>45903</v>
      </c>
      <c r="B362" s="1" t="s">
        <v>1142</v>
      </c>
      <c r="C362" s="1" t="s">
        <v>1143</v>
      </c>
      <c r="D362" s="1" t="s">
        <v>125</v>
      </c>
      <c r="E362" s="1">
        <v>85266</v>
      </c>
      <c r="F362" s="1" t="s">
        <v>310</v>
      </c>
      <c r="G362" s="1" t="s">
        <v>506</v>
      </c>
      <c r="H362" s="19" t="s">
        <v>1144</v>
      </c>
      <c r="I362" s="5" t="s">
        <v>36</v>
      </c>
      <c r="J362" s="5" t="s">
        <v>37</v>
      </c>
      <c r="K362" s="5" t="s">
        <v>37</v>
      </c>
      <c r="L362" s="5" t="s">
        <v>38</v>
      </c>
      <c r="M362" s="5" t="s">
        <v>37</v>
      </c>
      <c r="N362" s="5" t="s">
        <v>37</v>
      </c>
      <c r="O362" s="5" t="s">
        <v>38</v>
      </c>
      <c r="P362" s="5" t="s">
        <v>39</v>
      </c>
      <c r="Q362" s="2">
        <v>45967</v>
      </c>
      <c r="V362" s="46">
        <f>IF(
  OR(
    ISNUMBER(SEARCH("unable to locate acct", tblDocketedComments[[#This Row],[Docketed Consumer Comments]])),
    ISNUMBER(SEARCH("unknown", tblDocketedComments[[#This Row],[Docketed Consumer Comments]])),
    ISNUMBER(SEARCH("inactive", tblDocketedComments[[#This Row],[Docketed Consumer Comments]]))
  ),
  0,
  1
)</f>
        <v>1</v>
      </c>
    </row>
    <row r="363" spans="1:22">
      <c r="A363" s="2">
        <v>45903</v>
      </c>
      <c r="B363" s="1" t="s">
        <v>1145</v>
      </c>
      <c r="C363" s="1" t="s">
        <v>1146</v>
      </c>
      <c r="D363" s="1" t="s">
        <v>125</v>
      </c>
      <c r="E363" s="1">
        <v>85259</v>
      </c>
      <c r="F363" s="1" t="s">
        <v>31</v>
      </c>
      <c r="G363" s="1" t="s">
        <v>506</v>
      </c>
      <c r="H363" s="4" t="s">
        <v>209</v>
      </c>
      <c r="V363" s="46">
        <f>IF(
  OR(
    ISNUMBER(SEARCH("unable to locate acct", tblDocketedComments[[#This Row],[Docketed Consumer Comments]])),
    ISNUMBER(SEARCH("unknown", tblDocketedComments[[#This Row],[Docketed Consumer Comments]])),
    ISNUMBER(SEARCH("inactive", tblDocketedComments[[#This Row],[Docketed Consumer Comments]]))
  ),
  0,
  1
)</f>
        <v>1</v>
      </c>
    </row>
    <row r="364" spans="1:22">
      <c r="A364" s="2">
        <v>45903</v>
      </c>
      <c r="B364" s="1" t="s">
        <v>1147</v>
      </c>
      <c r="C364" s="1" t="s">
        <v>1143</v>
      </c>
      <c r="D364" s="1" t="s">
        <v>63</v>
      </c>
      <c r="E364" s="1">
        <v>85050</v>
      </c>
      <c r="F364" s="1" t="s">
        <v>31</v>
      </c>
      <c r="G364" s="1" t="s">
        <v>506</v>
      </c>
      <c r="H364" s="4" t="s">
        <v>27</v>
      </c>
      <c r="V364" s="46">
        <f>IF(
  OR(
    ISNUMBER(SEARCH("unable to locate acct", tblDocketedComments[[#This Row],[Docketed Consumer Comments]])),
    ISNUMBER(SEARCH("unknown", tblDocketedComments[[#This Row],[Docketed Consumer Comments]])),
    ISNUMBER(SEARCH("inactive", tblDocketedComments[[#This Row],[Docketed Consumer Comments]]))
  ),
  0,
  1
)</f>
        <v>1</v>
      </c>
    </row>
    <row r="365" spans="1:22">
      <c r="A365" s="2">
        <v>45903</v>
      </c>
      <c r="B365" s="1" t="s">
        <v>1148</v>
      </c>
      <c r="C365" s="1" t="s">
        <v>1149</v>
      </c>
      <c r="D365" s="1" t="s">
        <v>169</v>
      </c>
      <c r="E365" s="1">
        <v>85338</v>
      </c>
      <c r="F365" s="1" t="s">
        <v>1150</v>
      </c>
      <c r="G365" s="1" t="s">
        <v>506</v>
      </c>
      <c r="H365" s="4" t="s">
        <v>90</v>
      </c>
      <c r="V365" s="46">
        <f>IF(
  OR(
    ISNUMBER(SEARCH("unable to locate acct", tblDocketedComments[[#This Row],[Docketed Consumer Comments]])),
    ISNUMBER(SEARCH("unknown", tblDocketedComments[[#This Row],[Docketed Consumer Comments]])),
    ISNUMBER(SEARCH("inactive", tblDocketedComments[[#This Row],[Docketed Consumer Comments]]))
  ),
  0,
  1
)</f>
        <v>1</v>
      </c>
    </row>
    <row r="366" spans="1:22">
      <c r="A366" s="2">
        <v>45903</v>
      </c>
      <c r="B366" s="1" t="s">
        <v>1151</v>
      </c>
      <c r="C366" s="1" t="s">
        <v>1152</v>
      </c>
      <c r="D366" s="1" t="s">
        <v>202</v>
      </c>
      <c r="E366" s="1">
        <v>85383</v>
      </c>
      <c r="F366" s="1" t="s">
        <v>310</v>
      </c>
      <c r="G366" s="1" t="s">
        <v>506</v>
      </c>
      <c r="H366" s="19">
        <v>3401570000</v>
      </c>
      <c r="I366" s="5" t="s">
        <v>541</v>
      </c>
      <c r="J366" s="5" t="s">
        <v>37</v>
      </c>
      <c r="K366" s="5" t="s">
        <v>37</v>
      </c>
      <c r="L366" s="5" t="s">
        <v>389</v>
      </c>
      <c r="M366" s="5" t="s">
        <v>37</v>
      </c>
      <c r="N366" s="5" t="s">
        <v>37</v>
      </c>
      <c r="O366" s="5" t="s">
        <v>38</v>
      </c>
      <c r="P366" s="5" t="s">
        <v>39</v>
      </c>
      <c r="Q366" s="2">
        <v>45967</v>
      </c>
      <c r="V366" s="46">
        <f>IF(
  OR(
    ISNUMBER(SEARCH("unable to locate acct", tblDocketedComments[[#This Row],[Docketed Consumer Comments]])),
    ISNUMBER(SEARCH("unknown", tblDocketedComments[[#This Row],[Docketed Consumer Comments]])),
    ISNUMBER(SEARCH("inactive", tblDocketedComments[[#This Row],[Docketed Consumer Comments]]))
  ),
  0,
  1
)</f>
        <v>1</v>
      </c>
    </row>
    <row r="367" spans="1:22">
      <c r="A367" s="2">
        <v>45903</v>
      </c>
      <c r="B367" s="1" t="s">
        <v>1153</v>
      </c>
      <c r="C367" s="1" t="s">
        <v>1154</v>
      </c>
      <c r="D367" s="1" t="s">
        <v>63</v>
      </c>
      <c r="E367" s="1">
        <v>85024</v>
      </c>
      <c r="F367" s="1" t="s">
        <v>1155</v>
      </c>
      <c r="G367" s="1" t="s">
        <v>506</v>
      </c>
      <c r="H367" s="19" t="s">
        <v>1156</v>
      </c>
      <c r="I367" s="5" t="s">
        <v>196</v>
      </c>
      <c r="J367" s="5" t="s">
        <v>37</v>
      </c>
      <c r="K367" s="5" t="s">
        <v>37</v>
      </c>
      <c r="L367" s="7" t="s">
        <v>1157</v>
      </c>
      <c r="M367" s="5" t="s">
        <v>37</v>
      </c>
      <c r="N367" s="5" t="s">
        <v>37</v>
      </c>
      <c r="O367" s="5" t="s">
        <v>38</v>
      </c>
      <c r="P367" s="2">
        <v>45936</v>
      </c>
      <c r="Q367" s="2">
        <v>45967</v>
      </c>
      <c r="R367" s="1" t="s">
        <v>1158</v>
      </c>
      <c r="V367" s="46">
        <f>IF(
  OR(
    ISNUMBER(SEARCH("unable to locate acct", tblDocketedComments[[#This Row],[Docketed Consumer Comments]])),
    ISNUMBER(SEARCH("unknown", tblDocketedComments[[#This Row],[Docketed Consumer Comments]])),
    ISNUMBER(SEARCH("inactive", tblDocketedComments[[#This Row],[Docketed Consumer Comments]]))
  ),
  0,
  1
)</f>
        <v>1</v>
      </c>
    </row>
    <row r="368" spans="1:22">
      <c r="A368" s="2">
        <v>45903</v>
      </c>
      <c r="B368" s="1" t="s">
        <v>1159</v>
      </c>
      <c r="C368" s="1" t="s">
        <v>1160</v>
      </c>
      <c r="D368" s="1" t="s">
        <v>202</v>
      </c>
      <c r="E368" s="1">
        <v>85383</v>
      </c>
      <c r="F368" s="1" t="s">
        <v>310</v>
      </c>
      <c r="G368" s="1" t="s">
        <v>506</v>
      </c>
      <c r="H368" s="19" t="s">
        <v>1161</v>
      </c>
      <c r="I368" s="5" t="s">
        <v>36</v>
      </c>
      <c r="J368" s="5" t="s">
        <v>37</v>
      </c>
      <c r="K368" s="5" t="s">
        <v>37</v>
      </c>
      <c r="L368" s="5" t="s">
        <v>38</v>
      </c>
      <c r="M368" s="5" t="s">
        <v>37</v>
      </c>
      <c r="N368" s="5" t="s">
        <v>37</v>
      </c>
      <c r="O368" s="5" t="s">
        <v>38</v>
      </c>
      <c r="P368" s="5" t="s">
        <v>39</v>
      </c>
      <c r="Q368" s="2">
        <v>45967</v>
      </c>
      <c r="V368" s="46">
        <f>IF(
  OR(
    ISNUMBER(SEARCH("unable to locate acct", tblDocketedComments[[#This Row],[Docketed Consumer Comments]])),
    ISNUMBER(SEARCH("unknown", tblDocketedComments[[#This Row],[Docketed Consumer Comments]])),
    ISNUMBER(SEARCH("inactive", tblDocketedComments[[#This Row],[Docketed Consumer Comments]]))
  ),
  0,
  1
)</f>
        <v>1</v>
      </c>
    </row>
    <row r="369" spans="1:22">
      <c r="A369" s="2">
        <v>45903</v>
      </c>
      <c r="B369" s="1" t="s">
        <v>1162</v>
      </c>
      <c r="C369" s="1" t="s">
        <v>1163</v>
      </c>
      <c r="D369" s="1" t="s">
        <v>63</v>
      </c>
      <c r="E369" s="1">
        <v>85085</v>
      </c>
      <c r="F369" s="1" t="s">
        <v>310</v>
      </c>
      <c r="G369" s="1" t="s">
        <v>506</v>
      </c>
      <c r="H369" s="19" t="s">
        <v>1164</v>
      </c>
      <c r="I369" s="5" t="s">
        <v>36</v>
      </c>
      <c r="J369" s="5" t="s">
        <v>37</v>
      </c>
      <c r="K369" s="5" t="s">
        <v>37</v>
      </c>
      <c r="L369" s="5" t="s">
        <v>38</v>
      </c>
      <c r="M369" s="5" t="s">
        <v>37</v>
      </c>
      <c r="N369" s="5" t="s">
        <v>37</v>
      </c>
      <c r="O369" s="5" t="s">
        <v>38</v>
      </c>
      <c r="P369" s="5" t="s">
        <v>39</v>
      </c>
      <c r="Q369" s="2">
        <v>45967</v>
      </c>
      <c r="V369" s="46">
        <f>IF(
  OR(
    ISNUMBER(SEARCH("unable to locate acct", tblDocketedComments[[#This Row],[Docketed Consumer Comments]])),
    ISNUMBER(SEARCH("unknown", tblDocketedComments[[#This Row],[Docketed Consumer Comments]])),
    ISNUMBER(SEARCH("inactive", tblDocketedComments[[#This Row],[Docketed Consumer Comments]]))
  ),
  0,
  1
)</f>
        <v>1</v>
      </c>
    </row>
    <row r="370" spans="1:22">
      <c r="A370" s="2">
        <v>45903</v>
      </c>
      <c r="B370" s="1" t="s">
        <v>1165</v>
      </c>
      <c r="C370" s="1" t="s">
        <v>1166</v>
      </c>
      <c r="D370" s="1" t="s">
        <v>240</v>
      </c>
      <c r="E370" s="1">
        <v>85340</v>
      </c>
      <c r="F370" s="1" t="s">
        <v>1167</v>
      </c>
      <c r="G370" s="1" t="s">
        <v>506</v>
      </c>
      <c r="H370" s="19" t="s">
        <v>1168</v>
      </c>
      <c r="I370" s="5" t="s">
        <v>126</v>
      </c>
      <c r="J370" s="5" t="s">
        <v>38</v>
      </c>
      <c r="K370" s="5" t="s">
        <v>37</v>
      </c>
      <c r="L370" s="5" t="s">
        <v>1169</v>
      </c>
      <c r="M370" s="5" t="s">
        <v>37</v>
      </c>
      <c r="N370" s="5" t="s">
        <v>37</v>
      </c>
      <c r="O370" s="5" t="s">
        <v>38</v>
      </c>
      <c r="P370" s="5" t="s">
        <v>39</v>
      </c>
      <c r="Q370" s="2">
        <v>45967</v>
      </c>
      <c r="V370" s="46">
        <f>IF(
  OR(
    ISNUMBER(SEARCH("unable to locate acct", tblDocketedComments[[#This Row],[Docketed Consumer Comments]])),
    ISNUMBER(SEARCH("unknown", tblDocketedComments[[#This Row],[Docketed Consumer Comments]])),
    ISNUMBER(SEARCH("inactive", tblDocketedComments[[#This Row],[Docketed Consumer Comments]]))
  ),
  0,
  1
)</f>
        <v>1</v>
      </c>
    </row>
    <row r="371" spans="1:22">
      <c r="A371" s="2">
        <v>45903</v>
      </c>
      <c r="B371" s="1" t="s">
        <v>1170</v>
      </c>
      <c r="C371" s="1" t="s">
        <v>1171</v>
      </c>
      <c r="D371" s="1" t="s">
        <v>63</v>
      </c>
      <c r="E371" s="1">
        <v>85050</v>
      </c>
      <c r="F371" s="1" t="s">
        <v>1172</v>
      </c>
      <c r="G371" s="1" t="s">
        <v>506</v>
      </c>
      <c r="H371" s="19" t="s">
        <v>1173</v>
      </c>
      <c r="I371" s="5" t="s">
        <v>1040</v>
      </c>
      <c r="J371" s="5" t="s">
        <v>37</v>
      </c>
      <c r="K371" s="5" t="s">
        <v>37</v>
      </c>
      <c r="L371" s="7" t="s">
        <v>1174</v>
      </c>
      <c r="M371" s="5" t="s">
        <v>37</v>
      </c>
      <c r="N371" s="5" t="s">
        <v>37</v>
      </c>
      <c r="O371" s="5" t="s">
        <v>38</v>
      </c>
      <c r="P371" s="2">
        <v>45936</v>
      </c>
      <c r="Q371" s="2">
        <v>45967</v>
      </c>
      <c r="R371" s="1" t="s">
        <v>1175</v>
      </c>
      <c r="V371" s="46">
        <f>IF(
  OR(
    ISNUMBER(SEARCH("unable to locate acct", tblDocketedComments[[#This Row],[Docketed Consumer Comments]])),
    ISNUMBER(SEARCH("unknown", tblDocketedComments[[#This Row],[Docketed Consumer Comments]])),
    ISNUMBER(SEARCH("inactive", tblDocketedComments[[#This Row],[Docketed Consumer Comments]]))
  ),
  0,
  1
)</f>
        <v>1</v>
      </c>
    </row>
    <row r="372" spans="1:22">
      <c r="A372" s="2">
        <v>45903</v>
      </c>
      <c r="B372" s="1" t="s">
        <v>1176</v>
      </c>
      <c r="C372" s="1" t="s">
        <v>1177</v>
      </c>
      <c r="D372" s="1" t="s">
        <v>523</v>
      </c>
      <c r="E372" s="1">
        <v>85392</v>
      </c>
      <c r="F372" s="1" t="s">
        <v>31</v>
      </c>
      <c r="G372" s="1" t="s">
        <v>506</v>
      </c>
      <c r="H372" s="4" t="s">
        <v>27</v>
      </c>
      <c r="V372" s="46">
        <f>IF(
  OR(
    ISNUMBER(SEARCH("unable to locate acct", tblDocketedComments[[#This Row],[Docketed Consumer Comments]])),
    ISNUMBER(SEARCH("unknown", tblDocketedComments[[#This Row],[Docketed Consumer Comments]])),
    ISNUMBER(SEARCH("inactive", tblDocketedComments[[#This Row],[Docketed Consumer Comments]]))
  ),
  0,
  1
)</f>
        <v>1</v>
      </c>
    </row>
    <row r="373" spans="1:22">
      <c r="A373" s="2">
        <v>45903</v>
      </c>
      <c r="B373" s="1" t="s">
        <v>1178</v>
      </c>
      <c r="C373" s="1" t="s">
        <v>1179</v>
      </c>
      <c r="D373" s="1" t="s">
        <v>30</v>
      </c>
      <c r="E373" s="1">
        <v>85085</v>
      </c>
      <c r="F373" s="1" t="s">
        <v>310</v>
      </c>
      <c r="G373" s="1" t="s">
        <v>506</v>
      </c>
      <c r="H373" s="19" t="s">
        <v>1180</v>
      </c>
      <c r="I373" s="5" t="s">
        <v>196</v>
      </c>
      <c r="J373" s="5" t="s">
        <v>37</v>
      </c>
      <c r="K373" s="5" t="s">
        <v>37</v>
      </c>
      <c r="L373" s="5" t="s">
        <v>1181</v>
      </c>
      <c r="M373" s="5" t="s">
        <v>37</v>
      </c>
      <c r="N373" s="5" t="s">
        <v>37</v>
      </c>
      <c r="O373" s="5" t="s">
        <v>38</v>
      </c>
      <c r="P373" s="5" t="s">
        <v>39</v>
      </c>
      <c r="Q373" s="2">
        <v>45967</v>
      </c>
      <c r="V373" s="46">
        <f>IF(
  OR(
    ISNUMBER(SEARCH("unable to locate acct", tblDocketedComments[[#This Row],[Docketed Consumer Comments]])),
    ISNUMBER(SEARCH("unknown", tblDocketedComments[[#This Row],[Docketed Consumer Comments]])),
    ISNUMBER(SEARCH("inactive", tblDocketedComments[[#This Row],[Docketed Consumer Comments]]))
  ),
  0,
  1
)</f>
        <v>1</v>
      </c>
    </row>
    <row r="374" spans="1:22">
      <c r="A374" s="2">
        <v>45903</v>
      </c>
      <c r="B374" s="1" t="s">
        <v>1182</v>
      </c>
      <c r="C374" s="1" t="s">
        <v>1183</v>
      </c>
      <c r="D374" s="1" t="s">
        <v>202</v>
      </c>
      <c r="E374" s="1">
        <v>85383</v>
      </c>
      <c r="F374" s="1" t="s">
        <v>1184</v>
      </c>
      <c r="G374" s="1" t="s">
        <v>506</v>
      </c>
      <c r="H374" s="4" t="s">
        <v>27</v>
      </c>
      <c r="V374" s="46">
        <f>IF(
  OR(
    ISNUMBER(SEARCH("unable to locate acct", tblDocketedComments[[#This Row],[Docketed Consumer Comments]])),
    ISNUMBER(SEARCH("unknown", tblDocketedComments[[#This Row],[Docketed Consumer Comments]])),
    ISNUMBER(SEARCH("inactive", tblDocketedComments[[#This Row],[Docketed Consumer Comments]]))
  ),
  0,
  1
)</f>
        <v>1</v>
      </c>
    </row>
    <row r="375" spans="1:22">
      <c r="A375" s="2">
        <v>45903</v>
      </c>
      <c r="B375" s="1" t="s">
        <v>1185</v>
      </c>
      <c r="C375" s="1" t="s">
        <v>312</v>
      </c>
      <c r="D375" s="1" t="s">
        <v>523</v>
      </c>
      <c r="E375" s="1">
        <v>85323</v>
      </c>
      <c r="F375" s="1" t="s">
        <v>1186</v>
      </c>
      <c r="G375" s="1" t="s">
        <v>506</v>
      </c>
      <c r="H375" s="19" t="s">
        <v>1187</v>
      </c>
      <c r="I375" s="5" t="s">
        <v>73</v>
      </c>
      <c r="J375" s="5" t="s">
        <v>37</v>
      </c>
      <c r="K375" s="5" t="s">
        <v>37</v>
      </c>
      <c r="L375" s="5" t="s">
        <v>38</v>
      </c>
      <c r="M375" s="5" t="s">
        <v>37</v>
      </c>
      <c r="N375" s="5" t="s">
        <v>37</v>
      </c>
      <c r="O375" s="5" t="s">
        <v>38</v>
      </c>
      <c r="P375" s="5" t="s">
        <v>39</v>
      </c>
      <c r="Q375" s="2">
        <v>45967</v>
      </c>
      <c r="V375" s="46">
        <f>IF(
  OR(
    ISNUMBER(SEARCH("unable to locate acct", tblDocketedComments[[#This Row],[Docketed Consumer Comments]])),
    ISNUMBER(SEARCH("unknown", tblDocketedComments[[#This Row],[Docketed Consumer Comments]])),
    ISNUMBER(SEARCH("inactive", tblDocketedComments[[#This Row],[Docketed Consumer Comments]]))
  ),
  0,
  1
)</f>
        <v>1</v>
      </c>
    </row>
    <row r="376" spans="1:22">
      <c r="A376" s="2">
        <v>45903</v>
      </c>
      <c r="B376" s="1" t="s">
        <v>176</v>
      </c>
      <c r="C376" s="1" t="s">
        <v>284</v>
      </c>
      <c r="D376" s="1" t="s">
        <v>63</v>
      </c>
      <c r="E376" s="1">
        <v>85024</v>
      </c>
      <c r="F376" s="1" t="s">
        <v>310</v>
      </c>
      <c r="G376" s="1" t="s">
        <v>506</v>
      </c>
      <c r="H376" s="4" t="s">
        <v>209</v>
      </c>
      <c r="V376" s="46">
        <f>IF(
  OR(
    ISNUMBER(SEARCH("unable to locate acct", tblDocketedComments[[#This Row],[Docketed Consumer Comments]])),
    ISNUMBER(SEARCH("unknown", tblDocketedComments[[#This Row],[Docketed Consumer Comments]])),
    ISNUMBER(SEARCH("inactive", tblDocketedComments[[#This Row],[Docketed Consumer Comments]]))
  ),
  0,
  1
)</f>
        <v>1</v>
      </c>
    </row>
    <row r="377" spans="1:22">
      <c r="A377" s="2">
        <v>45903</v>
      </c>
      <c r="B377" s="1" t="s">
        <v>1188</v>
      </c>
      <c r="C377" s="1" t="s">
        <v>1189</v>
      </c>
      <c r="D377" s="1" t="s">
        <v>63</v>
      </c>
      <c r="E377" s="1">
        <v>85032</v>
      </c>
      <c r="F377" s="1" t="s">
        <v>310</v>
      </c>
      <c r="G377" s="1" t="s">
        <v>506</v>
      </c>
      <c r="H377" s="4" t="s">
        <v>27</v>
      </c>
      <c r="V377" s="46">
        <f>IF(
  OR(
    ISNUMBER(SEARCH("unable to locate acct", tblDocketedComments[[#This Row],[Docketed Consumer Comments]])),
    ISNUMBER(SEARCH("unknown", tblDocketedComments[[#This Row],[Docketed Consumer Comments]])),
    ISNUMBER(SEARCH("inactive", tblDocketedComments[[#This Row],[Docketed Consumer Comments]]))
  ),
  0,
  1
)</f>
        <v>1</v>
      </c>
    </row>
    <row r="378" spans="1:22">
      <c r="A378" s="2">
        <v>45903</v>
      </c>
      <c r="B378" s="1" t="s">
        <v>1190</v>
      </c>
      <c r="C378" s="1" t="s">
        <v>1191</v>
      </c>
      <c r="D378" s="1" t="s">
        <v>523</v>
      </c>
      <c r="E378" s="1">
        <v>85392</v>
      </c>
      <c r="F378" s="1" t="s">
        <v>1186</v>
      </c>
      <c r="G378" s="1" t="s">
        <v>506</v>
      </c>
      <c r="H378" s="19" t="s">
        <v>1192</v>
      </c>
      <c r="I378" s="5" t="s">
        <v>196</v>
      </c>
      <c r="J378" s="5" t="s">
        <v>37</v>
      </c>
      <c r="K378" s="5" t="s">
        <v>37</v>
      </c>
      <c r="L378" s="5" t="s">
        <v>38</v>
      </c>
      <c r="M378" s="5" t="s">
        <v>37</v>
      </c>
      <c r="N378" s="5" t="s">
        <v>37</v>
      </c>
      <c r="O378" s="5" t="s">
        <v>38</v>
      </c>
      <c r="P378" s="5" t="s">
        <v>39</v>
      </c>
      <c r="Q378" s="2">
        <v>45967</v>
      </c>
      <c r="V378" s="46">
        <f>IF(
  OR(
    ISNUMBER(SEARCH("unable to locate acct", tblDocketedComments[[#This Row],[Docketed Consumer Comments]])),
    ISNUMBER(SEARCH("unknown", tblDocketedComments[[#This Row],[Docketed Consumer Comments]])),
    ISNUMBER(SEARCH("inactive", tblDocketedComments[[#This Row],[Docketed Consumer Comments]]))
  ),
  0,
  1
)</f>
        <v>1</v>
      </c>
    </row>
    <row r="379" spans="1:22">
      <c r="A379" s="2">
        <v>45903</v>
      </c>
      <c r="B379" s="1" t="s">
        <v>1193</v>
      </c>
      <c r="C379" s="1" t="s">
        <v>1194</v>
      </c>
      <c r="D379" s="1" t="s">
        <v>63</v>
      </c>
      <c r="E379" s="1">
        <v>85024</v>
      </c>
      <c r="F379" s="1" t="s">
        <v>310</v>
      </c>
      <c r="G379" s="1" t="s">
        <v>506</v>
      </c>
      <c r="H379" s="4" t="s">
        <v>209</v>
      </c>
      <c r="V379" s="46">
        <f>IF(
  OR(
    ISNUMBER(SEARCH("unable to locate acct", tblDocketedComments[[#This Row],[Docketed Consumer Comments]])),
    ISNUMBER(SEARCH("unknown", tblDocketedComments[[#This Row],[Docketed Consumer Comments]])),
    ISNUMBER(SEARCH("inactive", tblDocketedComments[[#This Row],[Docketed Consumer Comments]]))
  ),
  0,
  1
)</f>
        <v>1</v>
      </c>
    </row>
    <row r="380" spans="1:22">
      <c r="A380" s="2">
        <v>45903</v>
      </c>
      <c r="B380" s="1" t="s">
        <v>1195</v>
      </c>
      <c r="C380" s="1" t="s">
        <v>558</v>
      </c>
      <c r="D380" s="1" t="s">
        <v>63</v>
      </c>
      <c r="E380" s="1">
        <v>85050</v>
      </c>
      <c r="F380" s="1" t="s">
        <v>310</v>
      </c>
      <c r="G380" s="1" t="s">
        <v>506</v>
      </c>
      <c r="H380" s="19" t="s">
        <v>1196</v>
      </c>
      <c r="I380" s="5" t="s">
        <v>36</v>
      </c>
      <c r="J380" s="5" t="s">
        <v>37</v>
      </c>
      <c r="K380" s="5" t="s">
        <v>37</v>
      </c>
      <c r="L380" s="5" t="s">
        <v>38</v>
      </c>
      <c r="M380" s="5" t="s">
        <v>37</v>
      </c>
      <c r="N380" s="5" t="s">
        <v>37</v>
      </c>
      <c r="O380" s="5" t="s">
        <v>38</v>
      </c>
      <c r="P380" s="5" t="s">
        <v>39</v>
      </c>
      <c r="Q380" s="2">
        <v>45967</v>
      </c>
      <c r="V380" s="46">
        <f>IF(
  OR(
    ISNUMBER(SEARCH("unable to locate acct", tblDocketedComments[[#This Row],[Docketed Consumer Comments]])),
    ISNUMBER(SEARCH("unknown", tblDocketedComments[[#This Row],[Docketed Consumer Comments]])),
    ISNUMBER(SEARCH("inactive", tblDocketedComments[[#This Row],[Docketed Consumer Comments]]))
  ),
  0,
  1
)</f>
        <v>1</v>
      </c>
    </row>
    <row r="381" spans="1:22">
      <c r="A381" s="2">
        <v>45903</v>
      </c>
      <c r="B381" s="1" t="s">
        <v>1197</v>
      </c>
      <c r="C381" s="1" t="s">
        <v>1198</v>
      </c>
      <c r="D381" s="1" t="s">
        <v>63</v>
      </c>
      <c r="E381" s="1">
        <v>85050</v>
      </c>
      <c r="F381" s="1" t="s">
        <v>1199</v>
      </c>
      <c r="G381" s="1" t="s">
        <v>506</v>
      </c>
      <c r="H381" s="19" t="s">
        <v>1200</v>
      </c>
      <c r="I381" s="5" t="s">
        <v>196</v>
      </c>
      <c r="J381" s="5" t="s">
        <v>37</v>
      </c>
      <c r="K381" s="5" t="s">
        <v>37</v>
      </c>
      <c r="L381" s="5" t="s">
        <v>38</v>
      </c>
      <c r="M381" s="5" t="s">
        <v>37</v>
      </c>
      <c r="N381" s="5" t="s">
        <v>37</v>
      </c>
      <c r="O381" s="5" t="s">
        <v>38</v>
      </c>
      <c r="P381" s="5" t="s">
        <v>39</v>
      </c>
      <c r="Q381" s="2">
        <v>45967</v>
      </c>
      <c r="V381" s="46">
        <f>IF(
  OR(
    ISNUMBER(SEARCH("unable to locate acct", tblDocketedComments[[#This Row],[Docketed Consumer Comments]])),
    ISNUMBER(SEARCH("unknown", tblDocketedComments[[#This Row],[Docketed Consumer Comments]])),
    ISNUMBER(SEARCH("inactive", tblDocketedComments[[#This Row],[Docketed Consumer Comments]]))
  ),
  0,
  1
)</f>
        <v>1</v>
      </c>
    </row>
    <row r="382" spans="1:22">
      <c r="A382" s="2">
        <v>45903</v>
      </c>
      <c r="B382" s="1" t="s">
        <v>1201</v>
      </c>
      <c r="C382" s="1" t="s">
        <v>471</v>
      </c>
      <c r="D382" s="1" t="s">
        <v>63</v>
      </c>
      <c r="E382" s="1">
        <v>85042</v>
      </c>
      <c r="F382" s="1" t="s">
        <v>310</v>
      </c>
      <c r="G382" s="1" t="s">
        <v>506</v>
      </c>
      <c r="H382" s="4" t="s">
        <v>90</v>
      </c>
      <c r="V382" s="46">
        <f>IF(
  OR(
    ISNUMBER(SEARCH("unable to locate acct", tblDocketedComments[[#This Row],[Docketed Consumer Comments]])),
    ISNUMBER(SEARCH("unknown", tblDocketedComments[[#This Row],[Docketed Consumer Comments]])),
    ISNUMBER(SEARCH("inactive", tblDocketedComments[[#This Row],[Docketed Consumer Comments]]))
  ),
  0,
  1
)</f>
        <v>1</v>
      </c>
    </row>
    <row r="383" spans="1:22">
      <c r="A383" s="2">
        <v>45903</v>
      </c>
      <c r="B383" s="1" t="s">
        <v>1202</v>
      </c>
      <c r="C383" s="1" t="s">
        <v>1203</v>
      </c>
      <c r="D383" s="1" t="s">
        <v>1204</v>
      </c>
      <c r="E383" s="1">
        <v>85355</v>
      </c>
      <c r="F383" s="1" t="s">
        <v>1205</v>
      </c>
      <c r="G383" s="1" t="s">
        <v>506</v>
      </c>
      <c r="H383" s="19" t="s">
        <v>1206</v>
      </c>
      <c r="I383" s="5" t="s">
        <v>36</v>
      </c>
      <c r="J383" s="5" t="s">
        <v>37</v>
      </c>
      <c r="K383" s="5" t="s">
        <v>37</v>
      </c>
      <c r="L383" s="5" t="s">
        <v>38</v>
      </c>
      <c r="M383" s="5" t="s">
        <v>37</v>
      </c>
      <c r="N383" s="5" t="s">
        <v>37</v>
      </c>
      <c r="O383" s="5" t="s">
        <v>38</v>
      </c>
      <c r="P383" s="5" t="s">
        <v>39</v>
      </c>
      <c r="Q383" s="2">
        <v>45967</v>
      </c>
      <c r="V383" s="46">
        <f>IF(
  OR(
    ISNUMBER(SEARCH("unable to locate acct", tblDocketedComments[[#This Row],[Docketed Consumer Comments]])),
    ISNUMBER(SEARCH("unknown", tblDocketedComments[[#This Row],[Docketed Consumer Comments]])),
    ISNUMBER(SEARCH("inactive", tblDocketedComments[[#This Row],[Docketed Consumer Comments]]))
  ),
  0,
  1
)</f>
        <v>1</v>
      </c>
    </row>
    <row r="384" spans="1:22">
      <c r="A384" s="2">
        <v>45903</v>
      </c>
      <c r="B384" s="1" t="s">
        <v>824</v>
      </c>
      <c r="C384" s="1" t="s">
        <v>328</v>
      </c>
      <c r="D384" s="1" t="s">
        <v>112</v>
      </c>
      <c r="E384" s="1">
        <v>85379</v>
      </c>
      <c r="F384" s="1" t="s">
        <v>310</v>
      </c>
      <c r="G384" s="1" t="s">
        <v>506</v>
      </c>
      <c r="H384" s="19" t="s">
        <v>1207</v>
      </c>
      <c r="I384" s="5" t="s">
        <v>36</v>
      </c>
      <c r="J384" s="5" t="s">
        <v>37</v>
      </c>
      <c r="K384" s="5" t="s">
        <v>37</v>
      </c>
      <c r="L384" s="5" t="s">
        <v>38</v>
      </c>
      <c r="M384" s="5" t="s">
        <v>37</v>
      </c>
      <c r="N384" s="5" t="s">
        <v>37</v>
      </c>
      <c r="O384" s="5" t="s">
        <v>38</v>
      </c>
      <c r="P384" s="5" t="s">
        <v>39</v>
      </c>
      <c r="Q384" s="2">
        <v>45967</v>
      </c>
      <c r="V384" s="46">
        <f>IF(
  OR(
    ISNUMBER(SEARCH("unable to locate acct", tblDocketedComments[[#This Row],[Docketed Consumer Comments]])),
    ISNUMBER(SEARCH("unknown", tblDocketedComments[[#This Row],[Docketed Consumer Comments]])),
    ISNUMBER(SEARCH("inactive", tblDocketedComments[[#This Row],[Docketed Consumer Comments]]))
  ),
  0,
  1
)</f>
        <v>1</v>
      </c>
    </row>
    <row r="385" spans="1:22">
      <c r="A385" s="2">
        <v>45903</v>
      </c>
      <c r="B385" s="1" t="s">
        <v>1208</v>
      </c>
      <c r="C385" s="1" t="s">
        <v>1209</v>
      </c>
      <c r="D385" s="1" t="s">
        <v>202</v>
      </c>
      <c r="E385" s="1">
        <v>85383</v>
      </c>
      <c r="F385" s="1" t="s">
        <v>310</v>
      </c>
      <c r="G385" s="1" t="s">
        <v>506</v>
      </c>
      <c r="H385" s="4" t="s">
        <v>90</v>
      </c>
      <c r="V385" s="46">
        <f>IF(
  OR(
    ISNUMBER(SEARCH("unable to locate acct", tblDocketedComments[[#This Row],[Docketed Consumer Comments]])),
    ISNUMBER(SEARCH("unknown", tblDocketedComments[[#This Row],[Docketed Consumer Comments]])),
    ISNUMBER(SEARCH("inactive", tblDocketedComments[[#This Row],[Docketed Consumer Comments]]))
  ),
  0,
  1
)</f>
        <v>1</v>
      </c>
    </row>
    <row r="386" spans="1:22">
      <c r="A386" s="2">
        <v>45903</v>
      </c>
      <c r="B386" s="1" t="s">
        <v>1210</v>
      </c>
      <c r="C386" s="1" t="s">
        <v>115</v>
      </c>
      <c r="D386" s="1" t="s">
        <v>169</v>
      </c>
      <c r="E386" s="1">
        <v>85338</v>
      </c>
      <c r="F386" s="1" t="s">
        <v>1211</v>
      </c>
      <c r="G386" s="1" t="s">
        <v>506</v>
      </c>
      <c r="H386" s="19" t="s">
        <v>1212</v>
      </c>
      <c r="I386" s="5" t="s">
        <v>36</v>
      </c>
      <c r="J386" s="5" t="s">
        <v>37</v>
      </c>
      <c r="K386" s="5" t="s">
        <v>37</v>
      </c>
      <c r="L386" s="5" t="s">
        <v>38</v>
      </c>
      <c r="M386" s="5" t="s">
        <v>37</v>
      </c>
      <c r="N386" s="5" t="s">
        <v>37</v>
      </c>
      <c r="O386" s="5" t="s">
        <v>38</v>
      </c>
      <c r="P386" s="5" t="s">
        <v>39</v>
      </c>
      <c r="Q386" s="2">
        <v>45967</v>
      </c>
      <c r="V386" s="46">
        <f>IF(
  OR(
    ISNUMBER(SEARCH("unable to locate acct", tblDocketedComments[[#This Row],[Docketed Consumer Comments]])),
    ISNUMBER(SEARCH("unknown", tblDocketedComments[[#This Row],[Docketed Consumer Comments]])),
    ISNUMBER(SEARCH("inactive", tblDocketedComments[[#This Row],[Docketed Consumer Comments]]))
  ),
  0,
  1
)</f>
        <v>1</v>
      </c>
    </row>
    <row r="387" spans="1:22">
      <c r="A387" s="2">
        <v>45903</v>
      </c>
      <c r="B387" s="1" t="s">
        <v>1213</v>
      </c>
      <c r="C387" s="1" t="s">
        <v>1214</v>
      </c>
      <c r="D387" s="1" t="s">
        <v>169</v>
      </c>
      <c r="E387" s="1">
        <v>85338</v>
      </c>
      <c r="F387" s="1" t="s">
        <v>1215</v>
      </c>
      <c r="G387" s="1" t="s">
        <v>506</v>
      </c>
      <c r="H387" s="19" t="s">
        <v>1216</v>
      </c>
      <c r="I387" s="5" t="s">
        <v>46</v>
      </c>
      <c r="J387" s="5" t="s">
        <v>37</v>
      </c>
      <c r="K387" s="5" t="s">
        <v>37</v>
      </c>
      <c r="L387" s="7" t="s">
        <v>1217</v>
      </c>
      <c r="M387" s="5" t="s">
        <v>37</v>
      </c>
      <c r="N387" s="5" t="s">
        <v>37</v>
      </c>
      <c r="O387" s="5" t="s">
        <v>38</v>
      </c>
      <c r="P387" s="2">
        <v>46301</v>
      </c>
      <c r="Q387" s="2">
        <v>45967</v>
      </c>
      <c r="R387" s="1" t="s">
        <v>1218</v>
      </c>
      <c r="V387" s="46">
        <f>IF(
  OR(
    ISNUMBER(SEARCH("unable to locate acct", tblDocketedComments[[#This Row],[Docketed Consumer Comments]])),
    ISNUMBER(SEARCH("unknown", tblDocketedComments[[#This Row],[Docketed Consumer Comments]])),
    ISNUMBER(SEARCH("inactive", tblDocketedComments[[#This Row],[Docketed Consumer Comments]]))
  ),
  0,
  1
)</f>
        <v>1</v>
      </c>
    </row>
    <row r="388" spans="1:22">
      <c r="A388" s="2">
        <v>45903</v>
      </c>
      <c r="B388" s="1" t="s">
        <v>1219</v>
      </c>
      <c r="C388" s="1" t="s">
        <v>1220</v>
      </c>
      <c r="D388" s="1" t="s">
        <v>240</v>
      </c>
      <c r="E388" s="1">
        <v>85340</v>
      </c>
      <c r="F388" s="1" t="s">
        <v>31</v>
      </c>
      <c r="G388" s="1" t="s">
        <v>506</v>
      </c>
      <c r="H388" s="19" t="s">
        <v>1221</v>
      </c>
      <c r="I388" s="5" t="s">
        <v>36</v>
      </c>
      <c r="J388" s="5" t="s">
        <v>37</v>
      </c>
      <c r="K388" s="5" t="s">
        <v>37</v>
      </c>
      <c r="L388" s="5" t="s">
        <v>38</v>
      </c>
      <c r="M388" s="5" t="s">
        <v>37</v>
      </c>
      <c r="N388" s="5" t="s">
        <v>37</v>
      </c>
      <c r="O388" s="5" t="s">
        <v>38</v>
      </c>
      <c r="P388" s="5" t="s">
        <v>39</v>
      </c>
      <c r="Q388" s="2">
        <v>45967</v>
      </c>
      <c r="V388" s="46">
        <f>IF(
  OR(
    ISNUMBER(SEARCH("unable to locate acct", tblDocketedComments[[#This Row],[Docketed Consumer Comments]])),
    ISNUMBER(SEARCH("unknown", tblDocketedComments[[#This Row],[Docketed Consumer Comments]])),
    ISNUMBER(SEARCH("inactive", tblDocketedComments[[#This Row],[Docketed Consumer Comments]]))
  ),
  0,
  1
)</f>
        <v>1</v>
      </c>
    </row>
    <row r="389" spans="1:22">
      <c r="A389" s="2">
        <v>45903</v>
      </c>
      <c r="B389" s="1" t="s">
        <v>1222</v>
      </c>
      <c r="C389" s="1" t="s">
        <v>1223</v>
      </c>
      <c r="D389" s="1" t="s">
        <v>169</v>
      </c>
      <c r="E389" s="1">
        <v>85395</v>
      </c>
      <c r="F389" s="1" t="s">
        <v>1224</v>
      </c>
      <c r="G389" s="1" t="s">
        <v>506</v>
      </c>
      <c r="H389" s="19" t="s">
        <v>1225</v>
      </c>
      <c r="I389" s="5" t="s">
        <v>46</v>
      </c>
      <c r="J389" s="5" t="s">
        <v>37</v>
      </c>
      <c r="K389" s="5" t="s">
        <v>37</v>
      </c>
      <c r="L389" s="5" t="s">
        <v>38</v>
      </c>
      <c r="M389" s="5" t="s">
        <v>37</v>
      </c>
      <c r="N389" s="5" t="s">
        <v>37</v>
      </c>
      <c r="O389" s="5" t="s">
        <v>38</v>
      </c>
      <c r="P389" s="5" t="s">
        <v>39</v>
      </c>
      <c r="Q389" s="2">
        <v>45967</v>
      </c>
      <c r="V389" s="46">
        <f>IF(
  OR(
    ISNUMBER(SEARCH("unable to locate acct", tblDocketedComments[[#This Row],[Docketed Consumer Comments]])),
    ISNUMBER(SEARCH("unknown", tblDocketedComments[[#This Row],[Docketed Consumer Comments]])),
    ISNUMBER(SEARCH("inactive", tblDocketedComments[[#This Row],[Docketed Consumer Comments]]))
  ),
  0,
  1
)</f>
        <v>1</v>
      </c>
    </row>
    <row r="390" spans="1:22">
      <c r="A390" s="2">
        <v>45903</v>
      </c>
      <c r="B390" s="1" t="s">
        <v>1226</v>
      </c>
      <c r="C390" s="1" t="s">
        <v>1227</v>
      </c>
      <c r="D390" s="1" t="s">
        <v>112</v>
      </c>
      <c r="E390" s="1">
        <v>85387</v>
      </c>
      <c r="F390" s="1" t="s">
        <v>31</v>
      </c>
      <c r="G390" s="1" t="s">
        <v>506</v>
      </c>
      <c r="H390" s="19" t="s">
        <v>1228</v>
      </c>
      <c r="I390" s="5" t="s">
        <v>196</v>
      </c>
      <c r="J390" s="5" t="s">
        <v>37</v>
      </c>
      <c r="K390" s="5" t="s">
        <v>37</v>
      </c>
      <c r="L390" s="5" t="s">
        <v>1229</v>
      </c>
      <c r="M390" s="5" t="s">
        <v>37</v>
      </c>
      <c r="N390" s="5" t="s">
        <v>37</v>
      </c>
      <c r="O390" s="5" t="s">
        <v>38</v>
      </c>
      <c r="P390" s="5" t="s">
        <v>39</v>
      </c>
      <c r="Q390" s="2">
        <v>45967</v>
      </c>
      <c r="R390" s="1" t="s">
        <v>1230</v>
      </c>
      <c r="V390" s="46">
        <f>IF(
  OR(
    ISNUMBER(SEARCH("unable to locate acct", tblDocketedComments[[#This Row],[Docketed Consumer Comments]])),
    ISNUMBER(SEARCH("unknown", tblDocketedComments[[#This Row],[Docketed Consumer Comments]])),
    ISNUMBER(SEARCH("inactive", tblDocketedComments[[#This Row],[Docketed Consumer Comments]]))
  ),
  0,
  1
)</f>
        <v>1</v>
      </c>
    </row>
    <row r="391" spans="1:22">
      <c r="A391" s="2">
        <v>45903</v>
      </c>
      <c r="B391" s="1" t="s">
        <v>1231</v>
      </c>
      <c r="C391" s="1" t="s">
        <v>1232</v>
      </c>
      <c r="D391" s="1" t="s">
        <v>174</v>
      </c>
      <c r="E391" s="1">
        <v>85326</v>
      </c>
      <c r="F391" s="1" t="s">
        <v>310</v>
      </c>
      <c r="G391" s="1" t="s">
        <v>506</v>
      </c>
      <c r="H391" s="4" t="s">
        <v>90</v>
      </c>
      <c r="V391" s="46">
        <f>IF(
  OR(
    ISNUMBER(SEARCH("unable to locate acct", tblDocketedComments[[#This Row],[Docketed Consumer Comments]])),
    ISNUMBER(SEARCH("unknown", tblDocketedComments[[#This Row],[Docketed Consumer Comments]])),
    ISNUMBER(SEARCH("inactive", tblDocketedComments[[#This Row],[Docketed Consumer Comments]]))
  ),
  0,
  1
)</f>
        <v>1</v>
      </c>
    </row>
    <row r="392" spans="1:22">
      <c r="A392" s="2">
        <v>45903</v>
      </c>
      <c r="B392" s="1" t="s">
        <v>1233</v>
      </c>
      <c r="C392" s="1" t="s">
        <v>359</v>
      </c>
      <c r="D392" s="1" t="s">
        <v>169</v>
      </c>
      <c r="E392" s="1">
        <v>85338</v>
      </c>
      <c r="F392" s="1" t="s">
        <v>310</v>
      </c>
      <c r="G392" s="1" t="s">
        <v>506</v>
      </c>
      <c r="H392" s="19" t="s">
        <v>1234</v>
      </c>
      <c r="I392" s="5" t="s">
        <v>196</v>
      </c>
      <c r="J392" s="5" t="s">
        <v>37</v>
      </c>
      <c r="K392" s="5" t="s">
        <v>37</v>
      </c>
      <c r="L392" s="7" t="s">
        <v>1235</v>
      </c>
      <c r="M392" s="5" t="s">
        <v>37</v>
      </c>
      <c r="N392" s="5" t="s">
        <v>37</v>
      </c>
      <c r="O392" s="5" t="s">
        <v>38</v>
      </c>
      <c r="P392" s="2">
        <v>45936</v>
      </c>
      <c r="Q392" s="2">
        <v>45967</v>
      </c>
      <c r="R392" s="1" t="s">
        <v>1236</v>
      </c>
      <c r="V392" s="46">
        <f>IF(
  OR(
    ISNUMBER(SEARCH("unable to locate acct", tblDocketedComments[[#This Row],[Docketed Consumer Comments]])),
    ISNUMBER(SEARCH("unknown", tblDocketedComments[[#This Row],[Docketed Consumer Comments]])),
    ISNUMBER(SEARCH("inactive", tblDocketedComments[[#This Row],[Docketed Consumer Comments]]))
  ),
  0,
  1
)</f>
        <v>1</v>
      </c>
    </row>
    <row r="393" spans="1:22">
      <c r="A393" s="2">
        <v>45903</v>
      </c>
      <c r="B393" s="1" t="s">
        <v>1237</v>
      </c>
      <c r="C393" s="1" t="s">
        <v>1238</v>
      </c>
      <c r="D393" s="1" t="s">
        <v>169</v>
      </c>
      <c r="E393" s="1">
        <v>85338</v>
      </c>
      <c r="F393" s="1" t="s">
        <v>1239</v>
      </c>
      <c r="G393" s="1" t="s">
        <v>506</v>
      </c>
      <c r="H393" s="19" t="s">
        <v>1240</v>
      </c>
      <c r="I393" s="5" t="s">
        <v>243</v>
      </c>
      <c r="J393" s="5" t="s">
        <v>38</v>
      </c>
      <c r="K393" s="5" t="s">
        <v>37</v>
      </c>
      <c r="L393" s="5" t="s">
        <v>389</v>
      </c>
      <c r="M393" s="5" t="s">
        <v>38</v>
      </c>
      <c r="N393" s="15">
        <v>520.65</v>
      </c>
      <c r="O393" s="5" t="s">
        <v>38</v>
      </c>
      <c r="P393" s="7"/>
      <c r="Q393" s="2">
        <v>45967</v>
      </c>
      <c r="R393" s="1" t="s">
        <v>495</v>
      </c>
      <c r="V393" s="46">
        <f>IF(
  OR(
    ISNUMBER(SEARCH("unable to locate acct", tblDocketedComments[[#This Row],[Docketed Consumer Comments]])),
    ISNUMBER(SEARCH("unknown", tblDocketedComments[[#This Row],[Docketed Consumer Comments]])),
    ISNUMBER(SEARCH("inactive", tblDocketedComments[[#This Row],[Docketed Consumer Comments]]))
  ),
  0,
  1
)</f>
        <v>1</v>
      </c>
    </row>
    <row r="394" spans="1:22">
      <c r="A394" s="2">
        <v>45903</v>
      </c>
      <c r="B394" s="1" t="s">
        <v>1241</v>
      </c>
      <c r="C394" s="1" t="s">
        <v>1242</v>
      </c>
      <c r="D394" s="1" t="s">
        <v>169</v>
      </c>
      <c r="E394" s="1">
        <v>85338</v>
      </c>
      <c r="F394" s="1" t="s">
        <v>31</v>
      </c>
      <c r="G394" s="1" t="s">
        <v>506</v>
      </c>
      <c r="H394" s="19" t="s">
        <v>1243</v>
      </c>
      <c r="I394" s="5" t="s">
        <v>196</v>
      </c>
      <c r="J394" s="5" t="s">
        <v>37</v>
      </c>
      <c r="K394" s="5" t="s">
        <v>37</v>
      </c>
      <c r="L394" s="7" t="s">
        <v>1244</v>
      </c>
      <c r="M394" s="5" t="s">
        <v>37</v>
      </c>
      <c r="N394" s="5" t="s">
        <v>37</v>
      </c>
      <c r="O394" s="5" t="s">
        <v>38</v>
      </c>
      <c r="P394" s="2">
        <v>45936</v>
      </c>
      <c r="Q394" s="2">
        <v>45967</v>
      </c>
      <c r="R394" s="1" t="s">
        <v>1245</v>
      </c>
      <c r="V394" s="46">
        <f>IF(
  OR(
    ISNUMBER(SEARCH("unable to locate acct", tblDocketedComments[[#This Row],[Docketed Consumer Comments]])),
    ISNUMBER(SEARCH("unknown", tblDocketedComments[[#This Row],[Docketed Consumer Comments]])),
    ISNUMBER(SEARCH("inactive", tblDocketedComments[[#This Row],[Docketed Consumer Comments]]))
  ),
  0,
  1
)</f>
        <v>1</v>
      </c>
    </row>
    <row r="395" spans="1:22">
      <c r="A395" s="2">
        <v>45903</v>
      </c>
      <c r="B395" s="1" t="s">
        <v>1246</v>
      </c>
      <c r="C395" s="1" t="s">
        <v>768</v>
      </c>
      <c r="D395" s="1" t="s">
        <v>202</v>
      </c>
      <c r="E395" s="1">
        <v>85383</v>
      </c>
      <c r="F395" s="1" t="s">
        <v>310</v>
      </c>
      <c r="G395" s="1" t="s">
        <v>506</v>
      </c>
      <c r="H395" s="4" t="s">
        <v>27</v>
      </c>
      <c r="V395" s="46">
        <f>IF(
  OR(
    ISNUMBER(SEARCH("unable to locate acct", tblDocketedComments[[#This Row],[Docketed Consumer Comments]])),
    ISNUMBER(SEARCH("unknown", tblDocketedComments[[#This Row],[Docketed Consumer Comments]])),
    ISNUMBER(SEARCH("inactive", tblDocketedComments[[#This Row],[Docketed Consumer Comments]]))
  ),
  0,
  1
)</f>
        <v>1</v>
      </c>
    </row>
    <row r="396" spans="1:22">
      <c r="A396" s="2">
        <v>45903</v>
      </c>
      <c r="B396" s="1" t="s">
        <v>1247</v>
      </c>
      <c r="C396" s="1" t="s">
        <v>1248</v>
      </c>
      <c r="D396" s="1" t="s">
        <v>370</v>
      </c>
      <c r="E396" s="1">
        <v>85225</v>
      </c>
      <c r="F396" s="1" t="s">
        <v>310</v>
      </c>
      <c r="G396" s="1" t="s">
        <v>506</v>
      </c>
      <c r="H396" s="19" t="s">
        <v>1249</v>
      </c>
      <c r="I396" s="5" t="s">
        <v>36</v>
      </c>
      <c r="J396" s="5" t="s">
        <v>37</v>
      </c>
      <c r="K396" s="5" t="s">
        <v>37</v>
      </c>
      <c r="L396" s="5" t="s">
        <v>38</v>
      </c>
      <c r="M396" s="5" t="s">
        <v>37</v>
      </c>
      <c r="N396" s="5" t="s">
        <v>37</v>
      </c>
      <c r="O396" s="5" t="s">
        <v>38</v>
      </c>
      <c r="P396" s="5" t="s">
        <v>39</v>
      </c>
      <c r="Q396" s="2">
        <v>45967</v>
      </c>
      <c r="V396" s="46">
        <f>IF(
  OR(
    ISNUMBER(SEARCH("unable to locate acct", tblDocketedComments[[#This Row],[Docketed Consumer Comments]])),
    ISNUMBER(SEARCH("unknown", tblDocketedComments[[#This Row],[Docketed Consumer Comments]])),
    ISNUMBER(SEARCH("inactive", tblDocketedComments[[#This Row],[Docketed Consumer Comments]]))
  ),
  0,
  1
)</f>
        <v>1</v>
      </c>
    </row>
    <row r="397" spans="1:22">
      <c r="A397" s="2">
        <v>45903</v>
      </c>
      <c r="B397" s="1" t="s">
        <v>1250</v>
      </c>
      <c r="C397" s="1" t="s">
        <v>156</v>
      </c>
      <c r="D397" s="1" t="s">
        <v>63</v>
      </c>
      <c r="E397" s="1">
        <v>85032</v>
      </c>
      <c r="F397" s="1" t="s">
        <v>310</v>
      </c>
      <c r="G397" s="1" t="s">
        <v>506</v>
      </c>
      <c r="H397" s="19" t="s">
        <v>1251</v>
      </c>
      <c r="I397" s="5" t="s">
        <v>196</v>
      </c>
      <c r="J397" s="5" t="s">
        <v>37</v>
      </c>
      <c r="K397" s="5" t="s">
        <v>37</v>
      </c>
      <c r="L397" s="7" t="s">
        <v>1252</v>
      </c>
      <c r="M397" s="5" t="s">
        <v>37</v>
      </c>
      <c r="N397" s="5" t="s">
        <v>37</v>
      </c>
      <c r="O397" s="5" t="s">
        <v>38</v>
      </c>
      <c r="P397" s="2">
        <v>45936</v>
      </c>
      <c r="Q397" s="2">
        <v>45967</v>
      </c>
      <c r="R397" s="1" t="s">
        <v>1245</v>
      </c>
      <c r="V397" s="46">
        <f>IF(
  OR(
    ISNUMBER(SEARCH("unable to locate acct", tblDocketedComments[[#This Row],[Docketed Consumer Comments]])),
    ISNUMBER(SEARCH("unknown", tblDocketedComments[[#This Row],[Docketed Consumer Comments]])),
    ISNUMBER(SEARCH("inactive", tblDocketedComments[[#This Row],[Docketed Consumer Comments]]))
  ),
  0,
  1
)</f>
        <v>1</v>
      </c>
    </row>
    <row r="398" spans="1:22">
      <c r="A398" s="2">
        <v>45903</v>
      </c>
      <c r="B398" s="1" t="s">
        <v>134</v>
      </c>
      <c r="C398" s="1" t="s">
        <v>456</v>
      </c>
      <c r="D398" s="1" t="s">
        <v>24</v>
      </c>
      <c r="E398" s="1">
        <v>85306</v>
      </c>
      <c r="F398" s="1" t="s">
        <v>310</v>
      </c>
      <c r="G398" s="1" t="s">
        <v>506</v>
      </c>
      <c r="H398" s="19" t="s">
        <v>1253</v>
      </c>
      <c r="I398" s="5" t="s">
        <v>196</v>
      </c>
      <c r="J398" s="5" t="s">
        <v>37</v>
      </c>
      <c r="K398" s="5" t="s">
        <v>37</v>
      </c>
      <c r="L398" s="5" t="s">
        <v>1254</v>
      </c>
      <c r="M398" s="5" t="s">
        <v>37</v>
      </c>
      <c r="N398" s="5" t="s">
        <v>37</v>
      </c>
      <c r="O398" s="5" t="s">
        <v>38</v>
      </c>
      <c r="P398" s="5" t="s">
        <v>39</v>
      </c>
      <c r="Q398" s="2">
        <v>45967</v>
      </c>
      <c r="V398" s="46">
        <f>IF(
  OR(
    ISNUMBER(SEARCH("unable to locate acct", tblDocketedComments[[#This Row],[Docketed Consumer Comments]])),
    ISNUMBER(SEARCH("unknown", tblDocketedComments[[#This Row],[Docketed Consumer Comments]])),
    ISNUMBER(SEARCH("inactive", tblDocketedComments[[#This Row],[Docketed Consumer Comments]]))
  ),
  0,
  1
)</f>
        <v>1</v>
      </c>
    </row>
    <row r="399" spans="1:22">
      <c r="A399" s="2">
        <v>45903</v>
      </c>
      <c r="B399" s="1" t="s">
        <v>1255</v>
      </c>
      <c r="C399" s="1" t="s">
        <v>1092</v>
      </c>
      <c r="D399" s="1" t="s">
        <v>169</v>
      </c>
      <c r="E399" s="1">
        <v>85338</v>
      </c>
      <c r="F399" s="1" t="s">
        <v>761</v>
      </c>
      <c r="G399" s="1" t="s">
        <v>506</v>
      </c>
      <c r="H399" s="19" t="s">
        <v>1256</v>
      </c>
      <c r="I399" s="5" t="s">
        <v>196</v>
      </c>
      <c r="J399" s="5" t="s">
        <v>37</v>
      </c>
      <c r="K399" s="5" t="s">
        <v>37</v>
      </c>
      <c r="L399" s="5" t="s">
        <v>1257</v>
      </c>
      <c r="M399" s="5" t="s">
        <v>37</v>
      </c>
      <c r="N399" s="5" t="s">
        <v>37</v>
      </c>
      <c r="O399" s="5" t="s">
        <v>38</v>
      </c>
      <c r="P399" s="5" t="s">
        <v>39</v>
      </c>
      <c r="Q399" s="2">
        <v>45967</v>
      </c>
      <c r="V399" s="46">
        <f>IF(
  OR(
    ISNUMBER(SEARCH("unable to locate acct", tblDocketedComments[[#This Row],[Docketed Consumer Comments]])),
    ISNUMBER(SEARCH("unknown", tblDocketedComments[[#This Row],[Docketed Consumer Comments]])),
    ISNUMBER(SEARCH("inactive", tblDocketedComments[[#This Row],[Docketed Consumer Comments]]))
  ),
  0,
  1
)</f>
        <v>1</v>
      </c>
    </row>
    <row r="400" spans="1:22">
      <c r="A400" s="2">
        <v>45903</v>
      </c>
      <c r="B400" s="1" t="s">
        <v>1258</v>
      </c>
      <c r="C400" s="1" t="s">
        <v>1259</v>
      </c>
      <c r="D400" s="1" t="s">
        <v>136</v>
      </c>
      <c r="E400" s="1">
        <v>85377</v>
      </c>
      <c r="F400" s="1" t="s">
        <v>1260</v>
      </c>
      <c r="G400" s="1" t="s">
        <v>506</v>
      </c>
      <c r="H400" s="19" t="s">
        <v>1261</v>
      </c>
      <c r="I400" s="5" t="s">
        <v>36</v>
      </c>
      <c r="J400" s="5" t="s">
        <v>37</v>
      </c>
      <c r="K400" s="5" t="s">
        <v>37</v>
      </c>
      <c r="L400" s="5" t="s">
        <v>38</v>
      </c>
      <c r="M400" s="5" t="s">
        <v>37</v>
      </c>
      <c r="N400" s="5" t="s">
        <v>37</v>
      </c>
      <c r="O400" s="5" t="s">
        <v>38</v>
      </c>
      <c r="P400" s="5" t="s">
        <v>39</v>
      </c>
      <c r="Q400" s="2">
        <v>45967</v>
      </c>
      <c r="R400" s="1" t="s">
        <v>1262</v>
      </c>
      <c r="V400" s="46">
        <f>IF(
  OR(
    ISNUMBER(SEARCH("unable to locate acct", tblDocketedComments[[#This Row],[Docketed Consumer Comments]])),
    ISNUMBER(SEARCH("unknown", tblDocketedComments[[#This Row],[Docketed Consumer Comments]])),
    ISNUMBER(SEARCH("inactive", tblDocketedComments[[#This Row],[Docketed Consumer Comments]]))
  ),
  0,
  1
)</f>
        <v>1</v>
      </c>
    </row>
    <row r="401" spans="1:22">
      <c r="A401" s="2">
        <v>45903</v>
      </c>
      <c r="B401" s="1" t="s">
        <v>1263</v>
      </c>
      <c r="C401" s="1" t="s">
        <v>333</v>
      </c>
      <c r="D401" s="1" t="s">
        <v>635</v>
      </c>
      <c r="E401" s="1">
        <v>85281</v>
      </c>
      <c r="F401" s="1" t="s">
        <v>31</v>
      </c>
      <c r="G401" s="1" t="s">
        <v>506</v>
      </c>
      <c r="H401" s="4" t="s">
        <v>27</v>
      </c>
      <c r="V401" s="46">
        <f>IF(
  OR(
    ISNUMBER(SEARCH("unable to locate acct", tblDocketedComments[[#This Row],[Docketed Consumer Comments]])),
    ISNUMBER(SEARCH("unknown", tblDocketedComments[[#This Row],[Docketed Consumer Comments]])),
    ISNUMBER(SEARCH("inactive", tblDocketedComments[[#This Row],[Docketed Consumer Comments]]))
  ),
  0,
  1
)</f>
        <v>1</v>
      </c>
    </row>
    <row r="402" spans="1:22">
      <c r="A402" s="2">
        <v>45903</v>
      </c>
      <c r="B402" s="1" t="s">
        <v>1264</v>
      </c>
      <c r="C402" s="1" t="s">
        <v>1265</v>
      </c>
      <c r="D402" s="1" t="s">
        <v>202</v>
      </c>
      <c r="E402" s="1">
        <v>85383</v>
      </c>
      <c r="F402" s="1" t="s">
        <v>31</v>
      </c>
      <c r="G402" s="1" t="s">
        <v>506</v>
      </c>
      <c r="H402" s="4" t="s">
        <v>27</v>
      </c>
      <c r="V402" s="46">
        <f>IF(
  OR(
    ISNUMBER(SEARCH("unable to locate acct", tblDocketedComments[[#This Row],[Docketed Consumer Comments]])),
    ISNUMBER(SEARCH("unknown", tblDocketedComments[[#This Row],[Docketed Consumer Comments]])),
    ISNUMBER(SEARCH("inactive", tblDocketedComments[[#This Row],[Docketed Consumer Comments]]))
  ),
  0,
  1
)</f>
        <v>1</v>
      </c>
    </row>
    <row r="403" spans="1:22">
      <c r="A403" s="2">
        <v>45903</v>
      </c>
      <c r="B403" s="1" t="s">
        <v>1266</v>
      </c>
      <c r="C403" s="1" t="s">
        <v>1267</v>
      </c>
      <c r="D403" s="1" t="s">
        <v>63</v>
      </c>
      <c r="E403" s="1">
        <v>85007</v>
      </c>
      <c r="F403" s="1" t="s">
        <v>310</v>
      </c>
      <c r="G403" s="1" t="s">
        <v>506</v>
      </c>
      <c r="H403" s="4" t="s">
        <v>90</v>
      </c>
      <c r="V403" s="46">
        <f>IF(
  OR(
    ISNUMBER(SEARCH("unable to locate acct", tblDocketedComments[[#This Row],[Docketed Consumer Comments]])),
    ISNUMBER(SEARCH("unknown", tblDocketedComments[[#This Row],[Docketed Consumer Comments]])),
    ISNUMBER(SEARCH("inactive", tblDocketedComments[[#This Row],[Docketed Consumer Comments]]))
  ),
  0,
  1
)</f>
        <v>1</v>
      </c>
    </row>
    <row r="404" spans="1:22">
      <c r="A404" s="2">
        <v>45903</v>
      </c>
      <c r="B404" s="1" t="s">
        <v>1185</v>
      </c>
      <c r="C404" s="1" t="s">
        <v>1268</v>
      </c>
      <c r="D404" s="1" t="s">
        <v>169</v>
      </c>
      <c r="E404" s="1">
        <v>85338</v>
      </c>
      <c r="F404" s="1" t="s">
        <v>1269</v>
      </c>
      <c r="G404" s="1" t="s">
        <v>506</v>
      </c>
      <c r="H404" s="19" t="s">
        <v>1270</v>
      </c>
      <c r="I404" s="5" t="s">
        <v>418</v>
      </c>
      <c r="J404" s="5" t="s">
        <v>37</v>
      </c>
      <c r="K404" s="5" t="s">
        <v>37</v>
      </c>
      <c r="L404" s="5" t="s">
        <v>389</v>
      </c>
      <c r="M404" s="5" t="s">
        <v>37</v>
      </c>
      <c r="N404" s="5" t="s">
        <v>37</v>
      </c>
      <c r="O404" s="5" t="s">
        <v>38</v>
      </c>
      <c r="P404" s="5" t="s">
        <v>39</v>
      </c>
      <c r="Q404" s="2">
        <v>45967</v>
      </c>
      <c r="V404" s="46">
        <f>IF(
  OR(
    ISNUMBER(SEARCH("unable to locate acct", tblDocketedComments[[#This Row],[Docketed Consumer Comments]])),
    ISNUMBER(SEARCH("unknown", tblDocketedComments[[#This Row],[Docketed Consumer Comments]])),
    ISNUMBER(SEARCH("inactive", tblDocketedComments[[#This Row],[Docketed Consumer Comments]]))
  ),
  0,
  1
)</f>
        <v>1</v>
      </c>
    </row>
    <row r="405" spans="1:22">
      <c r="A405" s="2">
        <v>45903</v>
      </c>
      <c r="B405" s="1" t="s">
        <v>1271</v>
      </c>
      <c r="C405" s="1" t="s">
        <v>75</v>
      </c>
      <c r="D405" s="1" t="s">
        <v>169</v>
      </c>
      <c r="E405" s="1">
        <v>85338</v>
      </c>
      <c r="F405" s="1" t="s">
        <v>1272</v>
      </c>
      <c r="G405" s="1" t="s">
        <v>506</v>
      </c>
      <c r="H405" s="19" t="s">
        <v>1273</v>
      </c>
      <c r="I405" s="5" t="s">
        <v>36</v>
      </c>
      <c r="J405" s="5" t="s">
        <v>37</v>
      </c>
      <c r="K405" s="5" t="s">
        <v>37</v>
      </c>
      <c r="L405" s="5" t="s">
        <v>38</v>
      </c>
      <c r="M405" s="5" t="s">
        <v>37</v>
      </c>
      <c r="N405" s="5" t="s">
        <v>37</v>
      </c>
      <c r="O405" s="5" t="s">
        <v>38</v>
      </c>
      <c r="P405" s="5" t="s">
        <v>39</v>
      </c>
      <c r="Q405" s="2">
        <v>45967</v>
      </c>
      <c r="V405" s="46">
        <f>IF(
  OR(
    ISNUMBER(SEARCH("unable to locate acct", tblDocketedComments[[#This Row],[Docketed Consumer Comments]])),
    ISNUMBER(SEARCH("unknown", tblDocketedComments[[#This Row],[Docketed Consumer Comments]])),
    ISNUMBER(SEARCH("inactive", tblDocketedComments[[#This Row],[Docketed Consumer Comments]]))
  ),
  0,
  1
)</f>
        <v>1</v>
      </c>
    </row>
    <row r="406" spans="1:22">
      <c r="A406" s="2">
        <v>45903</v>
      </c>
      <c r="B406" s="1" t="s">
        <v>1274</v>
      </c>
      <c r="C406" s="1" t="s">
        <v>1275</v>
      </c>
      <c r="D406" s="1" t="s">
        <v>125</v>
      </c>
      <c r="E406" s="1">
        <v>85260</v>
      </c>
      <c r="F406" s="1" t="s">
        <v>310</v>
      </c>
      <c r="G406" s="1" t="s">
        <v>506</v>
      </c>
      <c r="H406" s="19" t="s">
        <v>1276</v>
      </c>
      <c r="I406" s="5" t="s">
        <v>36</v>
      </c>
      <c r="J406" s="5" t="s">
        <v>37</v>
      </c>
      <c r="K406" s="5" t="s">
        <v>37</v>
      </c>
      <c r="L406" s="5" t="s">
        <v>38</v>
      </c>
      <c r="M406" s="5" t="s">
        <v>37</v>
      </c>
      <c r="N406" s="5" t="s">
        <v>37</v>
      </c>
      <c r="O406" s="5" t="s">
        <v>38</v>
      </c>
      <c r="P406" s="5" t="s">
        <v>39</v>
      </c>
      <c r="Q406" s="2">
        <v>45967</v>
      </c>
      <c r="V406" s="46">
        <f>IF(
  OR(
    ISNUMBER(SEARCH("unable to locate acct", tblDocketedComments[[#This Row],[Docketed Consumer Comments]])),
    ISNUMBER(SEARCH("unknown", tblDocketedComments[[#This Row],[Docketed Consumer Comments]])),
    ISNUMBER(SEARCH("inactive", tblDocketedComments[[#This Row],[Docketed Consumer Comments]]))
  ),
  0,
  1
)</f>
        <v>1</v>
      </c>
    </row>
    <row r="407" spans="1:22">
      <c r="A407" s="2">
        <v>45903</v>
      </c>
      <c r="B407" s="1" t="s">
        <v>1277</v>
      </c>
      <c r="C407" s="1" t="s">
        <v>1278</v>
      </c>
      <c r="D407" s="1" t="s">
        <v>523</v>
      </c>
      <c r="E407" s="1">
        <v>85392</v>
      </c>
      <c r="F407" s="1" t="s">
        <v>1279</v>
      </c>
      <c r="G407" s="1" t="s">
        <v>506</v>
      </c>
      <c r="H407" s="4" t="s">
        <v>27</v>
      </c>
      <c r="V407" s="46">
        <f>IF(
  OR(
    ISNUMBER(SEARCH("unable to locate acct", tblDocketedComments[[#This Row],[Docketed Consumer Comments]])),
    ISNUMBER(SEARCH("unknown", tblDocketedComments[[#This Row],[Docketed Consumer Comments]])),
    ISNUMBER(SEARCH("inactive", tblDocketedComments[[#This Row],[Docketed Consumer Comments]]))
  ),
  0,
  1
)</f>
        <v>1</v>
      </c>
    </row>
    <row r="408" spans="1:22">
      <c r="A408" s="2">
        <v>45903</v>
      </c>
      <c r="B408" s="1" t="s">
        <v>1280</v>
      </c>
      <c r="C408" s="1" t="s">
        <v>911</v>
      </c>
      <c r="D408" s="1" t="s">
        <v>112</v>
      </c>
      <c r="E408" s="1">
        <v>85374</v>
      </c>
      <c r="F408" s="1" t="s">
        <v>31</v>
      </c>
      <c r="G408" s="1" t="s">
        <v>506</v>
      </c>
      <c r="H408" s="19" t="s">
        <v>1281</v>
      </c>
      <c r="I408" s="5" t="s">
        <v>36</v>
      </c>
      <c r="J408" s="5" t="s">
        <v>37</v>
      </c>
      <c r="K408" s="5" t="s">
        <v>37</v>
      </c>
      <c r="L408" s="5" t="s">
        <v>38</v>
      </c>
      <c r="M408" s="5" t="s">
        <v>37</v>
      </c>
      <c r="N408" s="5" t="s">
        <v>37</v>
      </c>
      <c r="O408" s="5" t="s">
        <v>38</v>
      </c>
      <c r="P408" s="5" t="s">
        <v>39</v>
      </c>
      <c r="Q408" s="2">
        <v>45967</v>
      </c>
      <c r="V408" s="46">
        <f>IF(
  OR(
    ISNUMBER(SEARCH("unable to locate acct", tblDocketedComments[[#This Row],[Docketed Consumer Comments]])),
    ISNUMBER(SEARCH("unknown", tblDocketedComments[[#This Row],[Docketed Consumer Comments]])),
    ISNUMBER(SEARCH("inactive", tblDocketedComments[[#This Row],[Docketed Consumer Comments]]))
  ),
  0,
  1
)</f>
        <v>1</v>
      </c>
    </row>
    <row r="409" spans="1:22">
      <c r="A409" s="2">
        <v>45903</v>
      </c>
      <c r="B409" s="1" t="s">
        <v>1282</v>
      </c>
      <c r="C409" s="1" t="s">
        <v>471</v>
      </c>
      <c r="D409" s="1" t="s">
        <v>619</v>
      </c>
      <c r="E409" s="1">
        <v>85365</v>
      </c>
      <c r="F409" s="1" t="s">
        <v>1283</v>
      </c>
      <c r="G409" s="1" t="s">
        <v>506</v>
      </c>
      <c r="H409" s="19" t="s">
        <v>1284</v>
      </c>
      <c r="I409" s="5" t="s">
        <v>36</v>
      </c>
      <c r="J409" s="5" t="s">
        <v>37</v>
      </c>
      <c r="K409" s="5" t="s">
        <v>37</v>
      </c>
      <c r="L409" s="5" t="s">
        <v>38</v>
      </c>
      <c r="M409" s="5" t="s">
        <v>37</v>
      </c>
      <c r="N409" s="5" t="s">
        <v>37</v>
      </c>
      <c r="O409" s="5" t="s">
        <v>38</v>
      </c>
      <c r="P409" s="5" t="s">
        <v>39</v>
      </c>
      <c r="Q409" s="2">
        <v>45967</v>
      </c>
      <c r="V409" s="46">
        <f>IF(
  OR(
    ISNUMBER(SEARCH("unable to locate acct", tblDocketedComments[[#This Row],[Docketed Consumer Comments]])),
    ISNUMBER(SEARCH("unknown", tblDocketedComments[[#This Row],[Docketed Consumer Comments]])),
    ISNUMBER(SEARCH("inactive", tblDocketedComments[[#This Row],[Docketed Consumer Comments]]))
  ),
  0,
  1
)</f>
        <v>1</v>
      </c>
    </row>
    <row r="410" spans="1:22">
      <c r="A410" s="2">
        <v>45903</v>
      </c>
      <c r="B410" s="1" t="s">
        <v>1285</v>
      </c>
      <c r="C410" s="1" t="s">
        <v>597</v>
      </c>
      <c r="D410" s="1" t="s">
        <v>523</v>
      </c>
      <c r="E410" s="1">
        <v>85323</v>
      </c>
      <c r="F410" s="1" t="s">
        <v>1286</v>
      </c>
      <c r="G410" s="1" t="s">
        <v>506</v>
      </c>
      <c r="H410" s="19" t="s">
        <v>1287</v>
      </c>
      <c r="I410" s="5" t="s">
        <v>196</v>
      </c>
      <c r="J410" s="5" t="s">
        <v>37</v>
      </c>
      <c r="K410" s="5" t="s">
        <v>37</v>
      </c>
      <c r="L410" s="5" t="s">
        <v>38</v>
      </c>
      <c r="M410" s="5" t="s">
        <v>37</v>
      </c>
      <c r="N410" s="5" t="s">
        <v>37</v>
      </c>
      <c r="O410" s="5" t="s">
        <v>38</v>
      </c>
      <c r="P410" s="5" t="s">
        <v>39</v>
      </c>
      <c r="Q410" s="2">
        <v>45967</v>
      </c>
      <c r="V410" s="46">
        <f>IF(
  OR(
    ISNUMBER(SEARCH("unable to locate acct", tblDocketedComments[[#This Row],[Docketed Consumer Comments]])),
    ISNUMBER(SEARCH("unknown", tblDocketedComments[[#This Row],[Docketed Consumer Comments]])),
    ISNUMBER(SEARCH("inactive", tblDocketedComments[[#This Row],[Docketed Consumer Comments]]))
  ),
  0,
  1
)</f>
        <v>1</v>
      </c>
    </row>
    <row r="411" spans="1:22">
      <c r="A411" s="2">
        <v>45903</v>
      </c>
      <c r="B411" s="1" t="s">
        <v>1288</v>
      </c>
      <c r="C411" s="1" t="s">
        <v>1289</v>
      </c>
      <c r="D411" s="1" t="s">
        <v>63</v>
      </c>
      <c r="E411" s="1">
        <v>85022</v>
      </c>
      <c r="F411" s="1" t="s">
        <v>31</v>
      </c>
      <c r="G411" s="1" t="s">
        <v>506</v>
      </c>
      <c r="H411" s="4" t="s">
        <v>27</v>
      </c>
      <c r="V411" s="46">
        <f>IF(
  OR(
    ISNUMBER(SEARCH("unable to locate acct", tblDocketedComments[[#This Row],[Docketed Consumer Comments]])),
    ISNUMBER(SEARCH("unknown", tblDocketedComments[[#This Row],[Docketed Consumer Comments]])),
    ISNUMBER(SEARCH("inactive", tblDocketedComments[[#This Row],[Docketed Consumer Comments]]))
  ),
  0,
  1
)</f>
        <v>1</v>
      </c>
    </row>
    <row r="412" spans="1:22">
      <c r="A412" s="2">
        <v>45903</v>
      </c>
      <c r="B412" s="1" t="s">
        <v>1290</v>
      </c>
      <c r="C412" s="1" t="s">
        <v>312</v>
      </c>
      <c r="D412" s="1" t="s">
        <v>169</v>
      </c>
      <c r="E412" s="1">
        <v>85338</v>
      </c>
      <c r="F412" s="1" t="s">
        <v>31</v>
      </c>
      <c r="G412" s="1" t="s">
        <v>506</v>
      </c>
      <c r="H412" s="19" t="s">
        <v>1291</v>
      </c>
      <c r="I412" s="5" t="s">
        <v>250</v>
      </c>
      <c r="J412" s="5" t="s">
        <v>37</v>
      </c>
      <c r="K412" s="5" t="s">
        <v>37</v>
      </c>
      <c r="L412" s="5" t="s">
        <v>38</v>
      </c>
      <c r="M412" s="5" t="s">
        <v>37</v>
      </c>
      <c r="N412" s="5" t="s">
        <v>37</v>
      </c>
      <c r="O412" s="5" t="s">
        <v>38</v>
      </c>
      <c r="P412" s="5" t="s">
        <v>39</v>
      </c>
      <c r="Q412" s="2">
        <v>45967</v>
      </c>
      <c r="V412" s="46">
        <f>IF(
  OR(
    ISNUMBER(SEARCH("unable to locate acct", tblDocketedComments[[#This Row],[Docketed Consumer Comments]])),
    ISNUMBER(SEARCH("unknown", tblDocketedComments[[#This Row],[Docketed Consumer Comments]])),
    ISNUMBER(SEARCH("inactive", tblDocketedComments[[#This Row],[Docketed Consumer Comments]]))
  ),
  0,
  1
)</f>
        <v>1</v>
      </c>
    </row>
    <row r="413" spans="1:22">
      <c r="A413" s="2">
        <v>45903</v>
      </c>
      <c r="B413" s="1" t="s">
        <v>1292</v>
      </c>
      <c r="C413" s="1" t="s">
        <v>1293</v>
      </c>
      <c r="D413" s="1" t="s">
        <v>63</v>
      </c>
      <c r="E413" s="1">
        <v>85085</v>
      </c>
      <c r="F413" s="1" t="s">
        <v>310</v>
      </c>
      <c r="G413" s="1" t="s">
        <v>506</v>
      </c>
      <c r="H413" s="19" t="s">
        <v>1294</v>
      </c>
      <c r="I413" s="5" t="s">
        <v>196</v>
      </c>
      <c r="J413" s="5" t="s">
        <v>37</v>
      </c>
      <c r="K413" s="5" t="s">
        <v>37</v>
      </c>
      <c r="L413" s="7" t="s">
        <v>1295</v>
      </c>
      <c r="M413" s="5" t="s">
        <v>37</v>
      </c>
      <c r="N413" s="5" t="s">
        <v>37</v>
      </c>
      <c r="O413" s="5" t="s">
        <v>38</v>
      </c>
      <c r="P413" s="2">
        <v>45936</v>
      </c>
      <c r="Q413" s="2">
        <v>45967</v>
      </c>
      <c r="R413" s="1" t="s">
        <v>1296</v>
      </c>
      <c r="V413" s="46">
        <f>IF(
  OR(
    ISNUMBER(SEARCH("unable to locate acct", tblDocketedComments[[#This Row],[Docketed Consumer Comments]])),
    ISNUMBER(SEARCH("unknown", tblDocketedComments[[#This Row],[Docketed Consumer Comments]])),
    ISNUMBER(SEARCH("inactive", tblDocketedComments[[#This Row],[Docketed Consumer Comments]]))
  ),
  0,
  1
)</f>
        <v>1</v>
      </c>
    </row>
    <row r="414" spans="1:22">
      <c r="A414" s="2">
        <v>45903</v>
      </c>
      <c r="B414" s="1" t="s">
        <v>1297</v>
      </c>
      <c r="C414" s="1" t="s">
        <v>1298</v>
      </c>
      <c r="D414" s="1" t="s">
        <v>1299</v>
      </c>
      <c r="E414" s="1">
        <v>85349</v>
      </c>
      <c r="F414" s="1" t="s">
        <v>31</v>
      </c>
      <c r="G414" s="1" t="s">
        <v>506</v>
      </c>
      <c r="H414" s="4" t="s">
        <v>27</v>
      </c>
      <c r="V414" s="46">
        <f>IF(
  OR(
    ISNUMBER(SEARCH("unable to locate acct", tblDocketedComments[[#This Row],[Docketed Consumer Comments]])),
    ISNUMBER(SEARCH("unknown", tblDocketedComments[[#This Row],[Docketed Consumer Comments]])),
    ISNUMBER(SEARCH("inactive", tblDocketedComments[[#This Row],[Docketed Consumer Comments]]))
  ),
  0,
  1
)</f>
        <v>1</v>
      </c>
    </row>
    <row r="415" spans="1:22">
      <c r="A415" s="2">
        <v>45903</v>
      </c>
      <c r="B415" s="1" t="s">
        <v>1300</v>
      </c>
      <c r="C415" s="1" t="s">
        <v>1301</v>
      </c>
      <c r="D415" s="1" t="s">
        <v>1302</v>
      </c>
      <c r="E415" s="1">
        <v>85390</v>
      </c>
      <c r="F415" s="1" t="s">
        <v>31</v>
      </c>
      <c r="G415" s="1" t="s">
        <v>506</v>
      </c>
      <c r="H415" s="19" t="s">
        <v>1303</v>
      </c>
      <c r="I415" s="5" t="s">
        <v>196</v>
      </c>
      <c r="J415" s="5" t="s">
        <v>37</v>
      </c>
      <c r="K415" s="5" t="s">
        <v>37</v>
      </c>
      <c r="L415" s="5" t="s">
        <v>38</v>
      </c>
      <c r="M415" s="5" t="s">
        <v>37</v>
      </c>
      <c r="N415" s="5" t="s">
        <v>37</v>
      </c>
      <c r="O415" s="5" t="s">
        <v>38</v>
      </c>
      <c r="P415" s="5" t="s">
        <v>39</v>
      </c>
      <c r="Q415" s="2">
        <v>45967</v>
      </c>
      <c r="R415" s="1" t="s">
        <v>495</v>
      </c>
      <c r="V415" s="46">
        <f>IF(
  OR(
    ISNUMBER(SEARCH("unable to locate acct", tblDocketedComments[[#This Row],[Docketed Consumer Comments]])),
    ISNUMBER(SEARCH("unknown", tblDocketedComments[[#This Row],[Docketed Consumer Comments]])),
    ISNUMBER(SEARCH("inactive", tblDocketedComments[[#This Row],[Docketed Consumer Comments]]))
  ),
  0,
  1
)</f>
        <v>1</v>
      </c>
    </row>
    <row r="416" spans="1:22">
      <c r="A416" s="2">
        <v>45903</v>
      </c>
      <c r="B416" s="1" t="s">
        <v>1304</v>
      </c>
      <c r="C416" s="1" t="s">
        <v>481</v>
      </c>
      <c r="D416" s="1" t="s">
        <v>169</v>
      </c>
      <c r="E416" s="1">
        <v>85338</v>
      </c>
      <c r="F416" s="1" t="s">
        <v>1167</v>
      </c>
      <c r="G416" s="1" t="s">
        <v>506</v>
      </c>
      <c r="H416" s="4" t="s">
        <v>27</v>
      </c>
      <c r="V416" s="46">
        <f>IF(
  OR(
    ISNUMBER(SEARCH("unable to locate acct", tblDocketedComments[[#This Row],[Docketed Consumer Comments]])),
    ISNUMBER(SEARCH("unknown", tblDocketedComments[[#This Row],[Docketed Consumer Comments]])),
    ISNUMBER(SEARCH("inactive", tblDocketedComments[[#This Row],[Docketed Consumer Comments]]))
  ),
  0,
  1
)</f>
        <v>1</v>
      </c>
    </row>
    <row r="417" spans="1:22">
      <c r="A417" s="2">
        <v>45903</v>
      </c>
      <c r="B417" s="1" t="s">
        <v>1305</v>
      </c>
      <c r="C417" s="1" t="s">
        <v>1306</v>
      </c>
      <c r="D417" s="1" t="s">
        <v>428</v>
      </c>
      <c r="E417" s="1">
        <v>85335</v>
      </c>
      <c r="F417" s="1" t="s">
        <v>31</v>
      </c>
      <c r="G417" s="1" t="s">
        <v>506</v>
      </c>
      <c r="H417" s="19" t="s">
        <v>1307</v>
      </c>
      <c r="I417" s="5" t="s">
        <v>36</v>
      </c>
      <c r="J417" s="5" t="s">
        <v>37</v>
      </c>
      <c r="K417" s="5" t="s">
        <v>37</v>
      </c>
      <c r="L417" s="5" t="s">
        <v>38</v>
      </c>
      <c r="M417" s="5" t="s">
        <v>38</v>
      </c>
      <c r="N417" s="15">
        <v>1191.03</v>
      </c>
      <c r="O417" s="5" t="s">
        <v>38</v>
      </c>
      <c r="P417" s="7"/>
      <c r="Q417" s="2">
        <v>45967</v>
      </c>
      <c r="R417" s="1" t="s">
        <v>495</v>
      </c>
      <c r="U417" s="1" t="s">
        <v>1308</v>
      </c>
      <c r="V417" s="46">
        <f>IF(
  OR(
    ISNUMBER(SEARCH("unable to locate acct", tblDocketedComments[[#This Row],[Docketed Consumer Comments]])),
    ISNUMBER(SEARCH("unknown", tblDocketedComments[[#This Row],[Docketed Consumer Comments]])),
    ISNUMBER(SEARCH("inactive", tblDocketedComments[[#This Row],[Docketed Consumer Comments]]))
  ),
  0,
  1
)</f>
        <v>1</v>
      </c>
    </row>
    <row r="418" spans="1:22">
      <c r="A418" s="2">
        <v>45903</v>
      </c>
      <c r="B418" s="1" t="s">
        <v>1309</v>
      </c>
      <c r="C418" s="1" t="s">
        <v>1310</v>
      </c>
      <c r="D418" s="1" t="s">
        <v>63</v>
      </c>
      <c r="E418" s="1">
        <v>85015</v>
      </c>
      <c r="F418" s="1" t="s">
        <v>31</v>
      </c>
      <c r="G418" s="1" t="s">
        <v>506</v>
      </c>
      <c r="H418" s="4" t="s">
        <v>27</v>
      </c>
      <c r="V418" s="46">
        <f>IF(
  OR(
    ISNUMBER(SEARCH("unable to locate acct", tblDocketedComments[[#This Row],[Docketed Consumer Comments]])),
    ISNUMBER(SEARCH("unknown", tblDocketedComments[[#This Row],[Docketed Consumer Comments]])),
    ISNUMBER(SEARCH("inactive", tblDocketedComments[[#This Row],[Docketed Consumer Comments]]))
  ),
  0,
  1
)</f>
        <v>1</v>
      </c>
    </row>
    <row r="419" spans="1:22">
      <c r="A419" s="2">
        <v>45903</v>
      </c>
      <c r="B419" s="1" t="s">
        <v>528</v>
      </c>
      <c r="C419" s="1" t="s">
        <v>1311</v>
      </c>
      <c r="D419" s="1" t="s">
        <v>63</v>
      </c>
      <c r="E419" s="1">
        <v>85014</v>
      </c>
      <c r="F419" s="1" t="s">
        <v>310</v>
      </c>
      <c r="G419" s="1" t="s">
        <v>506</v>
      </c>
      <c r="H419" s="19" t="s">
        <v>1312</v>
      </c>
      <c r="I419" s="5" t="s">
        <v>57</v>
      </c>
      <c r="J419" s="5" t="s">
        <v>37</v>
      </c>
      <c r="K419" s="5" t="s">
        <v>37</v>
      </c>
      <c r="L419" s="5" t="s">
        <v>1313</v>
      </c>
      <c r="M419" s="5" t="s">
        <v>37</v>
      </c>
      <c r="N419" s="5" t="s">
        <v>37</v>
      </c>
      <c r="O419" s="5" t="s">
        <v>38</v>
      </c>
      <c r="P419" s="5" t="s">
        <v>39</v>
      </c>
      <c r="Q419" s="2">
        <v>45967</v>
      </c>
      <c r="V419" s="46">
        <f>IF(
  OR(
    ISNUMBER(SEARCH("unable to locate acct", tblDocketedComments[[#This Row],[Docketed Consumer Comments]])),
    ISNUMBER(SEARCH("unknown", tblDocketedComments[[#This Row],[Docketed Consumer Comments]])),
    ISNUMBER(SEARCH("inactive", tblDocketedComments[[#This Row],[Docketed Consumer Comments]]))
  ),
  0,
  1
)</f>
        <v>1</v>
      </c>
    </row>
    <row r="420" spans="1:22">
      <c r="A420" s="2">
        <v>45903</v>
      </c>
      <c r="B420" s="1" t="s">
        <v>1314</v>
      </c>
      <c r="C420" s="1" t="s">
        <v>225</v>
      </c>
      <c r="D420" s="1" t="s">
        <v>169</v>
      </c>
      <c r="E420" s="1">
        <v>85395</v>
      </c>
      <c r="F420" s="1" t="s">
        <v>1315</v>
      </c>
      <c r="G420" s="1" t="s">
        <v>506</v>
      </c>
      <c r="H420" s="19" t="s">
        <v>1316</v>
      </c>
      <c r="I420" s="5" t="s">
        <v>73</v>
      </c>
      <c r="J420" s="5" t="s">
        <v>37</v>
      </c>
      <c r="K420" s="5" t="s">
        <v>37</v>
      </c>
      <c r="L420" s="5" t="s">
        <v>38</v>
      </c>
      <c r="M420" s="5" t="s">
        <v>37</v>
      </c>
      <c r="N420" s="5" t="s">
        <v>37</v>
      </c>
      <c r="O420" s="5" t="s">
        <v>38</v>
      </c>
      <c r="P420" s="5" t="s">
        <v>39</v>
      </c>
      <c r="Q420" s="2">
        <v>45967</v>
      </c>
      <c r="V420" s="46">
        <f>IF(
  OR(
    ISNUMBER(SEARCH("unable to locate acct", tblDocketedComments[[#This Row],[Docketed Consumer Comments]])),
    ISNUMBER(SEARCH("unknown", tblDocketedComments[[#This Row],[Docketed Consumer Comments]])),
    ISNUMBER(SEARCH("inactive", tblDocketedComments[[#This Row],[Docketed Consumer Comments]]))
  ),
  0,
  1
)</f>
        <v>1</v>
      </c>
    </row>
    <row r="421" spans="1:22">
      <c r="A421" s="2">
        <v>45903</v>
      </c>
      <c r="B421" s="1" t="s">
        <v>1317</v>
      </c>
      <c r="C421" s="1" t="s">
        <v>548</v>
      </c>
      <c r="D421" s="1" t="s">
        <v>112</v>
      </c>
      <c r="E421" s="1">
        <v>85388</v>
      </c>
      <c r="F421" s="1" t="s">
        <v>310</v>
      </c>
      <c r="G421" s="1" t="s">
        <v>506</v>
      </c>
      <c r="H421" s="19" t="s">
        <v>1318</v>
      </c>
      <c r="I421" s="5" t="s">
        <v>46</v>
      </c>
      <c r="J421" s="5" t="s">
        <v>37</v>
      </c>
      <c r="K421" s="5" t="s">
        <v>37</v>
      </c>
      <c r="L421" s="5" t="s">
        <v>38</v>
      </c>
      <c r="M421" s="5" t="s">
        <v>37</v>
      </c>
      <c r="N421" s="5" t="s">
        <v>37</v>
      </c>
      <c r="O421" s="5" t="s">
        <v>38</v>
      </c>
      <c r="P421" s="5" t="s">
        <v>39</v>
      </c>
      <c r="Q421" s="2">
        <v>45967</v>
      </c>
      <c r="R421" s="1" t="s">
        <v>1319</v>
      </c>
      <c r="V421" s="46">
        <f>IF(
  OR(
    ISNUMBER(SEARCH("unable to locate acct", tblDocketedComments[[#This Row],[Docketed Consumer Comments]])),
    ISNUMBER(SEARCH("unknown", tblDocketedComments[[#This Row],[Docketed Consumer Comments]])),
    ISNUMBER(SEARCH("inactive", tblDocketedComments[[#This Row],[Docketed Consumer Comments]]))
  ),
  0,
  1
)</f>
        <v>1</v>
      </c>
    </row>
    <row r="422" spans="1:22">
      <c r="A422" s="2">
        <v>45903</v>
      </c>
      <c r="B422" s="1" t="s">
        <v>1320</v>
      </c>
      <c r="C422" s="1" t="s">
        <v>1321</v>
      </c>
      <c r="D422" s="1" t="s">
        <v>112</v>
      </c>
      <c r="E422" s="1">
        <v>85387</v>
      </c>
      <c r="F422" s="1" t="s">
        <v>310</v>
      </c>
      <c r="G422" s="1" t="s">
        <v>506</v>
      </c>
      <c r="H422" s="4" t="s">
        <v>27</v>
      </c>
      <c r="V422" s="46">
        <f>IF(
  OR(
    ISNUMBER(SEARCH("unable to locate acct", tblDocketedComments[[#This Row],[Docketed Consumer Comments]])),
    ISNUMBER(SEARCH("unknown", tblDocketedComments[[#This Row],[Docketed Consumer Comments]])),
    ISNUMBER(SEARCH("inactive", tblDocketedComments[[#This Row],[Docketed Consumer Comments]]))
  ),
  0,
  1
)</f>
        <v>1</v>
      </c>
    </row>
    <row r="423" spans="1:22">
      <c r="A423" s="2">
        <v>45903</v>
      </c>
      <c r="B423" s="1" t="s">
        <v>1322</v>
      </c>
      <c r="C423" s="1" t="s">
        <v>1323</v>
      </c>
      <c r="D423" s="1" t="s">
        <v>63</v>
      </c>
      <c r="E423" s="1">
        <v>85013</v>
      </c>
      <c r="F423" s="1" t="s">
        <v>1324</v>
      </c>
      <c r="G423" s="1" t="s">
        <v>506</v>
      </c>
      <c r="H423" s="19" t="s">
        <v>1325</v>
      </c>
      <c r="I423" s="5" t="s">
        <v>541</v>
      </c>
      <c r="J423" s="5" t="s">
        <v>38</v>
      </c>
      <c r="K423" s="5" t="s">
        <v>37</v>
      </c>
      <c r="L423" s="5" t="s">
        <v>389</v>
      </c>
      <c r="M423" s="5" t="s">
        <v>37</v>
      </c>
      <c r="N423" s="5" t="s">
        <v>37</v>
      </c>
      <c r="O423" s="5" t="s">
        <v>38</v>
      </c>
      <c r="P423" s="5" t="s">
        <v>39</v>
      </c>
      <c r="Q423" s="2">
        <v>45967</v>
      </c>
      <c r="V423" s="46">
        <f>IF(
  OR(
    ISNUMBER(SEARCH("unable to locate acct", tblDocketedComments[[#This Row],[Docketed Consumer Comments]])),
    ISNUMBER(SEARCH("unknown", tblDocketedComments[[#This Row],[Docketed Consumer Comments]])),
    ISNUMBER(SEARCH("inactive", tblDocketedComments[[#This Row],[Docketed Consumer Comments]]))
  ),
  0,
  1
)</f>
        <v>1</v>
      </c>
    </row>
    <row r="424" spans="1:22">
      <c r="A424" s="2">
        <v>45903</v>
      </c>
      <c r="B424" s="1" t="s">
        <v>1326</v>
      </c>
      <c r="C424" s="1" t="s">
        <v>1327</v>
      </c>
      <c r="D424" s="1" t="s">
        <v>880</v>
      </c>
      <c r="E424" s="1">
        <v>85086</v>
      </c>
      <c r="F424" s="1" t="s">
        <v>31</v>
      </c>
      <c r="G424" s="1" t="s">
        <v>506</v>
      </c>
      <c r="H424" s="19" t="s">
        <v>1328</v>
      </c>
      <c r="I424" s="5" t="s">
        <v>541</v>
      </c>
      <c r="J424" s="5" t="s">
        <v>37</v>
      </c>
      <c r="K424" s="5" t="s">
        <v>37</v>
      </c>
      <c r="L424" s="5" t="s">
        <v>389</v>
      </c>
      <c r="M424" s="5" t="s">
        <v>37</v>
      </c>
      <c r="N424" s="5" t="s">
        <v>37</v>
      </c>
      <c r="O424" s="5" t="s">
        <v>38</v>
      </c>
      <c r="P424" s="5" t="s">
        <v>39</v>
      </c>
      <c r="Q424" s="2">
        <v>45967</v>
      </c>
      <c r="V424" s="46">
        <f>IF(
  OR(
    ISNUMBER(SEARCH("unable to locate acct", tblDocketedComments[[#This Row],[Docketed Consumer Comments]])),
    ISNUMBER(SEARCH("unknown", tblDocketedComments[[#This Row],[Docketed Consumer Comments]])),
    ISNUMBER(SEARCH("inactive", tblDocketedComments[[#This Row],[Docketed Consumer Comments]]))
  ),
  0,
  1
)</f>
        <v>1</v>
      </c>
    </row>
    <row r="425" spans="1:22">
      <c r="A425" s="2">
        <v>45903</v>
      </c>
      <c r="B425" s="1" t="s">
        <v>985</v>
      </c>
      <c r="C425" s="1" t="s">
        <v>263</v>
      </c>
      <c r="D425" s="1" t="s">
        <v>169</v>
      </c>
      <c r="E425" s="1">
        <v>85395</v>
      </c>
      <c r="F425" s="1" t="s">
        <v>986</v>
      </c>
      <c r="G425" s="1" t="s">
        <v>1329</v>
      </c>
      <c r="H425" s="4" t="s">
        <v>1330</v>
      </c>
      <c r="I425" s="5" t="s">
        <v>46</v>
      </c>
      <c r="J425" s="5" t="s">
        <v>37</v>
      </c>
      <c r="K425" s="5" t="s">
        <v>37</v>
      </c>
      <c r="L425" s="5" t="s">
        <v>38</v>
      </c>
      <c r="M425" s="5" t="s">
        <v>37</v>
      </c>
      <c r="N425" s="5" t="s">
        <v>37</v>
      </c>
      <c r="O425" s="5" t="s">
        <v>38</v>
      </c>
      <c r="P425" s="5" t="s">
        <v>39</v>
      </c>
      <c r="Q425" s="2">
        <v>45967</v>
      </c>
      <c r="V425" s="46">
        <f>IF(
  OR(
    ISNUMBER(SEARCH("unable to locate acct", tblDocketedComments[[#This Row],[Docketed Consumer Comments]])),
    ISNUMBER(SEARCH("unknown", tblDocketedComments[[#This Row],[Docketed Consumer Comments]])),
    ISNUMBER(SEARCH("inactive", tblDocketedComments[[#This Row],[Docketed Consumer Comments]]))
  ),
  0,
  1
)</f>
        <v>1</v>
      </c>
    </row>
    <row r="426" spans="1:22">
      <c r="A426" s="2">
        <v>45903</v>
      </c>
      <c r="B426" s="1" t="s">
        <v>1331</v>
      </c>
      <c r="C426" s="1" t="s">
        <v>1332</v>
      </c>
      <c r="D426" s="1" t="s">
        <v>63</v>
      </c>
      <c r="E426" s="1">
        <v>86032</v>
      </c>
      <c r="F426" s="1" t="s">
        <v>31</v>
      </c>
      <c r="G426" s="1" t="s">
        <v>1329</v>
      </c>
      <c r="H426" s="4" t="s">
        <v>27</v>
      </c>
      <c r="V426" s="46">
        <f>IF(
  OR(
    ISNUMBER(SEARCH("unable to locate acct", tblDocketedComments[[#This Row],[Docketed Consumer Comments]])),
    ISNUMBER(SEARCH("unknown", tblDocketedComments[[#This Row],[Docketed Consumer Comments]])),
    ISNUMBER(SEARCH("inactive", tblDocketedComments[[#This Row],[Docketed Consumer Comments]]))
  ),
  0,
  1
)</f>
        <v>1</v>
      </c>
    </row>
    <row r="427" spans="1:22">
      <c r="A427" s="2">
        <v>45903</v>
      </c>
      <c r="B427" s="1" t="s">
        <v>1333</v>
      </c>
      <c r="C427" s="1" t="s">
        <v>1334</v>
      </c>
      <c r="D427" s="1" t="s">
        <v>523</v>
      </c>
      <c r="E427" s="1">
        <v>85392</v>
      </c>
      <c r="F427" s="1" t="s">
        <v>1335</v>
      </c>
      <c r="G427" s="1" t="s">
        <v>1329</v>
      </c>
      <c r="H427" s="4" t="s">
        <v>1336</v>
      </c>
      <c r="I427" s="5" t="s">
        <v>418</v>
      </c>
      <c r="J427" s="5" t="s">
        <v>37</v>
      </c>
      <c r="K427" s="5" t="s">
        <v>37</v>
      </c>
      <c r="L427" s="5" t="s">
        <v>389</v>
      </c>
      <c r="M427" s="5" t="s">
        <v>37</v>
      </c>
      <c r="N427" s="5" t="s">
        <v>37</v>
      </c>
      <c r="O427" s="5" t="s">
        <v>38</v>
      </c>
      <c r="P427" s="5" t="s">
        <v>39</v>
      </c>
      <c r="Q427" s="2">
        <v>45967</v>
      </c>
      <c r="V427" s="46">
        <f>IF(
  OR(
    ISNUMBER(SEARCH("unable to locate acct", tblDocketedComments[[#This Row],[Docketed Consumer Comments]])),
    ISNUMBER(SEARCH("unknown", tblDocketedComments[[#This Row],[Docketed Consumer Comments]])),
    ISNUMBER(SEARCH("inactive", tblDocketedComments[[#This Row],[Docketed Consumer Comments]]))
  ),
  0,
  1
)</f>
        <v>1</v>
      </c>
    </row>
    <row r="428" spans="1:22">
      <c r="A428" s="2">
        <v>45903</v>
      </c>
      <c r="B428" s="1" t="s">
        <v>1337</v>
      </c>
      <c r="C428" s="1" t="s">
        <v>359</v>
      </c>
      <c r="D428" s="1" t="s">
        <v>112</v>
      </c>
      <c r="E428" s="1">
        <v>85379</v>
      </c>
      <c r="F428" s="1" t="s">
        <v>31</v>
      </c>
      <c r="G428" s="1" t="s">
        <v>1329</v>
      </c>
      <c r="H428" s="4" t="s">
        <v>1338</v>
      </c>
      <c r="I428" s="5" t="s">
        <v>541</v>
      </c>
      <c r="J428" s="5" t="s">
        <v>37</v>
      </c>
      <c r="K428" s="5" t="s">
        <v>37</v>
      </c>
      <c r="L428" s="5" t="s">
        <v>389</v>
      </c>
      <c r="M428" s="5" t="s">
        <v>38</v>
      </c>
      <c r="N428" s="15">
        <v>1773.15</v>
      </c>
      <c r="O428" s="5" t="s">
        <v>38</v>
      </c>
      <c r="P428" s="7"/>
      <c r="Q428" s="2">
        <v>45967</v>
      </c>
      <c r="R428" s="1" t="s">
        <v>495</v>
      </c>
      <c r="V428" s="46">
        <f>IF(
  OR(
    ISNUMBER(SEARCH("unable to locate acct", tblDocketedComments[[#This Row],[Docketed Consumer Comments]])),
    ISNUMBER(SEARCH("unknown", tblDocketedComments[[#This Row],[Docketed Consumer Comments]])),
    ISNUMBER(SEARCH("inactive", tblDocketedComments[[#This Row],[Docketed Consumer Comments]]))
  ),
  0,
  1
)</f>
        <v>1</v>
      </c>
    </row>
    <row r="429" spans="1:22">
      <c r="A429" s="2">
        <v>45903</v>
      </c>
      <c r="B429" s="1" t="s">
        <v>1339</v>
      </c>
      <c r="C429" s="1" t="s">
        <v>777</v>
      </c>
      <c r="D429" s="1" t="s">
        <v>169</v>
      </c>
      <c r="E429" s="1">
        <v>85338</v>
      </c>
      <c r="F429" s="1" t="s">
        <v>31</v>
      </c>
      <c r="G429" s="1" t="s">
        <v>1329</v>
      </c>
      <c r="H429" s="4" t="s">
        <v>1340</v>
      </c>
      <c r="I429" s="5" t="s">
        <v>541</v>
      </c>
      <c r="J429" s="5" t="s">
        <v>38</v>
      </c>
      <c r="K429" s="5" t="s">
        <v>37</v>
      </c>
      <c r="L429" s="5" t="s">
        <v>389</v>
      </c>
      <c r="M429" s="5" t="s">
        <v>38</v>
      </c>
      <c r="N429" s="15">
        <v>3130.07</v>
      </c>
      <c r="O429" s="5" t="s">
        <v>38</v>
      </c>
      <c r="P429" s="7"/>
      <c r="Q429" s="2">
        <v>45967</v>
      </c>
      <c r="R429" s="1" t="s">
        <v>495</v>
      </c>
      <c r="V429" s="46">
        <f>IF(
  OR(
    ISNUMBER(SEARCH("unable to locate acct", tblDocketedComments[[#This Row],[Docketed Consumer Comments]])),
    ISNUMBER(SEARCH("unknown", tblDocketedComments[[#This Row],[Docketed Consumer Comments]])),
    ISNUMBER(SEARCH("inactive", tblDocketedComments[[#This Row],[Docketed Consumer Comments]]))
  ),
  0,
  1
)</f>
        <v>1</v>
      </c>
    </row>
    <row r="430" spans="1:22">
      <c r="A430" s="2">
        <v>45903</v>
      </c>
      <c r="B430" s="1" t="s">
        <v>1341</v>
      </c>
      <c r="C430" s="1" t="s">
        <v>1342</v>
      </c>
      <c r="D430" s="1" t="s">
        <v>24</v>
      </c>
      <c r="E430" s="1">
        <v>85310</v>
      </c>
      <c r="F430" s="1" t="s">
        <v>31</v>
      </c>
      <c r="G430" s="1" t="s">
        <v>1329</v>
      </c>
      <c r="H430" s="4" t="s">
        <v>1343</v>
      </c>
      <c r="I430" s="5" t="s">
        <v>36</v>
      </c>
      <c r="J430" s="5" t="s">
        <v>38</v>
      </c>
      <c r="K430" s="5" t="s">
        <v>37</v>
      </c>
      <c r="L430" s="5" t="s">
        <v>38</v>
      </c>
      <c r="M430" s="5" t="s">
        <v>37</v>
      </c>
      <c r="N430" s="5" t="s">
        <v>37</v>
      </c>
      <c r="O430" s="5" t="s">
        <v>38</v>
      </c>
      <c r="P430" s="5" t="s">
        <v>39</v>
      </c>
      <c r="Q430" s="2">
        <v>45967</v>
      </c>
      <c r="V430" s="46">
        <f>IF(
  OR(
    ISNUMBER(SEARCH("unable to locate acct", tblDocketedComments[[#This Row],[Docketed Consumer Comments]])),
    ISNUMBER(SEARCH("unknown", tblDocketedComments[[#This Row],[Docketed Consumer Comments]])),
    ISNUMBER(SEARCH("inactive", tblDocketedComments[[#This Row],[Docketed Consumer Comments]]))
  ),
  0,
  1
)</f>
        <v>1</v>
      </c>
    </row>
    <row r="431" spans="1:22">
      <c r="A431" s="2">
        <v>45903</v>
      </c>
      <c r="B431" s="1" t="s">
        <v>1344</v>
      </c>
      <c r="C431" s="1" t="s">
        <v>1345</v>
      </c>
      <c r="D431" s="1" t="s">
        <v>63</v>
      </c>
      <c r="E431" s="1">
        <v>85053</v>
      </c>
      <c r="F431" s="1" t="s">
        <v>1346</v>
      </c>
      <c r="G431" s="1" t="s">
        <v>1329</v>
      </c>
      <c r="H431" s="4" t="s">
        <v>1347</v>
      </c>
      <c r="I431" s="5" t="s">
        <v>36</v>
      </c>
      <c r="J431" s="5" t="s">
        <v>37</v>
      </c>
      <c r="K431" s="5" t="s">
        <v>37</v>
      </c>
      <c r="L431" s="5" t="s">
        <v>38</v>
      </c>
      <c r="M431" s="5" t="s">
        <v>37</v>
      </c>
      <c r="N431" s="5" t="s">
        <v>37</v>
      </c>
      <c r="O431" s="5" t="s">
        <v>38</v>
      </c>
      <c r="P431" s="5" t="s">
        <v>39</v>
      </c>
      <c r="Q431" s="2">
        <v>45967</v>
      </c>
      <c r="V431" s="46">
        <f>IF(
  OR(
    ISNUMBER(SEARCH("unable to locate acct", tblDocketedComments[[#This Row],[Docketed Consumer Comments]])),
    ISNUMBER(SEARCH("unknown", tblDocketedComments[[#This Row],[Docketed Consumer Comments]])),
    ISNUMBER(SEARCH("inactive", tblDocketedComments[[#This Row],[Docketed Consumer Comments]]))
  ),
  0,
  1
)</f>
        <v>1</v>
      </c>
    </row>
    <row r="432" spans="1:22">
      <c r="A432" s="2">
        <v>45903</v>
      </c>
      <c r="B432" s="1" t="s">
        <v>1348</v>
      </c>
      <c r="C432" s="1" t="s">
        <v>1198</v>
      </c>
      <c r="D432" s="1" t="s">
        <v>89</v>
      </c>
      <c r="E432" s="1">
        <v>86336</v>
      </c>
      <c r="F432" s="1" t="s">
        <v>31</v>
      </c>
      <c r="G432" s="1" t="s">
        <v>1329</v>
      </c>
      <c r="H432" s="4" t="s">
        <v>1349</v>
      </c>
      <c r="I432" s="5" t="s">
        <v>73</v>
      </c>
      <c r="J432" s="5" t="s">
        <v>37</v>
      </c>
      <c r="K432" s="5" t="s">
        <v>37</v>
      </c>
      <c r="L432" s="5" t="s">
        <v>38</v>
      </c>
      <c r="M432" s="5" t="s">
        <v>37</v>
      </c>
      <c r="N432" s="5" t="s">
        <v>37</v>
      </c>
      <c r="O432" s="5" t="s">
        <v>38</v>
      </c>
      <c r="P432" s="5" t="s">
        <v>39</v>
      </c>
      <c r="Q432" s="2">
        <v>45967</v>
      </c>
      <c r="V432" s="46">
        <f>IF(
  OR(
    ISNUMBER(SEARCH("unable to locate acct", tblDocketedComments[[#This Row],[Docketed Consumer Comments]])),
    ISNUMBER(SEARCH("unknown", tblDocketedComments[[#This Row],[Docketed Consumer Comments]])),
    ISNUMBER(SEARCH("inactive", tblDocketedComments[[#This Row],[Docketed Consumer Comments]]))
  ),
  0,
  1
)</f>
        <v>1</v>
      </c>
    </row>
    <row r="433" spans="1:22">
      <c r="A433" s="2">
        <v>45903</v>
      </c>
      <c r="B433" s="1" t="s">
        <v>1350</v>
      </c>
      <c r="C433" s="1" t="s">
        <v>1351</v>
      </c>
      <c r="D433" s="1" t="s">
        <v>240</v>
      </c>
      <c r="E433" s="1">
        <v>85340</v>
      </c>
      <c r="F433" s="1" t="s">
        <v>31</v>
      </c>
      <c r="G433" s="1" t="s">
        <v>1329</v>
      </c>
      <c r="H433" s="4" t="s">
        <v>27</v>
      </c>
      <c r="V433" s="46">
        <f>IF(
  OR(
    ISNUMBER(SEARCH("unable to locate acct", tblDocketedComments[[#This Row],[Docketed Consumer Comments]])),
    ISNUMBER(SEARCH("unknown", tblDocketedComments[[#This Row],[Docketed Consumer Comments]])),
    ISNUMBER(SEARCH("inactive", tblDocketedComments[[#This Row],[Docketed Consumer Comments]]))
  ),
  0,
  1
)</f>
        <v>1</v>
      </c>
    </row>
    <row r="434" spans="1:22">
      <c r="A434" s="2">
        <v>45903</v>
      </c>
      <c r="B434" s="1" t="s">
        <v>1352</v>
      </c>
      <c r="C434" s="1" t="s">
        <v>392</v>
      </c>
      <c r="D434" s="1" t="s">
        <v>125</v>
      </c>
      <c r="E434" s="1">
        <v>85255</v>
      </c>
      <c r="F434" s="1" t="s">
        <v>31</v>
      </c>
      <c r="G434" s="1" t="s">
        <v>1329</v>
      </c>
      <c r="H434" s="4" t="s">
        <v>1353</v>
      </c>
      <c r="I434" s="5" t="s">
        <v>418</v>
      </c>
      <c r="J434" s="5" t="s">
        <v>37</v>
      </c>
      <c r="K434" s="5" t="s">
        <v>37</v>
      </c>
      <c r="L434" s="5" t="s">
        <v>389</v>
      </c>
      <c r="M434" s="5" t="s">
        <v>37</v>
      </c>
      <c r="N434" s="5" t="s">
        <v>37</v>
      </c>
      <c r="O434" s="5" t="s">
        <v>38</v>
      </c>
      <c r="P434" s="5" t="s">
        <v>39</v>
      </c>
      <c r="Q434" s="2">
        <v>45967</v>
      </c>
      <c r="V434" s="46">
        <f>IF(
  OR(
    ISNUMBER(SEARCH("unable to locate acct", tblDocketedComments[[#This Row],[Docketed Consumer Comments]])),
    ISNUMBER(SEARCH("unknown", tblDocketedComments[[#This Row],[Docketed Consumer Comments]])),
    ISNUMBER(SEARCH("inactive", tblDocketedComments[[#This Row],[Docketed Consumer Comments]]))
  ),
  0,
  1
)</f>
        <v>1</v>
      </c>
    </row>
    <row r="435" spans="1:22">
      <c r="A435" s="2">
        <v>45903</v>
      </c>
      <c r="B435" s="1" t="s">
        <v>558</v>
      </c>
      <c r="C435" s="1" t="s">
        <v>1354</v>
      </c>
      <c r="D435" s="1" t="s">
        <v>523</v>
      </c>
      <c r="E435" s="1">
        <v>85392</v>
      </c>
      <c r="F435" s="1" t="s">
        <v>31</v>
      </c>
      <c r="G435" s="1" t="s">
        <v>1329</v>
      </c>
      <c r="H435" s="4" t="s">
        <v>1355</v>
      </c>
      <c r="I435" s="5" t="s">
        <v>36</v>
      </c>
      <c r="J435" s="5" t="s">
        <v>37</v>
      </c>
      <c r="K435" s="5" t="s">
        <v>37</v>
      </c>
      <c r="L435" s="5" t="s">
        <v>38</v>
      </c>
      <c r="M435" s="5" t="s">
        <v>38</v>
      </c>
      <c r="N435" s="15">
        <v>870.88</v>
      </c>
      <c r="O435" s="5" t="s">
        <v>38</v>
      </c>
      <c r="P435" s="7"/>
      <c r="Q435" s="2">
        <v>45967</v>
      </c>
      <c r="R435" s="1" t="s">
        <v>495</v>
      </c>
      <c r="V435" s="46">
        <f>IF(
  OR(
    ISNUMBER(SEARCH("unable to locate acct", tblDocketedComments[[#This Row],[Docketed Consumer Comments]])),
    ISNUMBER(SEARCH("unknown", tblDocketedComments[[#This Row],[Docketed Consumer Comments]])),
    ISNUMBER(SEARCH("inactive", tblDocketedComments[[#This Row],[Docketed Consumer Comments]]))
  ),
  0,
  1
)</f>
        <v>1</v>
      </c>
    </row>
    <row r="436" spans="1:22">
      <c r="A436" s="2">
        <v>45903</v>
      </c>
      <c r="B436" s="1" t="s">
        <v>1356</v>
      </c>
      <c r="C436" s="1" t="s">
        <v>184</v>
      </c>
      <c r="D436" s="1" t="s">
        <v>125</v>
      </c>
      <c r="E436" s="1">
        <v>85259</v>
      </c>
      <c r="F436" s="1" t="s">
        <v>31</v>
      </c>
      <c r="G436" s="1" t="s">
        <v>1329</v>
      </c>
      <c r="H436" s="4" t="s">
        <v>209</v>
      </c>
      <c r="V436" s="46">
        <f>IF(
  OR(
    ISNUMBER(SEARCH("unable to locate acct", tblDocketedComments[[#This Row],[Docketed Consumer Comments]])),
    ISNUMBER(SEARCH("unknown", tblDocketedComments[[#This Row],[Docketed Consumer Comments]])),
    ISNUMBER(SEARCH("inactive", tblDocketedComments[[#This Row],[Docketed Consumer Comments]]))
  ),
  0,
  1
)</f>
        <v>1</v>
      </c>
    </row>
    <row r="437" spans="1:22">
      <c r="A437" s="2">
        <v>45903</v>
      </c>
      <c r="B437" s="1" t="s">
        <v>1357</v>
      </c>
      <c r="C437" s="1" t="s">
        <v>199</v>
      </c>
      <c r="D437" s="1" t="s">
        <v>169</v>
      </c>
      <c r="E437" s="1">
        <v>85395</v>
      </c>
      <c r="F437" s="1" t="s">
        <v>31</v>
      </c>
      <c r="G437" s="1" t="s">
        <v>1329</v>
      </c>
      <c r="H437" s="4" t="s">
        <v>1358</v>
      </c>
      <c r="I437" s="5" t="s">
        <v>418</v>
      </c>
      <c r="J437" s="5" t="s">
        <v>37</v>
      </c>
      <c r="K437" s="5" t="s">
        <v>37</v>
      </c>
      <c r="L437" s="5" t="s">
        <v>389</v>
      </c>
      <c r="M437" s="5" t="s">
        <v>37</v>
      </c>
      <c r="N437" s="5" t="s">
        <v>37</v>
      </c>
      <c r="O437" s="5" t="s">
        <v>38</v>
      </c>
      <c r="P437" s="5" t="s">
        <v>39</v>
      </c>
      <c r="Q437" s="2">
        <v>45967</v>
      </c>
      <c r="V437" s="46">
        <f>IF(
  OR(
    ISNUMBER(SEARCH("unable to locate acct", tblDocketedComments[[#This Row],[Docketed Consumer Comments]])),
    ISNUMBER(SEARCH("unknown", tblDocketedComments[[#This Row],[Docketed Consumer Comments]])),
    ISNUMBER(SEARCH("inactive", tblDocketedComments[[#This Row],[Docketed Consumer Comments]]))
  ),
  0,
  1
)</f>
        <v>1</v>
      </c>
    </row>
    <row r="438" spans="1:22">
      <c r="A438" s="2">
        <v>45903</v>
      </c>
      <c r="B438" s="1" t="s">
        <v>1359</v>
      </c>
      <c r="C438" s="1" t="s">
        <v>1050</v>
      </c>
      <c r="D438" s="1" t="s">
        <v>125</v>
      </c>
      <c r="E438" s="1">
        <v>85254</v>
      </c>
      <c r="F438" s="1" t="s">
        <v>31</v>
      </c>
      <c r="G438" s="1" t="s">
        <v>1329</v>
      </c>
      <c r="H438" s="4" t="s">
        <v>1360</v>
      </c>
      <c r="I438" s="5" t="s">
        <v>36</v>
      </c>
      <c r="J438" s="5" t="s">
        <v>37</v>
      </c>
      <c r="K438" s="5" t="s">
        <v>37</v>
      </c>
      <c r="L438" s="5" t="s">
        <v>38</v>
      </c>
      <c r="M438" s="5" t="s">
        <v>37</v>
      </c>
      <c r="N438" s="5" t="s">
        <v>37</v>
      </c>
      <c r="O438" s="5" t="s">
        <v>38</v>
      </c>
      <c r="P438" s="5" t="s">
        <v>39</v>
      </c>
      <c r="Q438" s="2">
        <v>45967</v>
      </c>
      <c r="V438" s="46">
        <f>IF(
  OR(
    ISNUMBER(SEARCH("unable to locate acct", tblDocketedComments[[#This Row],[Docketed Consumer Comments]])),
    ISNUMBER(SEARCH("unknown", tblDocketedComments[[#This Row],[Docketed Consumer Comments]])),
    ISNUMBER(SEARCH("inactive", tblDocketedComments[[#This Row],[Docketed Consumer Comments]]))
  ),
  0,
  1
)</f>
        <v>1</v>
      </c>
    </row>
    <row r="439" spans="1:22">
      <c r="A439" s="2">
        <v>45903</v>
      </c>
      <c r="B439" s="1" t="s">
        <v>1361</v>
      </c>
      <c r="C439" s="1" t="s">
        <v>1362</v>
      </c>
      <c r="D439" s="1" t="s">
        <v>63</v>
      </c>
      <c r="E439" s="1">
        <v>85032</v>
      </c>
      <c r="F439" s="1" t="s">
        <v>310</v>
      </c>
      <c r="G439" s="1" t="s">
        <v>1329</v>
      </c>
      <c r="H439" s="4" t="s">
        <v>1363</v>
      </c>
      <c r="I439" s="5" t="s">
        <v>73</v>
      </c>
      <c r="J439" s="5" t="s">
        <v>37</v>
      </c>
      <c r="K439" s="5" t="s">
        <v>37</v>
      </c>
      <c r="L439" s="5" t="s">
        <v>38</v>
      </c>
      <c r="M439" s="5" t="s">
        <v>37</v>
      </c>
      <c r="N439" s="5" t="s">
        <v>37</v>
      </c>
      <c r="O439" s="5" t="s">
        <v>38</v>
      </c>
      <c r="P439" s="5" t="s">
        <v>39</v>
      </c>
      <c r="Q439" s="2">
        <v>45967</v>
      </c>
      <c r="V439" s="46">
        <f>IF(
  OR(
    ISNUMBER(SEARCH("unable to locate acct", tblDocketedComments[[#This Row],[Docketed Consumer Comments]])),
    ISNUMBER(SEARCH("unknown", tblDocketedComments[[#This Row],[Docketed Consumer Comments]])),
    ISNUMBER(SEARCH("inactive", tblDocketedComments[[#This Row],[Docketed Consumer Comments]]))
  ),
  0,
  1
)</f>
        <v>1</v>
      </c>
    </row>
    <row r="440" spans="1:22">
      <c r="A440" s="2">
        <v>45903</v>
      </c>
      <c r="B440" s="1" t="s">
        <v>1364</v>
      </c>
      <c r="C440" s="1" t="s">
        <v>821</v>
      </c>
      <c r="D440" s="1" t="s">
        <v>169</v>
      </c>
      <c r="E440" s="1">
        <v>85395</v>
      </c>
      <c r="F440" s="1" t="s">
        <v>31</v>
      </c>
      <c r="G440" s="1" t="s">
        <v>1329</v>
      </c>
      <c r="H440" s="4" t="s">
        <v>1365</v>
      </c>
      <c r="I440" s="5" t="s">
        <v>541</v>
      </c>
      <c r="J440" s="5" t="s">
        <v>37</v>
      </c>
      <c r="K440" s="5" t="s">
        <v>37</v>
      </c>
      <c r="L440" s="5" t="s">
        <v>389</v>
      </c>
      <c r="M440" s="5" t="s">
        <v>37</v>
      </c>
      <c r="N440" s="5" t="s">
        <v>37</v>
      </c>
      <c r="O440" s="5" t="s">
        <v>38</v>
      </c>
      <c r="P440" s="5" t="s">
        <v>39</v>
      </c>
      <c r="Q440" s="2">
        <v>45967</v>
      </c>
      <c r="V440" s="46">
        <f>IF(
  OR(
    ISNUMBER(SEARCH("unable to locate acct", tblDocketedComments[[#This Row],[Docketed Consumer Comments]])),
    ISNUMBER(SEARCH("unknown", tblDocketedComments[[#This Row],[Docketed Consumer Comments]])),
    ISNUMBER(SEARCH("inactive", tblDocketedComments[[#This Row],[Docketed Consumer Comments]]))
  ),
  0,
  1
)</f>
        <v>1</v>
      </c>
    </row>
    <row r="441" spans="1:22">
      <c r="A441" s="2">
        <v>45903</v>
      </c>
      <c r="B441" s="1" t="s">
        <v>1366</v>
      </c>
      <c r="C441" s="1" t="s">
        <v>597</v>
      </c>
      <c r="D441" s="1" t="s">
        <v>169</v>
      </c>
      <c r="E441" s="1">
        <v>85395</v>
      </c>
      <c r="F441" s="1" t="s">
        <v>1367</v>
      </c>
      <c r="G441" s="1" t="s">
        <v>1329</v>
      </c>
      <c r="H441" s="4" t="s">
        <v>1368</v>
      </c>
      <c r="I441" s="5" t="s">
        <v>36</v>
      </c>
      <c r="J441" s="5" t="s">
        <v>37</v>
      </c>
      <c r="K441" s="5" t="s">
        <v>37</v>
      </c>
      <c r="L441" s="5" t="s">
        <v>38</v>
      </c>
      <c r="M441" s="5" t="s">
        <v>37</v>
      </c>
      <c r="N441" s="5" t="s">
        <v>37</v>
      </c>
      <c r="O441" s="5" t="s">
        <v>38</v>
      </c>
      <c r="P441" s="5" t="s">
        <v>39</v>
      </c>
      <c r="Q441" s="2">
        <v>45967</v>
      </c>
      <c r="V441" s="46">
        <f>IF(
  OR(
    ISNUMBER(SEARCH("unable to locate acct", tblDocketedComments[[#This Row],[Docketed Consumer Comments]])),
    ISNUMBER(SEARCH("unknown", tblDocketedComments[[#This Row],[Docketed Consumer Comments]])),
    ISNUMBER(SEARCH("inactive", tblDocketedComments[[#This Row],[Docketed Consumer Comments]]))
  ),
  0,
  1
)</f>
        <v>1</v>
      </c>
    </row>
    <row r="442" spans="1:22">
      <c r="A442" s="2">
        <v>45903</v>
      </c>
      <c r="B442" s="1" t="s">
        <v>1369</v>
      </c>
      <c r="C442" s="1" t="s">
        <v>1370</v>
      </c>
      <c r="D442" s="1" t="s">
        <v>125</v>
      </c>
      <c r="E442" s="1">
        <v>85259</v>
      </c>
      <c r="F442" s="1" t="s">
        <v>310</v>
      </c>
      <c r="G442" s="1" t="s">
        <v>1329</v>
      </c>
      <c r="H442" s="4" t="s">
        <v>27</v>
      </c>
      <c r="V442" s="46">
        <f>IF(
  OR(
    ISNUMBER(SEARCH("unable to locate acct", tblDocketedComments[[#This Row],[Docketed Consumer Comments]])),
    ISNUMBER(SEARCH("unknown", tblDocketedComments[[#This Row],[Docketed Consumer Comments]])),
    ISNUMBER(SEARCH("inactive", tblDocketedComments[[#This Row],[Docketed Consumer Comments]]))
  ),
  0,
  1
)</f>
        <v>1</v>
      </c>
    </row>
    <row r="443" spans="1:22">
      <c r="A443" s="2">
        <v>45903</v>
      </c>
      <c r="B443" s="1" t="s">
        <v>1371</v>
      </c>
      <c r="C443" s="1" t="s">
        <v>1372</v>
      </c>
      <c r="D443" s="1" t="s">
        <v>619</v>
      </c>
      <c r="E443" s="1">
        <v>85365</v>
      </c>
      <c r="F443" s="1" t="s">
        <v>31</v>
      </c>
      <c r="G443" s="1" t="s">
        <v>1329</v>
      </c>
      <c r="H443" s="4" t="s">
        <v>1373</v>
      </c>
      <c r="I443" s="5" t="s">
        <v>541</v>
      </c>
      <c r="J443" s="5" t="s">
        <v>37</v>
      </c>
      <c r="K443" s="5" t="s">
        <v>37</v>
      </c>
      <c r="L443" s="5" t="s">
        <v>389</v>
      </c>
      <c r="M443" s="5" t="s">
        <v>37</v>
      </c>
      <c r="N443" s="5" t="s">
        <v>37</v>
      </c>
      <c r="O443" s="5" t="s">
        <v>38</v>
      </c>
      <c r="P443" s="5" t="s">
        <v>39</v>
      </c>
      <c r="Q443" s="2">
        <v>45967</v>
      </c>
      <c r="V443" s="46">
        <f>IF(
  OR(
    ISNUMBER(SEARCH("unable to locate acct", tblDocketedComments[[#This Row],[Docketed Consumer Comments]])),
    ISNUMBER(SEARCH("unknown", tblDocketedComments[[#This Row],[Docketed Consumer Comments]])),
    ISNUMBER(SEARCH("inactive", tblDocketedComments[[#This Row],[Docketed Consumer Comments]]))
  ),
  0,
  1
)</f>
        <v>1</v>
      </c>
    </row>
    <row r="444" spans="1:22">
      <c r="A444" s="2">
        <v>45903</v>
      </c>
      <c r="B444" s="1" t="s">
        <v>1374</v>
      </c>
      <c r="C444" s="1" t="s">
        <v>1375</v>
      </c>
      <c r="D444" s="1" t="s">
        <v>24</v>
      </c>
      <c r="E444" s="1">
        <v>85308</v>
      </c>
      <c r="F444" s="1" t="s">
        <v>31</v>
      </c>
      <c r="G444" s="1" t="s">
        <v>1329</v>
      </c>
      <c r="H444" s="4" t="s">
        <v>27</v>
      </c>
      <c r="V444" s="46">
        <f>IF(
  OR(
    ISNUMBER(SEARCH("unable to locate acct", tblDocketedComments[[#This Row],[Docketed Consumer Comments]])),
    ISNUMBER(SEARCH("unknown", tblDocketedComments[[#This Row],[Docketed Consumer Comments]])),
    ISNUMBER(SEARCH("inactive", tblDocketedComments[[#This Row],[Docketed Consumer Comments]]))
  ),
  0,
  1
)</f>
        <v>1</v>
      </c>
    </row>
    <row r="445" spans="1:22">
      <c r="A445" s="2">
        <v>45903</v>
      </c>
      <c r="B445" s="1" t="s">
        <v>1376</v>
      </c>
      <c r="C445" s="1" t="s">
        <v>1377</v>
      </c>
      <c r="D445" s="1" t="s">
        <v>523</v>
      </c>
      <c r="E445" s="1">
        <v>85392</v>
      </c>
      <c r="F445" s="1" t="s">
        <v>31</v>
      </c>
      <c r="G445" s="1" t="s">
        <v>1329</v>
      </c>
      <c r="H445" s="4" t="s">
        <v>27</v>
      </c>
      <c r="V445" s="46">
        <f>IF(
  OR(
    ISNUMBER(SEARCH("unable to locate acct", tblDocketedComments[[#This Row],[Docketed Consumer Comments]])),
    ISNUMBER(SEARCH("unknown", tblDocketedComments[[#This Row],[Docketed Consumer Comments]])),
    ISNUMBER(SEARCH("inactive", tblDocketedComments[[#This Row],[Docketed Consumer Comments]]))
  ),
  0,
  1
)</f>
        <v>1</v>
      </c>
    </row>
    <row r="446" spans="1:22">
      <c r="A446" s="2">
        <v>45903</v>
      </c>
      <c r="B446" s="1" t="s">
        <v>1378</v>
      </c>
      <c r="C446" s="1" t="s">
        <v>135</v>
      </c>
      <c r="D446" s="1" t="s">
        <v>1379</v>
      </c>
      <c r="E446" s="1">
        <v>85353</v>
      </c>
      <c r="F446" s="1" t="s">
        <v>31</v>
      </c>
      <c r="G446" s="1" t="s">
        <v>1329</v>
      </c>
      <c r="H446" s="4" t="s">
        <v>27</v>
      </c>
      <c r="V446" s="46">
        <f>IF(
  OR(
    ISNUMBER(SEARCH("unable to locate acct", tblDocketedComments[[#This Row],[Docketed Consumer Comments]])),
    ISNUMBER(SEARCH("unknown", tblDocketedComments[[#This Row],[Docketed Consumer Comments]])),
    ISNUMBER(SEARCH("inactive", tblDocketedComments[[#This Row],[Docketed Consumer Comments]]))
  ),
  0,
  1
)</f>
        <v>1</v>
      </c>
    </row>
    <row r="447" spans="1:22">
      <c r="A447" s="2">
        <v>45903</v>
      </c>
      <c r="B447" s="1" t="s">
        <v>1380</v>
      </c>
      <c r="C447" s="1" t="s">
        <v>529</v>
      </c>
      <c r="D447" s="1" t="s">
        <v>504</v>
      </c>
      <c r="E447" s="1">
        <v>86001</v>
      </c>
      <c r="F447" s="1" t="s">
        <v>310</v>
      </c>
      <c r="G447" s="1" t="s">
        <v>1329</v>
      </c>
      <c r="H447" s="4" t="s">
        <v>27</v>
      </c>
      <c r="V447" s="46">
        <f>IF(
  OR(
    ISNUMBER(SEARCH("unable to locate acct", tblDocketedComments[[#This Row],[Docketed Consumer Comments]])),
    ISNUMBER(SEARCH("unknown", tblDocketedComments[[#This Row],[Docketed Consumer Comments]])),
    ISNUMBER(SEARCH("inactive", tblDocketedComments[[#This Row],[Docketed Consumer Comments]]))
  ),
  0,
  1
)</f>
        <v>1</v>
      </c>
    </row>
    <row r="448" spans="1:22">
      <c r="A448" s="2">
        <v>45903</v>
      </c>
      <c r="B448" s="1" t="s">
        <v>1381</v>
      </c>
      <c r="C448" s="1" t="s">
        <v>1382</v>
      </c>
      <c r="D448" s="1" t="s">
        <v>125</v>
      </c>
      <c r="E448" s="1">
        <v>85257</v>
      </c>
      <c r="F448" s="1" t="s">
        <v>310</v>
      </c>
      <c r="G448" s="1" t="s">
        <v>1329</v>
      </c>
      <c r="H448" s="4" t="s">
        <v>27</v>
      </c>
      <c r="V448" s="46">
        <f>IF(
  OR(
    ISNUMBER(SEARCH("unable to locate acct", tblDocketedComments[[#This Row],[Docketed Consumer Comments]])),
    ISNUMBER(SEARCH("unknown", tblDocketedComments[[#This Row],[Docketed Consumer Comments]])),
    ISNUMBER(SEARCH("inactive", tblDocketedComments[[#This Row],[Docketed Consumer Comments]]))
  ),
  0,
  1
)</f>
        <v>1</v>
      </c>
    </row>
    <row r="449" spans="1:22">
      <c r="A449" s="2">
        <v>45903</v>
      </c>
      <c r="B449" s="1" t="s">
        <v>1383</v>
      </c>
      <c r="C449" s="1" t="s">
        <v>1384</v>
      </c>
      <c r="D449" s="1" t="s">
        <v>63</v>
      </c>
      <c r="E449" s="1">
        <v>85024</v>
      </c>
      <c r="F449" s="1" t="s">
        <v>31</v>
      </c>
      <c r="G449" s="1" t="s">
        <v>1329</v>
      </c>
      <c r="H449" s="4" t="s">
        <v>1385</v>
      </c>
      <c r="I449" s="5" t="s">
        <v>250</v>
      </c>
      <c r="J449" s="5" t="s">
        <v>37</v>
      </c>
      <c r="K449" s="5" t="s">
        <v>37</v>
      </c>
      <c r="L449" s="7" t="s">
        <v>1386</v>
      </c>
      <c r="M449" s="5" t="s">
        <v>37</v>
      </c>
      <c r="N449" s="5" t="s">
        <v>37</v>
      </c>
      <c r="O449" s="5" t="s">
        <v>38</v>
      </c>
      <c r="P449" s="2">
        <v>45936</v>
      </c>
      <c r="Q449" s="2">
        <v>45967</v>
      </c>
      <c r="R449" s="1" t="s">
        <v>1387</v>
      </c>
      <c r="V449" s="46">
        <f>IF(
  OR(
    ISNUMBER(SEARCH("unable to locate acct", tblDocketedComments[[#This Row],[Docketed Consumer Comments]])),
    ISNUMBER(SEARCH("unknown", tblDocketedComments[[#This Row],[Docketed Consumer Comments]])),
    ISNUMBER(SEARCH("inactive", tblDocketedComments[[#This Row],[Docketed Consumer Comments]]))
  ),
  0,
  1
)</f>
        <v>1</v>
      </c>
    </row>
    <row r="450" spans="1:22">
      <c r="A450" s="2">
        <v>45903</v>
      </c>
      <c r="B450" s="1" t="s">
        <v>1170</v>
      </c>
      <c r="C450" s="1" t="s">
        <v>1388</v>
      </c>
      <c r="D450" s="1" t="s">
        <v>24</v>
      </c>
      <c r="E450" s="1">
        <v>85306</v>
      </c>
      <c r="F450" s="1" t="s">
        <v>310</v>
      </c>
      <c r="G450" s="1" t="s">
        <v>1329</v>
      </c>
      <c r="H450" s="4" t="s">
        <v>1389</v>
      </c>
      <c r="I450" s="5" t="s">
        <v>36</v>
      </c>
      <c r="J450" s="5" t="s">
        <v>37</v>
      </c>
      <c r="K450" s="5" t="s">
        <v>37</v>
      </c>
      <c r="L450" s="5" t="s">
        <v>38</v>
      </c>
      <c r="M450" s="5" t="s">
        <v>37</v>
      </c>
      <c r="N450" s="5" t="s">
        <v>37</v>
      </c>
      <c r="O450" s="5" t="s">
        <v>38</v>
      </c>
      <c r="P450" s="5" t="s">
        <v>39</v>
      </c>
      <c r="Q450" s="2">
        <v>45967</v>
      </c>
      <c r="V450" s="46">
        <f>IF(
  OR(
    ISNUMBER(SEARCH("unable to locate acct", tblDocketedComments[[#This Row],[Docketed Consumer Comments]])),
    ISNUMBER(SEARCH("unknown", tblDocketedComments[[#This Row],[Docketed Consumer Comments]])),
    ISNUMBER(SEARCH("inactive", tblDocketedComments[[#This Row],[Docketed Consumer Comments]]))
  ),
  0,
  1
)</f>
        <v>1</v>
      </c>
    </row>
    <row r="451" spans="1:22">
      <c r="A451" s="2">
        <v>45903</v>
      </c>
      <c r="B451" s="1" t="s">
        <v>1390</v>
      </c>
      <c r="C451" s="1" t="s">
        <v>1391</v>
      </c>
      <c r="D451" s="1" t="s">
        <v>63</v>
      </c>
      <c r="E451" s="1">
        <v>85037</v>
      </c>
      <c r="F451" s="1" t="s">
        <v>310</v>
      </c>
      <c r="G451" s="1" t="s">
        <v>1329</v>
      </c>
      <c r="H451" s="4" t="s">
        <v>90</v>
      </c>
      <c r="V451" s="46">
        <f>IF(
  OR(
    ISNUMBER(SEARCH("unable to locate acct", tblDocketedComments[[#This Row],[Docketed Consumer Comments]])),
    ISNUMBER(SEARCH("unknown", tblDocketedComments[[#This Row],[Docketed Consumer Comments]])),
    ISNUMBER(SEARCH("inactive", tblDocketedComments[[#This Row],[Docketed Consumer Comments]]))
  ),
  0,
  1
)</f>
        <v>1</v>
      </c>
    </row>
    <row r="452" spans="1:22">
      <c r="A452" s="2">
        <v>45903</v>
      </c>
      <c r="B452" s="1" t="s">
        <v>1392</v>
      </c>
      <c r="C452" s="1" t="s">
        <v>1393</v>
      </c>
      <c r="D452" s="1" t="s">
        <v>202</v>
      </c>
      <c r="E452" s="1">
        <v>85382</v>
      </c>
      <c r="F452" s="1" t="s">
        <v>31</v>
      </c>
      <c r="G452" s="1" t="s">
        <v>1329</v>
      </c>
      <c r="H452" s="4" t="s">
        <v>1394</v>
      </c>
      <c r="I452" s="5" t="s">
        <v>1040</v>
      </c>
      <c r="J452" s="5" t="s">
        <v>37</v>
      </c>
      <c r="K452" s="5" t="s">
        <v>37</v>
      </c>
      <c r="L452" s="7" t="s">
        <v>1395</v>
      </c>
      <c r="M452" s="5" t="s">
        <v>37</v>
      </c>
      <c r="N452" s="5" t="s">
        <v>37</v>
      </c>
      <c r="O452" s="5" t="s">
        <v>38</v>
      </c>
      <c r="P452" s="7"/>
      <c r="Q452" s="2">
        <v>45967</v>
      </c>
      <c r="V452" s="46">
        <f>IF(
  OR(
    ISNUMBER(SEARCH("unable to locate acct", tblDocketedComments[[#This Row],[Docketed Consumer Comments]])),
    ISNUMBER(SEARCH("unknown", tblDocketedComments[[#This Row],[Docketed Consumer Comments]])),
    ISNUMBER(SEARCH("inactive", tblDocketedComments[[#This Row],[Docketed Consumer Comments]]))
  ),
  0,
  1
)</f>
        <v>1</v>
      </c>
    </row>
    <row r="453" spans="1:22">
      <c r="A453" s="2">
        <v>45903</v>
      </c>
      <c r="B453" s="1" t="s">
        <v>1396</v>
      </c>
      <c r="C453" s="1" t="s">
        <v>1397</v>
      </c>
      <c r="D453" s="1" t="s">
        <v>63</v>
      </c>
      <c r="E453" s="1">
        <v>85085</v>
      </c>
      <c r="F453" s="1" t="s">
        <v>310</v>
      </c>
      <c r="G453" s="1" t="s">
        <v>1329</v>
      </c>
      <c r="H453" s="4" t="s">
        <v>1398</v>
      </c>
      <c r="I453" s="5" t="s">
        <v>541</v>
      </c>
      <c r="J453" s="5" t="s">
        <v>37</v>
      </c>
      <c r="K453" s="5" t="s">
        <v>37</v>
      </c>
      <c r="L453" s="5" t="s">
        <v>389</v>
      </c>
      <c r="M453" s="5" t="s">
        <v>37</v>
      </c>
      <c r="N453" s="5" t="s">
        <v>37</v>
      </c>
      <c r="O453" s="5" t="s">
        <v>38</v>
      </c>
      <c r="P453" s="5" t="s">
        <v>39</v>
      </c>
      <c r="Q453" s="2">
        <v>45967</v>
      </c>
      <c r="V453" s="46">
        <f>IF(
  OR(
    ISNUMBER(SEARCH("unable to locate acct", tblDocketedComments[[#This Row],[Docketed Consumer Comments]])),
    ISNUMBER(SEARCH("unknown", tblDocketedComments[[#This Row],[Docketed Consumer Comments]])),
    ISNUMBER(SEARCH("inactive", tblDocketedComments[[#This Row],[Docketed Consumer Comments]]))
  ),
  0,
  1
)</f>
        <v>1</v>
      </c>
    </row>
    <row r="454" spans="1:22">
      <c r="A454" s="2">
        <v>45903</v>
      </c>
      <c r="B454" s="1" t="s">
        <v>1399</v>
      </c>
      <c r="C454" s="1" t="s">
        <v>1400</v>
      </c>
      <c r="D454" s="1" t="s">
        <v>129</v>
      </c>
      <c r="E454" s="1">
        <v>85298</v>
      </c>
      <c r="F454" s="1" t="s">
        <v>310</v>
      </c>
      <c r="G454" s="1" t="s">
        <v>1329</v>
      </c>
      <c r="H454" s="4" t="s">
        <v>27</v>
      </c>
      <c r="V454" s="46">
        <f>IF(
  OR(
    ISNUMBER(SEARCH("unable to locate acct", tblDocketedComments[[#This Row],[Docketed Consumer Comments]])),
    ISNUMBER(SEARCH("unknown", tblDocketedComments[[#This Row],[Docketed Consumer Comments]])),
    ISNUMBER(SEARCH("inactive", tblDocketedComments[[#This Row],[Docketed Consumer Comments]]))
  ),
  0,
  1
)</f>
        <v>1</v>
      </c>
    </row>
    <row r="455" spans="1:22">
      <c r="A455" s="2">
        <v>45903</v>
      </c>
      <c r="B455" s="1" t="s">
        <v>1401</v>
      </c>
      <c r="C455" s="1" t="s">
        <v>1402</v>
      </c>
      <c r="D455" s="1" t="s">
        <v>63</v>
      </c>
      <c r="E455" s="1">
        <v>85053</v>
      </c>
      <c r="F455" s="1" t="s">
        <v>310</v>
      </c>
      <c r="G455" s="1" t="s">
        <v>1329</v>
      </c>
      <c r="H455" s="4" t="s">
        <v>90</v>
      </c>
      <c r="V455" s="46">
        <f>IF(
  OR(
    ISNUMBER(SEARCH("unable to locate acct", tblDocketedComments[[#This Row],[Docketed Consumer Comments]])),
    ISNUMBER(SEARCH("unknown", tblDocketedComments[[#This Row],[Docketed Consumer Comments]])),
    ISNUMBER(SEARCH("inactive", tblDocketedComments[[#This Row],[Docketed Consumer Comments]]))
  ),
  0,
  1
)</f>
        <v>1</v>
      </c>
    </row>
    <row r="456" spans="1:22">
      <c r="A456" s="2">
        <v>45903</v>
      </c>
      <c r="B456" s="1" t="s">
        <v>1403</v>
      </c>
      <c r="C456" s="1" t="s">
        <v>1404</v>
      </c>
      <c r="D456" s="1" t="s">
        <v>112</v>
      </c>
      <c r="E456" s="1">
        <v>85387</v>
      </c>
      <c r="F456" s="1" t="s">
        <v>310</v>
      </c>
      <c r="G456" s="1" t="s">
        <v>1329</v>
      </c>
      <c r="H456" s="4" t="s">
        <v>1405</v>
      </c>
      <c r="I456" s="5" t="s">
        <v>36</v>
      </c>
      <c r="J456" s="5" t="s">
        <v>37</v>
      </c>
      <c r="K456" s="5" t="s">
        <v>37</v>
      </c>
      <c r="L456" s="5" t="s">
        <v>38</v>
      </c>
      <c r="M456" s="5" t="s">
        <v>37</v>
      </c>
      <c r="N456" s="5" t="s">
        <v>37</v>
      </c>
      <c r="O456" s="5" t="s">
        <v>38</v>
      </c>
      <c r="P456" s="5" t="s">
        <v>39</v>
      </c>
      <c r="Q456" s="2">
        <v>45967</v>
      </c>
      <c r="V456" s="46">
        <f>IF(
  OR(
    ISNUMBER(SEARCH("unable to locate acct", tblDocketedComments[[#This Row],[Docketed Consumer Comments]])),
    ISNUMBER(SEARCH("unknown", tblDocketedComments[[#This Row],[Docketed Consumer Comments]])),
    ISNUMBER(SEARCH("inactive", tblDocketedComments[[#This Row],[Docketed Consumer Comments]]))
  ),
  0,
  1
)</f>
        <v>1</v>
      </c>
    </row>
    <row r="457" spans="1:22">
      <c r="A457" s="2">
        <v>45903</v>
      </c>
      <c r="B457" s="1" t="s">
        <v>930</v>
      </c>
      <c r="C457" s="1" t="s">
        <v>328</v>
      </c>
      <c r="D457" s="1" t="s">
        <v>125</v>
      </c>
      <c r="E457" s="1">
        <v>85251</v>
      </c>
      <c r="F457" s="1" t="s">
        <v>31</v>
      </c>
      <c r="G457" s="1" t="s">
        <v>1329</v>
      </c>
      <c r="H457" s="4" t="s">
        <v>27</v>
      </c>
      <c r="V457" s="46">
        <f>IF(
  OR(
    ISNUMBER(SEARCH("unable to locate acct", tblDocketedComments[[#This Row],[Docketed Consumer Comments]])),
    ISNUMBER(SEARCH("unknown", tblDocketedComments[[#This Row],[Docketed Consumer Comments]])),
    ISNUMBER(SEARCH("inactive", tblDocketedComments[[#This Row],[Docketed Consumer Comments]]))
  ),
  0,
  1
)</f>
        <v>1</v>
      </c>
    </row>
    <row r="458" spans="1:22">
      <c r="A458" s="2">
        <v>45903</v>
      </c>
      <c r="B458" s="1" t="s">
        <v>1406</v>
      </c>
      <c r="C458" s="1" t="s">
        <v>1407</v>
      </c>
      <c r="D458" s="1" t="s">
        <v>202</v>
      </c>
      <c r="E458" s="1">
        <v>85383</v>
      </c>
      <c r="F458" s="1" t="s">
        <v>310</v>
      </c>
      <c r="G458" s="1" t="s">
        <v>1329</v>
      </c>
      <c r="H458" s="4" t="s">
        <v>1408</v>
      </c>
      <c r="I458" s="5" t="s">
        <v>1040</v>
      </c>
      <c r="J458" s="5" t="s">
        <v>37</v>
      </c>
      <c r="K458" s="5" t="s">
        <v>37</v>
      </c>
      <c r="L458" s="5" t="s">
        <v>1409</v>
      </c>
      <c r="M458" s="5" t="s">
        <v>37</v>
      </c>
      <c r="N458" s="5" t="s">
        <v>37</v>
      </c>
      <c r="O458" s="5" t="s">
        <v>38</v>
      </c>
      <c r="P458" s="5" t="s">
        <v>39</v>
      </c>
      <c r="Q458" s="2">
        <v>45967</v>
      </c>
      <c r="R458" s="1" t="s">
        <v>1410</v>
      </c>
      <c r="V458" s="46">
        <f>IF(
  OR(
    ISNUMBER(SEARCH("unable to locate acct", tblDocketedComments[[#This Row],[Docketed Consumer Comments]])),
    ISNUMBER(SEARCH("unknown", tblDocketedComments[[#This Row],[Docketed Consumer Comments]])),
    ISNUMBER(SEARCH("inactive", tblDocketedComments[[#This Row],[Docketed Consumer Comments]]))
  ),
  0,
  1
)</f>
        <v>1</v>
      </c>
    </row>
    <row r="459" spans="1:22">
      <c r="A459" s="2">
        <v>45903</v>
      </c>
      <c r="B459" s="1" t="s">
        <v>1411</v>
      </c>
      <c r="C459" s="1" t="s">
        <v>1412</v>
      </c>
      <c r="D459" s="1" t="s">
        <v>202</v>
      </c>
      <c r="E459" s="1">
        <v>85383</v>
      </c>
      <c r="F459" s="1" t="s">
        <v>310</v>
      </c>
      <c r="G459" s="1" t="s">
        <v>1329</v>
      </c>
      <c r="H459" s="4" t="s">
        <v>27</v>
      </c>
      <c r="V459" s="46">
        <f>IF(
  OR(
    ISNUMBER(SEARCH("unable to locate acct", tblDocketedComments[[#This Row],[Docketed Consumer Comments]])),
    ISNUMBER(SEARCH("unknown", tblDocketedComments[[#This Row],[Docketed Consumer Comments]])),
    ISNUMBER(SEARCH("inactive", tblDocketedComments[[#This Row],[Docketed Consumer Comments]]))
  ),
  0,
  1
)</f>
        <v>1</v>
      </c>
    </row>
    <row r="460" spans="1:22">
      <c r="A460" s="2">
        <v>45903</v>
      </c>
      <c r="B460" s="1" t="s">
        <v>1413</v>
      </c>
      <c r="C460" s="1" t="s">
        <v>355</v>
      </c>
      <c r="D460" s="1" t="s">
        <v>63</v>
      </c>
      <c r="E460" s="1">
        <v>85027</v>
      </c>
      <c r="F460" s="1" t="s">
        <v>310</v>
      </c>
      <c r="G460" s="1" t="s">
        <v>1329</v>
      </c>
      <c r="H460" s="4" t="s">
        <v>1414</v>
      </c>
      <c r="I460" s="5" t="s">
        <v>196</v>
      </c>
      <c r="J460" s="5" t="s">
        <v>37</v>
      </c>
      <c r="K460" s="5" t="s">
        <v>37</v>
      </c>
      <c r="L460" s="5" t="s">
        <v>1415</v>
      </c>
      <c r="M460" s="5" t="s">
        <v>37</v>
      </c>
      <c r="N460" s="5" t="s">
        <v>37</v>
      </c>
      <c r="O460" s="5" t="s">
        <v>38</v>
      </c>
      <c r="P460" s="5" t="s">
        <v>39</v>
      </c>
      <c r="Q460" s="2">
        <v>45967</v>
      </c>
      <c r="V460" s="46">
        <f>IF(
  OR(
    ISNUMBER(SEARCH("unable to locate acct", tblDocketedComments[[#This Row],[Docketed Consumer Comments]])),
    ISNUMBER(SEARCH("unknown", tblDocketedComments[[#This Row],[Docketed Consumer Comments]])),
    ISNUMBER(SEARCH("inactive", tblDocketedComments[[#This Row],[Docketed Consumer Comments]]))
  ),
  0,
  1
)</f>
        <v>1</v>
      </c>
    </row>
    <row r="461" spans="1:22">
      <c r="A461" s="2">
        <v>45903</v>
      </c>
      <c r="B461" s="1" t="s">
        <v>1416</v>
      </c>
      <c r="C461" s="1" t="s">
        <v>1417</v>
      </c>
      <c r="D461" s="1" t="s">
        <v>202</v>
      </c>
      <c r="E461" s="1">
        <v>85383</v>
      </c>
      <c r="F461" s="1" t="s">
        <v>31</v>
      </c>
      <c r="G461" s="1" t="s">
        <v>1329</v>
      </c>
      <c r="H461" s="4" t="s">
        <v>209</v>
      </c>
      <c r="V461" s="46">
        <f>IF(
  OR(
    ISNUMBER(SEARCH("unable to locate acct", tblDocketedComments[[#This Row],[Docketed Consumer Comments]])),
    ISNUMBER(SEARCH("unknown", tblDocketedComments[[#This Row],[Docketed Consumer Comments]])),
    ISNUMBER(SEARCH("inactive", tblDocketedComments[[#This Row],[Docketed Consumer Comments]]))
  ),
  0,
  1
)</f>
        <v>1</v>
      </c>
    </row>
    <row r="462" spans="1:22">
      <c r="A462" s="2">
        <v>45903</v>
      </c>
      <c r="B462" s="1" t="s">
        <v>1418</v>
      </c>
      <c r="C462" s="1" t="s">
        <v>1265</v>
      </c>
      <c r="D462" s="1" t="s">
        <v>63</v>
      </c>
      <c r="E462" s="1">
        <v>85086</v>
      </c>
      <c r="F462" s="1" t="s">
        <v>310</v>
      </c>
      <c r="G462" s="1" t="s">
        <v>1329</v>
      </c>
      <c r="H462" s="4" t="s">
        <v>1419</v>
      </c>
      <c r="I462" s="5" t="s">
        <v>46</v>
      </c>
      <c r="J462" s="5" t="s">
        <v>37</v>
      </c>
      <c r="K462" s="5" t="s">
        <v>37</v>
      </c>
      <c r="L462" s="5" t="s">
        <v>1420</v>
      </c>
      <c r="M462" s="5" t="s">
        <v>37</v>
      </c>
      <c r="N462" s="5" t="s">
        <v>37</v>
      </c>
      <c r="O462" s="5" t="s">
        <v>38</v>
      </c>
      <c r="P462" s="5" t="s">
        <v>39</v>
      </c>
      <c r="Q462" s="2">
        <v>45967</v>
      </c>
      <c r="R462" s="1" t="s">
        <v>1421</v>
      </c>
      <c r="V462" s="46">
        <f>IF(
  OR(
    ISNUMBER(SEARCH("unable to locate acct", tblDocketedComments[[#This Row],[Docketed Consumer Comments]])),
    ISNUMBER(SEARCH("unknown", tblDocketedComments[[#This Row],[Docketed Consumer Comments]])),
    ISNUMBER(SEARCH("inactive", tblDocketedComments[[#This Row],[Docketed Consumer Comments]]))
  ),
  0,
  1
)</f>
        <v>1</v>
      </c>
    </row>
    <row r="463" spans="1:22">
      <c r="A463" s="2">
        <v>45903</v>
      </c>
      <c r="B463" s="1" t="s">
        <v>1422</v>
      </c>
      <c r="C463" s="1" t="s">
        <v>1423</v>
      </c>
      <c r="D463" s="1" t="s">
        <v>523</v>
      </c>
      <c r="E463" s="1">
        <v>85392</v>
      </c>
      <c r="F463" s="1" t="s">
        <v>31</v>
      </c>
      <c r="G463" s="1" t="s">
        <v>1329</v>
      </c>
      <c r="H463" s="4" t="s">
        <v>1424</v>
      </c>
      <c r="I463" s="5" t="s">
        <v>418</v>
      </c>
      <c r="J463" s="5" t="s">
        <v>37</v>
      </c>
      <c r="K463" s="5" t="s">
        <v>37</v>
      </c>
      <c r="L463" s="5" t="s">
        <v>389</v>
      </c>
      <c r="M463" s="5" t="s">
        <v>37</v>
      </c>
      <c r="N463" s="5" t="s">
        <v>37</v>
      </c>
      <c r="O463" s="5" t="s">
        <v>38</v>
      </c>
      <c r="P463" s="5" t="s">
        <v>39</v>
      </c>
      <c r="Q463" s="2">
        <v>45967</v>
      </c>
      <c r="V463" s="46">
        <f>IF(
  OR(
    ISNUMBER(SEARCH("unable to locate acct", tblDocketedComments[[#This Row],[Docketed Consumer Comments]])),
    ISNUMBER(SEARCH("unknown", tblDocketedComments[[#This Row],[Docketed Consumer Comments]])),
    ISNUMBER(SEARCH("inactive", tblDocketedComments[[#This Row],[Docketed Consumer Comments]]))
  ),
  0,
  1
)</f>
        <v>1</v>
      </c>
    </row>
    <row r="464" spans="1:22">
      <c r="A464" s="2">
        <v>45903</v>
      </c>
      <c r="B464" s="1" t="s">
        <v>1425</v>
      </c>
      <c r="C464" s="1" t="s">
        <v>1426</v>
      </c>
      <c r="D464" s="1" t="s">
        <v>63</v>
      </c>
      <c r="E464" s="1">
        <v>85021</v>
      </c>
      <c r="F464" s="1" t="s">
        <v>310</v>
      </c>
      <c r="G464" s="1" t="s">
        <v>1329</v>
      </c>
      <c r="H464" s="4" t="s">
        <v>1427</v>
      </c>
      <c r="I464" s="5" t="s">
        <v>196</v>
      </c>
      <c r="J464" s="5" t="s">
        <v>37</v>
      </c>
      <c r="K464" s="5" t="s">
        <v>37</v>
      </c>
      <c r="L464" s="7" t="s">
        <v>1428</v>
      </c>
      <c r="M464" s="5" t="s">
        <v>37</v>
      </c>
      <c r="N464" s="5" t="s">
        <v>37</v>
      </c>
      <c r="O464" s="5" t="s">
        <v>38</v>
      </c>
      <c r="P464" s="2">
        <v>45936</v>
      </c>
      <c r="Q464" s="2">
        <v>45967</v>
      </c>
      <c r="R464" s="1" t="s">
        <v>1429</v>
      </c>
      <c r="V464" s="46">
        <f>IF(
  OR(
    ISNUMBER(SEARCH("unable to locate acct", tblDocketedComments[[#This Row],[Docketed Consumer Comments]])),
    ISNUMBER(SEARCH("unknown", tblDocketedComments[[#This Row],[Docketed Consumer Comments]])),
    ISNUMBER(SEARCH("inactive", tblDocketedComments[[#This Row],[Docketed Consumer Comments]]))
  ),
  0,
  1
)</f>
        <v>1</v>
      </c>
    </row>
    <row r="465" spans="1:22">
      <c r="A465" s="2">
        <v>45903</v>
      </c>
      <c r="B465" s="1" t="s">
        <v>1147</v>
      </c>
      <c r="C465" s="1" t="s">
        <v>1430</v>
      </c>
      <c r="D465" s="1" t="s">
        <v>63</v>
      </c>
      <c r="E465" s="1">
        <v>85032</v>
      </c>
      <c r="F465" s="1" t="s">
        <v>31</v>
      </c>
      <c r="G465" s="1" t="s">
        <v>1329</v>
      </c>
      <c r="H465" s="4" t="s">
        <v>90</v>
      </c>
      <c r="V465" s="46">
        <f>IF(
  OR(
    ISNUMBER(SEARCH("unable to locate acct", tblDocketedComments[[#This Row],[Docketed Consumer Comments]])),
    ISNUMBER(SEARCH("unknown", tblDocketedComments[[#This Row],[Docketed Consumer Comments]])),
    ISNUMBER(SEARCH("inactive", tblDocketedComments[[#This Row],[Docketed Consumer Comments]]))
  ),
  0,
  1
)</f>
        <v>1</v>
      </c>
    </row>
    <row r="466" spans="1:22">
      <c r="A466" s="2">
        <v>45903</v>
      </c>
      <c r="B466" s="1" t="s">
        <v>1431</v>
      </c>
      <c r="C466" s="1" t="s">
        <v>1432</v>
      </c>
      <c r="D466" s="1" t="s">
        <v>63</v>
      </c>
      <c r="E466" s="1">
        <v>85024</v>
      </c>
      <c r="F466" s="1" t="s">
        <v>310</v>
      </c>
      <c r="G466" s="1" t="s">
        <v>1329</v>
      </c>
      <c r="H466" s="4" t="s">
        <v>1433</v>
      </c>
      <c r="I466" s="5" t="s">
        <v>36</v>
      </c>
      <c r="J466" s="5" t="s">
        <v>37</v>
      </c>
      <c r="K466" s="5" t="s">
        <v>37</v>
      </c>
      <c r="L466" s="5" t="s">
        <v>38</v>
      </c>
      <c r="M466" s="5" t="s">
        <v>37</v>
      </c>
      <c r="N466" s="5" t="s">
        <v>37</v>
      </c>
      <c r="O466" s="5" t="s">
        <v>38</v>
      </c>
      <c r="P466" s="5" t="s">
        <v>39</v>
      </c>
      <c r="Q466" s="2">
        <v>45967</v>
      </c>
      <c r="V466" s="46">
        <f>IF(
  OR(
    ISNUMBER(SEARCH("unable to locate acct", tblDocketedComments[[#This Row],[Docketed Consumer Comments]])),
    ISNUMBER(SEARCH("unknown", tblDocketedComments[[#This Row],[Docketed Consumer Comments]])),
    ISNUMBER(SEARCH("inactive", tblDocketedComments[[#This Row],[Docketed Consumer Comments]]))
  ),
  0,
  1
)</f>
        <v>1</v>
      </c>
    </row>
    <row r="467" spans="1:22">
      <c r="A467" s="2">
        <v>45903</v>
      </c>
      <c r="B467" s="1" t="s">
        <v>1434</v>
      </c>
      <c r="C467" s="1" t="s">
        <v>1435</v>
      </c>
      <c r="D467" s="1" t="s">
        <v>169</v>
      </c>
      <c r="E467" s="1">
        <v>85338</v>
      </c>
      <c r="F467" s="1" t="s">
        <v>31</v>
      </c>
      <c r="G467" s="1" t="s">
        <v>1329</v>
      </c>
      <c r="H467" s="4" t="s">
        <v>1436</v>
      </c>
      <c r="I467" s="5" t="s">
        <v>126</v>
      </c>
      <c r="J467" s="5" t="s">
        <v>38</v>
      </c>
      <c r="K467" s="5" t="s">
        <v>37</v>
      </c>
      <c r="L467" s="7" t="s">
        <v>1437</v>
      </c>
      <c r="M467" s="5" t="s">
        <v>37</v>
      </c>
      <c r="N467" s="20" t="s">
        <v>37</v>
      </c>
      <c r="O467" s="5" t="s">
        <v>38</v>
      </c>
      <c r="P467" s="2">
        <v>45936</v>
      </c>
      <c r="Q467" s="2">
        <v>45967</v>
      </c>
      <c r="R467" s="1" t="s">
        <v>1429</v>
      </c>
      <c r="V467" s="46">
        <f>IF(
  OR(
    ISNUMBER(SEARCH("unable to locate acct", tblDocketedComments[[#This Row],[Docketed Consumer Comments]])),
    ISNUMBER(SEARCH("unknown", tblDocketedComments[[#This Row],[Docketed Consumer Comments]])),
    ISNUMBER(SEARCH("inactive", tblDocketedComments[[#This Row],[Docketed Consumer Comments]]))
  ),
  0,
  1
)</f>
        <v>1</v>
      </c>
    </row>
    <row r="468" spans="1:22">
      <c r="A468" s="2">
        <v>45903</v>
      </c>
      <c r="B468" s="1" t="s">
        <v>1438</v>
      </c>
      <c r="C468" s="1" t="s">
        <v>1439</v>
      </c>
      <c r="D468" s="1" t="s">
        <v>112</v>
      </c>
      <c r="E468" s="1">
        <v>85379</v>
      </c>
      <c r="F468" s="1" t="s">
        <v>31</v>
      </c>
      <c r="G468" s="1" t="s">
        <v>1329</v>
      </c>
      <c r="H468" s="4" t="s">
        <v>1440</v>
      </c>
      <c r="I468" s="5" t="s">
        <v>36</v>
      </c>
      <c r="J468" s="5" t="s">
        <v>37</v>
      </c>
      <c r="K468" s="5" t="s">
        <v>37</v>
      </c>
      <c r="L468" s="5" t="s">
        <v>38</v>
      </c>
      <c r="M468" s="5" t="s">
        <v>37</v>
      </c>
      <c r="N468" s="5" t="s">
        <v>37</v>
      </c>
      <c r="O468" s="5" t="s">
        <v>38</v>
      </c>
      <c r="P468" s="5" t="s">
        <v>39</v>
      </c>
      <c r="Q468" s="2">
        <v>45967</v>
      </c>
      <c r="V468" s="46">
        <f>IF(
  OR(
    ISNUMBER(SEARCH("unable to locate acct", tblDocketedComments[[#This Row],[Docketed Consumer Comments]])),
    ISNUMBER(SEARCH("unknown", tblDocketedComments[[#This Row],[Docketed Consumer Comments]])),
    ISNUMBER(SEARCH("inactive", tblDocketedComments[[#This Row],[Docketed Consumer Comments]]))
  ),
  0,
  1
)</f>
        <v>1</v>
      </c>
    </row>
    <row r="469" spans="1:22">
      <c r="A469" s="2">
        <v>45903</v>
      </c>
      <c r="B469" s="1" t="s">
        <v>1441</v>
      </c>
      <c r="C469" s="1" t="s">
        <v>1372</v>
      </c>
      <c r="D469" s="1" t="s">
        <v>169</v>
      </c>
      <c r="E469" s="1">
        <v>85338</v>
      </c>
      <c r="F469" s="1" t="s">
        <v>310</v>
      </c>
      <c r="G469" s="1" t="s">
        <v>1329</v>
      </c>
      <c r="H469" s="4" t="s">
        <v>1442</v>
      </c>
      <c r="I469" s="5" t="s">
        <v>57</v>
      </c>
      <c r="J469" s="5" t="s">
        <v>37</v>
      </c>
      <c r="K469" s="5" t="s">
        <v>37</v>
      </c>
      <c r="L469" s="5" t="s">
        <v>1443</v>
      </c>
      <c r="M469" s="5" t="s">
        <v>37</v>
      </c>
      <c r="N469" s="5" t="s">
        <v>37</v>
      </c>
      <c r="O469" s="5" t="s">
        <v>38</v>
      </c>
      <c r="P469" s="5" t="s">
        <v>39</v>
      </c>
      <c r="Q469" s="2">
        <v>45967</v>
      </c>
      <c r="V469" s="46">
        <f>IF(
  OR(
    ISNUMBER(SEARCH("unable to locate acct", tblDocketedComments[[#This Row],[Docketed Consumer Comments]])),
    ISNUMBER(SEARCH("unknown", tblDocketedComments[[#This Row],[Docketed Consumer Comments]])),
    ISNUMBER(SEARCH("inactive", tblDocketedComments[[#This Row],[Docketed Consumer Comments]]))
  ),
  0,
  1
)</f>
        <v>1</v>
      </c>
    </row>
    <row r="470" spans="1:22">
      <c r="A470" s="2">
        <v>45903</v>
      </c>
      <c r="B470" s="1" t="s">
        <v>363</v>
      </c>
      <c r="C470" s="1" t="s">
        <v>1444</v>
      </c>
      <c r="D470" s="1" t="s">
        <v>63</v>
      </c>
      <c r="E470" s="1">
        <v>85085</v>
      </c>
      <c r="F470" s="1" t="s">
        <v>31</v>
      </c>
      <c r="G470" s="1" t="s">
        <v>1329</v>
      </c>
      <c r="H470" s="4" t="s">
        <v>1445</v>
      </c>
      <c r="I470" s="5" t="s">
        <v>250</v>
      </c>
      <c r="J470" s="5" t="s">
        <v>37</v>
      </c>
      <c r="K470" s="5" t="s">
        <v>37</v>
      </c>
      <c r="L470" s="5" t="s">
        <v>38</v>
      </c>
      <c r="M470" s="5" t="s">
        <v>37</v>
      </c>
      <c r="N470" s="5" t="s">
        <v>37</v>
      </c>
      <c r="O470" s="5" t="s">
        <v>38</v>
      </c>
      <c r="P470" s="5" t="s">
        <v>39</v>
      </c>
      <c r="Q470" s="2">
        <v>45967</v>
      </c>
      <c r="V470" s="46">
        <f>IF(
  OR(
    ISNUMBER(SEARCH("unable to locate acct", tblDocketedComments[[#This Row],[Docketed Consumer Comments]])),
    ISNUMBER(SEARCH("unknown", tblDocketedComments[[#This Row],[Docketed Consumer Comments]])),
    ISNUMBER(SEARCH("inactive", tblDocketedComments[[#This Row],[Docketed Consumer Comments]]))
  ),
  0,
  1
)</f>
        <v>1</v>
      </c>
    </row>
    <row r="471" spans="1:22">
      <c r="A471" s="2">
        <v>45903</v>
      </c>
      <c r="B471" s="1" t="s">
        <v>1446</v>
      </c>
      <c r="C471" s="1" t="s">
        <v>1447</v>
      </c>
      <c r="D471" s="1" t="s">
        <v>63</v>
      </c>
      <c r="E471" s="1">
        <v>85053</v>
      </c>
      <c r="F471" s="1" t="s">
        <v>31</v>
      </c>
      <c r="G471" s="1" t="s">
        <v>1329</v>
      </c>
      <c r="H471" s="4" t="s">
        <v>1448</v>
      </c>
      <c r="I471" s="5" t="s">
        <v>250</v>
      </c>
      <c r="J471" s="5" t="s">
        <v>37</v>
      </c>
      <c r="K471" s="5" t="s">
        <v>37</v>
      </c>
      <c r="L471" s="5" t="s">
        <v>38</v>
      </c>
      <c r="M471" s="5" t="s">
        <v>37</v>
      </c>
      <c r="N471" s="5" t="s">
        <v>37</v>
      </c>
      <c r="O471" s="5" t="s">
        <v>38</v>
      </c>
      <c r="P471" s="5" t="s">
        <v>39</v>
      </c>
      <c r="Q471" s="2">
        <v>45967</v>
      </c>
      <c r="V471" s="46">
        <f>IF(
  OR(
    ISNUMBER(SEARCH("unable to locate acct", tblDocketedComments[[#This Row],[Docketed Consumer Comments]])),
    ISNUMBER(SEARCH("unknown", tblDocketedComments[[#This Row],[Docketed Consumer Comments]])),
    ISNUMBER(SEARCH("inactive", tblDocketedComments[[#This Row],[Docketed Consumer Comments]]))
  ),
  0,
  1
)</f>
        <v>1</v>
      </c>
    </row>
    <row r="472" spans="1:22">
      <c r="A472" s="2">
        <v>45903</v>
      </c>
      <c r="B472" s="1" t="s">
        <v>1446</v>
      </c>
      <c r="C472" s="1" t="s">
        <v>312</v>
      </c>
      <c r="D472" s="1" t="s">
        <v>63</v>
      </c>
      <c r="E472" s="1">
        <v>85053</v>
      </c>
      <c r="F472" s="1" t="s">
        <v>310</v>
      </c>
      <c r="G472" s="1" t="s">
        <v>1329</v>
      </c>
      <c r="H472" s="4" t="s">
        <v>27</v>
      </c>
      <c r="V472" s="46">
        <f>IF(
  OR(
    ISNUMBER(SEARCH("unable to locate acct", tblDocketedComments[[#This Row],[Docketed Consumer Comments]])),
    ISNUMBER(SEARCH("unknown", tblDocketedComments[[#This Row],[Docketed Consumer Comments]])),
    ISNUMBER(SEARCH("inactive", tblDocketedComments[[#This Row],[Docketed Consumer Comments]]))
  ),
  0,
  1
)</f>
        <v>1</v>
      </c>
    </row>
    <row r="473" spans="1:22">
      <c r="A473" s="2">
        <v>45903</v>
      </c>
      <c r="B473" s="1" t="s">
        <v>1449</v>
      </c>
      <c r="C473" s="1" t="s">
        <v>1450</v>
      </c>
      <c r="D473" s="1" t="s">
        <v>169</v>
      </c>
      <c r="E473" s="1">
        <v>85395</v>
      </c>
      <c r="F473" s="1" t="s">
        <v>31</v>
      </c>
      <c r="G473" s="1" t="s">
        <v>1329</v>
      </c>
      <c r="H473" s="4" t="s">
        <v>1451</v>
      </c>
      <c r="I473" s="5" t="s">
        <v>243</v>
      </c>
      <c r="J473" s="5" t="s">
        <v>37</v>
      </c>
      <c r="K473" s="5" t="s">
        <v>37</v>
      </c>
      <c r="L473" s="5" t="s">
        <v>389</v>
      </c>
      <c r="M473" s="5" t="s">
        <v>37</v>
      </c>
      <c r="N473" s="5" t="s">
        <v>37</v>
      </c>
      <c r="O473" s="5" t="s">
        <v>38</v>
      </c>
      <c r="P473" s="5" t="s">
        <v>39</v>
      </c>
      <c r="Q473" s="2">
        <v>45967</v>
      </c>
      <c r="V473" s="46">
        <f>IF(
  OR(
    ISNUMBER(SEARCH("unable to locate acct", tblDocketedComments[[#This Row],[Docketed Consumer Comments]])),
    ISNUMBER(SEARCH("unknown", tblDocketedComments[[#This Row],[Docketed Consumer Comments]])),
    ISNUMBER(SEARCH("inactive", tblDocketedComments[[#This Row],[Docketed Consumer Comments]]))
  ),
  0,
  1
)</f>
        <v>1</v>
      </c>
    </row>
    <row r="474" spans="1:22">
      <c r="A474" s="2">
        <v>45903</v>
      </c>
      <c r="B474" s="1" t="s">
        <v>1452</v>
      </c>
      <c r="C474" s="1" t="s">
        <v>206</v>
      </c>
      <c r="D474" s="1" t="s">
        <v>539</v>
      </c>
      <c r="E474" s="1">
        <v>85123</v>
      </c>
      <c r="F474" s="1" t="s">
        <v>31</v>
      </c>
      <c r="G474" s="1" t="s">
        <v>1329</v>
      </c>
      <c r="H474" s="4" t="s">
        <v>1453</v>
      </c>
      <c r="I474" s="5" t="s">
        <v>126</v>
      </c>
      <c r="J474" s="5" t="s">
        <v>37</v>
      </c>
      <c r="K474" s="5" t="s">
        <v>37</v>
      </c>
      <c r="L474" s="5" t="s">
        <v>38</v>
      </c>
      <c r="M474" s="5" t="s">
        <v>37</v>
      </c>
      <c r="N474" s="5" t="s">
        <v>37</v>
      </c>
      <c r="O474" s="5" t="s">
        <v>38</v>
      </c>
      <c r="P474" s="5" t="s">
        <v>39</v>
      </c>
      <c r="Q474" s="2">
        <v>45967</v>
      </c>
      <c r="V474" s="46">
        <f>IF(
  OR(
    ISNUMBER(SEARCH("unable to locate acct", tblDocketedComments[[#This Row],[Docketed Consumer Comments]])),
    ISNUMBER(SEARCH("unknown", tblDocketedComments[[#This Row],[Docketed Consumer Comments]])),
    ISNUMBER(SEARCH("inactive", tblDocketedComments[[#This Row],[Docketed Consumer Comments]]))
  ),
  0,
  1
)</f>
        <v>1</v>
      </c>
    </row>
    <row r="475" spans="1:22">
      <c r="A475" s="2">
        <v>45903</v>
      </c>
      <c r="B475" s="1" t="s">
        <v>1454</v>
      </c>
      <c r="C475" s="1" t="s">
        <v>1455</v>
      </c>
      <c r="D475" s="1" t="s">
        <v>202</v>
      </c>
      <c r="E475" s="1">
        <v>85383</v>
      </c>
      <c r="F475" s="1" t="s">
        <v>310</v>
      </c>
      <c r="G475" s="1" t="s">
        <v>1329</v>
      </c>
      <c r="H475" s="4" t="s">
        <v>27</v>
      </c>
      <c r="V475" s="46">
        <f>IF(
  OR(
    ISNUMBER(SEARCH("unable to locate acct", tblDocketedComments[[#This Row],[Docketed Consumer Comments]])),
    ISNUMBER(SEARCH("unknown", tblDocketedComments[[#This Row],[Docketed Consumer Comments]])),
    ISNUMBER(SEARCH("inactive", tblDocketedComments[[#This Row],[Docketed Consumer Comments]]))
  ),
  0,
  1
)</f>
        <v>1</v>
      </c>
    </row>
    <row r="476" spans="1:22">
      <c r="A476" s="2">
        <v>45903</v>
      </c>
      <c r="B476" s="1" t="s">
        <v>1456</v>
      </c>
      <c r="C476" s="1" t="s">
        <v>1457</v>
      </c>
      <c r="D476" s="1" t="s">
        <v>202</v>
      </c>
      <c r="E476" s="1">
        <v>85383</v>
      </c>
      <c r="F476" s="1" t="s">
        <v>310</v>
      </c>
      <c r="G476" s="1" t="s">
        <v>1329</v>
      </c>
      <c r="H476" s="4" t="s">
        <v>27</v>
      </c>
      <c r="V476" s="46">
        <f>IF(
  OR(
    ISNUMBER(SEARCH("unable to locate acct", tblDocketedComments[[#This Row],[Docketed Consumer Comments]])),
    ISNUMBER(SEARCH("unknown", tblDocketedComments[[#This Row],[Docketed Consumer Comments]])),
    ISNUMBER(SEARCH("inactive", tblDocketedComments[[#This Row],[Docketed Consumer Comments]]))
  ),
  0,
  1
)</f>
        <v>1</v>
      </c>
    </row>
    <row r="477" spans="1:22">
      <c r="A477" s="2">
        <v>45903</v>
      </c>
      <c r="B477" s="1" t="s">
        <v>1458</v>
      </c>
      <c r="C477" s="1" t="s">
        <v>1459</v>
      </c>
      <c r="D477" s="1" t="s">
        <v>63</v>
      </c>
      <c r="E477" s="1">
        <v>85085</v>
      </c>
      <c r="F477" s="1" t="s">
        <v>31</v>
      </c>
      <c r="G477" s="1" t="s">
        <v>1329</v>
      </c>
      <c r="H477" s="4" t="s">
        <v>1460</v>
      </c>
      <c r="I477" s="5" t="s">
        <v>73</v>
      </c>
      <c r="J477" s="5" t="s">
        <v>37</v>
      </c>
      <c r="K477" s="5" t="s">
        <v>37</v>
      </c>
      <c r="L477" s="5" t="s">
        <v>38</v>
      </c>
      <c r="M477" s="5" t="s">
        <v>37</v>
      </c>
      <c r="N477" s="5" t="s">
        <v>37</v>
      </c>
      <c r="O477" s="5" t="s">
        <v>38</v>
      </c>
      <c r="P477" s="5" t="s">
        <v>39</v>
      </c>
      <c r="Q477" s="2">
        <v>45967</v>
      </c>
      <c r="V477" s="46">
        <f>IF(
  OR(
    ISNUMBER(SEARCH("unable to locate acct", tblDocketedComments[[#This Row],[Docketed Consumer Comments]])),
    ISNUMBER(SEARCH("unknown", tblDocketedComments[[#This Row],[Docketed Consumer Comments]])),
    ISNUMBER(SEARCH("inactive", tblDocketedComments[[#This Row],[Docketed Consumer Comments]]))
  ),
  0,
  1
)</f>
        <v>1</v>
      </c>
    </row>
    <row r="478" spans="1:22">
      <c r="A478" s="2">
        <v>45903</v>
      </c>
      <c r="B478" s="1" t="s">
        <v>1461</v>
      </c>
      <c r="C478" s="1" t="s">
        <v>42</v>
      </c>
      <c r="D478" s="1" t="s">
        <v>240</v>
      </c>
      <c r="E478" s="1">
        <v>85340</v>
      </c>
      <c r="F478" s="1" t="s">
        <v>31</v>
      </c>
      <c r="G478" s="1" t="s">
        <v>1329</v>
      </c>
      <c r="H478" s="4" t="s">
        <v>27</v>
      </c>
      <c r="V478" s="46">
        <f>IF(
  OR(
    ISNUMBER(SEARCH("unable to locate acct", tblDocketedComments[[#This Row],[Docketed Consumer Comments]])),
    ISNUMBER(SEARCH("unknown", tblDocketedComments[[#This Row],[Docketed Consumer Comments]])),
    ISNUMBER(SEARCH("inactive", tblDocketedComments[[#This Row],[Docketed Consumer Comments]]))
  ),
  0,
  1
)</f>
        <v>1</v>
      </c>
    </row>
    <row r="479" spans="1:22">
      <c r="A479" s="2">
        <v>45903</v>
      </c>
      <c r="B479" s="1" t="s">
        <v>1462</v>
      </c>
      <c r="C479" s="1" t="s">
        <v>1463</v>
      </c>
      <c r="D479" s="1" t="s">
        <v>169</v>
      </c>
      <c r="E479" s="1">
        <v>85338</v>
      </c>
      <c r="F479" s="1" t="s">
        <v>31</v>
      </c>
      <c r="G479" s="1" t="s">
        <v>1329</v>
      </c>
      <c r="H479" s="4" t="s">
        <v>1464</v>
      </c>
      <c r="I479" s="5" t="s">
        <v>73</v>
      </c>
      <c r="J479" s="5" t="s">
        <v>37</v>
      </c>
      <c r="K479" s="5" t="s">
        <v>37</v>
      </c>
      <c r="L479" s="5" t="s">
        <v>38</v>
      </c>
      <c r="M479" s="5" t="s">
        <v>37</v>
      </c>
      <c r="N479" s="5" t="s">
        <v>37</v>
      </c>
      <c r="O479" s="5" t="s">
        <v>38</v>
      </c>
      <c r="P479" s="5" t="s">
        <v>39</v>
      </c>
      <c r="Q479" s="2">
        <v>45967</v>
      </c>
      <c r="V479" s="46">
        <f>IF(
  OR(
    ISNUMBER(SEARCH("unable to locate acct", tblDocketedComments[[#This Row],[Docketed Consumer Comments]])),
    ISNUMBER(SEARCH("unknown", tblDocketedComments[[#This Row],[Docketed Consumer Comments]])),
    ISNUMBER(SEARCH("inactive", tblDocketedComments[[#This Row],[Docketed Consumer Comments]]))
  ),
  0,
  1
)</f>
        <v>1</v>
      </c>
    </row>
    <row r="480" spans="1:22">
      <c r="A480" s="2">
        <v>45903</v>
      </c>
      <c r="B480" s="1" t="s">
        <v>1465</v>
      </c>
      <c r="C480" s="1" t="s">
        <v>145</v>
      </c>
      <c r="D480" s="1" t="s">
        <v>169</v>
      </c>
      <c r="E480" s="1">
        <v>85338</v>
      </c>
      <c r="F480" s="1" t="s">
        <v>31</v>
      </c>
      <c r="G480" s="1" t="s">
        <v>1329</v>
      </c>
      <c r="H480" s="4" t="s">
        <v>27</v>
      </c>
      <c r="V480" s="46">
        <f>IF(
  OR(
    ISNUMBER(SEARCH("unable to locate acct", tblDocketedComments[[#This Row],[Docketed Consumer Comments]])),
    ISNUMBER(SEARCH("unknown", tblDocketedComments[[#This Row],[Docketed Consumer Comments]])),
    ISNUMBER(SEARCH("inactive", tblDocketedComments[[#This Row],[Docketed Consumer Comments]]))
  ),
  0,
  1
)</f>
        <v>1</v>
      </c>
    </row>
    <row r="481" spans="1:22">
      <c r="A481" s="2">
        <v>45903</v>
      </c>
      <c r="B481" s="1" t="s">
        <v>1466</v>
      </c>
      <c r="C481" s="1" t="s">
        <v>355</v>
      </c>
      <c r="D481" s="1" t="s">
        <v>63</v>
      </c>
      <c r="E481" s="1">
        <v>85085</v>
      </c>
      <c r="F481" s="1" t="s">
        <v>310</v>
      </c>
      <c r="G481" s="1" t="s">
        <v>1329</v>
      </c>
      <c r="H481" s="4" t="s">
        <v>209</v>
      </c>
      <c r="V481" s="46">
        <f>IF(
  OR(
    ISNUMBER(SEARCH("unable to locate acct", tblDocketedComments[[#This Row],[Docketed Consumer Comments]])),
    ISNUMBER(SEARCH("unknown", tblDocketedComments[[#This Row],[Docketed Consumer Comments]])),
    ISNUMBER(SEARCH("inactive", tblDocketedComments[[#This Row],[Docketed Consumer Comments]]))
  ),
  0,
  1
)</f>
        <v>1</v>
      </c>
    </row>
    <row r="482" spans="1:22">
      <c r="A482" s="2">
        <v>45903</v>
      </c>
      <c r="B482" s="1" t="s">
        <v>1467</v>
      </c>
      <c r="C482" s="1" t="s">
        <v>133</v>
      </c>
      <c r="D482" s="1" t="s">
        <v>169</v>
      </c>
      <c r="E482" s="1">
        <v>85338</v>
      </c>
      <c r="F482" s="1" t="s">
        <v>31</v>
      </c>
      <c r="G482" s="1" t="s">
        <v>1329</v>
      </c>
      <c r="H482" s="4" t="s">
        <v>1468</v>
      </c>
      <c r="I482" s="5" t="s">
        <v>46</v>
      </c>
      <c r="J482" s="5" t="s">
        <v>37</v>
      </c>
      <c r="K482" s="5" t="s">
        <v>37</v>
      </c>
      <c r="L482" s="5" t="s">
        <v>38</v>
      </c>
      <c r="M482" s="5" t="s">
        <v>37</v>
      </c>
      <c r="N482" s="5" t="s">
        <v>37</v>
      </c>
      <c r="O482" s="5" t="s">
        <v>38</v>
      </c>
      <c r="P482" s="5" t="s">
        <v>39</v>
      </c>
      <c r="Q482" s="2">
        <v>45967</v>
      </c>
      <c r="V482" s="46">
        <f>IF(
  OR(
    ISNUMBER(SEARCH("unable to locate acct", tblDocketedComments[[#This Row],[Docketed Consumer Comments]])),
    ISNUMBER(SEARCH("unknown", tblDocketedComments[[#This Row],[Docketed Consumer Comments]])),
    ISNUMBER(SEARCH("inactive", tblDocketedComments[[#This Row],[Docketed Consumer Comments]]))
  ),
  0,
  1
)</f>
        <v>1</v>
      </c>
    </row>
    <row r="483" spans="1:22">
      <c r="A483" s="2">
        <v>45903</v>
      </c>
      <c r="B483" s="1" t="s">
        <v>1469</v>
      </c>
      <c r="C483" s="1" t="s">
        <v>1470</v>
      </c>
      <c r="D483" s="1" t="s">
        <v>202</v>
      </c>
      <c r="E483" s="1">
        <v>85382</v>
      </c>
      <c r="F483" s="1" t="s">
        <v>31</v>
      </c>
      <c r="G483" s="1" t="s">
        <v>1329</v>
      </c>
      <c r="H483" s="4" t="s">
        <v>27</v>
      </c>
      <c r="V483" s="46">
        <f>IF(
  OR(
    ISNUMBER(SEARCH("unable to locate acct", tblDocketedComments[[#This Row],[Docketed Consumer Comments]])),
    ISNUMBER(SEARCH("unknown", tblDocketedComments[[#This Row],[Docketed Consumer Comments]])),
    ISNUMBER(SEARCH("inactive", tblDocketedComments[[#This Row],[Docketed Consumer Comments]]))
  ),
  0,
  1
)</f>
        <v>1</v>
      </c>
    </row>
    <row r="484" spans="1:22">
      <c r="A484" s="2">
        <v>45903</v>
      </c>
      <c r="B484" s="1" t="s">
        <v>1471</v>
      </c>
      <c r="C484" s="1" t="s">
        <v>1472</v>
      </c>
      <c r="D484" s="1" t="s">
        <v>169</v>
      </c>
      <c r="E484" s="1">
        <v>85395</v>
      </c>
      <c r="F484" s="1" t="s">
        <v>31</v>
      </c>
      <c r="G484" s="1" t="s">
        <v>1329</v>
      </c>
      <c r="H484" s="4" t="s">
        <v>1473</v>
      </c>
      <c r="I484" s="5" t="s">
        <v>250</v>
      </c>
      <c r="J484" s="5" t="s">
        <v>37</v>
      </c>
      <c r="K484" s="5" t="s">
        <v>37</v>
      </c>
      <c r="L484" s="5" t="s">
        <v>38</v>
      </c>
      <c r="M484" s="5" t="s">
        <v>37</v>
      </c>
      <c r="N484" s="5" t="s">
        <v>37</v>
      </c>
      <c r="O484" s="5" t="s">
        <v>38</v>
      </c>
      <c r="P484" s="5" t="s">
        <v>39</v>
      </c>
      <c r="Q484" s="2">
        <v>45967</v>
      </c>
      <c r="V484" s="46">
        <f>IF(
  OR(
    ISNUMBER(SEARCH("unable to locate acct", tblDocketedComments[[#This Row],[Docketed Consumer Comments]])),
    ISNUMBER(SEARCH("unknown", tblDocketedComments[[#This Row],[Docketed Consumer Comments]])),
    ISNUMBER(SEARCH("inactive", tblDocketedComments[[#This Row],[Docketed Consumer Comments]]))
  ),
  0,
  1
)</f>
        <v>1</v>
      </c>
    </row>
    <row r="485" spans="1:22">
      <c r="A485" s="2">
        <v>45903</v>
      </c>
      <c r="B485" s="1" t="s">
        <v>1474</v>
      </c>
      <c r="C485" s="1" t="s">
        <v>1475</v>
      </c>
      <c r="D485" s="1" t="s">
        <v>523</v>
      </c>
      <c r="E485" s="1">
        <v>85392</v>
      </c>
      <c r="F485" s="1" t="s">
        <v>31</v>
      </c>
      <c r="G485" s="1" t="s">
        <v>1329</v>
      </c>
      <c r="H485" s="4" t="s">
        <v>1476</v>
      </c>
      <c r="I485" s="5" t="s">
        <v>126</v>
      </c>
      <c r="J485" s="5" t="s">
        <v>37</v>
      </c>
      <c r="K485" s="5" t="s">
        <v>37</v>
      </c>
      <c r="L485" s="7" t="s">
        <v>1477</v>
      </c>
      <c r="M485" s="5" t="s">
        <v>37</v>
      </c>
      <c r="N485" s="5" t="s">
        <v>37</v>
      </c>
      <c r="O485" s="5" t="s">
        <v>38</v>
      </c>
      <c r="P485" s="2">
        <v>45936</v>
      </c>
      <c r="Q485" s="2">
        <v>45967</v>
      </c>
      <c r="R485" s="1" t="s">
        <v>1429</v>
      </c>
      <c r="V485" s="46">
        <f>IF(
  OR(
    ISNUMBER(SEARCH("unable to locate acct", tblDocketedComments[[#This Row],[Docketed Consumer Comments]])),
    ISNUMBER(SEARCH("unknown", tblDocketedComments[[#This Row],[Docketed Consumer Comments]])),
    ISNUMBER(SEARCH("inactive", tblDocketedComments[[#This Row],[Docketed Consumer Comments]]))
  ),
  0,
  1
)</f>
        <v>1</v>
      </c>
    </row>
    <row r="486" spans="1:22">
      <c r="A486" s="2">
        <v>45903</v>
      </c>
      <c r="B486" s="1" t="s">
        <v>1478</v>
      </c>
      <c r="C486" s="1" t="s">
        <v>1479</v>
      </c>
      <c r="D486" s="1" t="s">
        <v>202</v>
      </c>
      <c r="E486" s="1">
        <v>85383</v>
      </c>
      <c r="F486" s="1" t="s">
        <v>310</v>
      </c>
      <c r="G486" s="1" t="s">
        <v>1329</v>
      </c>
      <c r="H486" s="4" t="s">
        <v>1480</v>
      </c>
      <c r="I486" s="5" t="s">
        <v>36</v>
      </c>
      <c r="J486" s="5" t="s">
        <v>37</v>
      </c>
      <c r="K486" s="5" t="s">
        <v>37</v>
      </c>
      <c r="L486" s="5" t="s">
        <v>38</v>
      </c>
      <c r="M486" s="5" t="s">
        <v>37</v>
      </c>
      <c r="N486" s="5" t="s">
        <v>37</v>
      </c>
      <c r="O486" s="5" t="s">
        <v>38</v>
      </c>
      <c r="P486" s="5" t="s">
        <v>39</v>
      </c>
      <c r="Q486" s="2">
        <v>45967</v>
      </c>
      <c r="V486" s="46">
        <f>IF(
  OR(
    ISNUMBER(SEARCH("unable to locate acct", tblDocketedComments[[#This Row],[Docketed Consumer Comments]])),
    ISNUMBER(SEARCH("unknown", tblDocketedComments[[#This Row],[Docketed Consumer Comments]])),
    ISNUMBER(SEARCH("inactive", tblDocketedComments[[#This Row],[Docketed Consumer Comments]]))
  ),
  0,
  1
)</f>
        <v>1</v>
      </c>
    </row>
    <row r="487" spans="1:22">
      <c r="A487" s="2">
        <v>45903</v>
      </c>
      <c r="B487" s="1" t="s">
        <v>1481</v>
      </c>
      <c r="C487" s="1" t="s">
        <v>1482</v>
      </c>
      <c r="D487" s="1" t="s">
        <v>202</v>
      </c>
      <c r="E487" s="1">
        <v>85383</v>
      </c>
      <c r="F487" s="1" t="s">
        <v>310</v>
      </c>
      <c r="G487" s="1" t="s">
        <v>1329</v>
      </c>
      <c r="H487" s="4" t="s">
        <v>1483</v>
      </c>
      <c r="I487" s="5" t="s">
        <v>196</v>
      </c>
      <c r="J487" s="5" t="s">
        <v>37</v>
      </c>
      <c r="K487" s="5" t="s">
        <v>37</v>
      </c>
      <c r="L487" s="5" t="s">
        <v>1484</v>
      </c>
      <c r="M487" s="5" t="s">
        <v>37</v>
      </c>
      <c r="N487" s="5" t="s">
        <v>37</v>
      </c>
      <c r="O487" s="5" t="s">
        <v>38</v>
      </c>
      <c r="P487" s="5" t="s">
        <v>39</v>
      </c>
      <c r="Q487" s="2">
        <v>45967</v>
      </c>
      <c r="V487" s="46">
        <f>IF(
  OR(
    ISNUMBER(SEARCH("unable to locate acct", tblDocketedComments[[#This Row],[Docketed Consumer Comments]])),
    ISNUMBER(SEARCH("unknown", tblDocketedComments[[#This Row],[Docketed Consumer Comments]])),
    ISNUMBER(SEARCH("inactive", tblDocketedComments[[#This Row],[Docketed Consumer Comments]]))
  ),
  0,
  1
)</f>
        <v>1</v>
      </c>
    </row>
    <row r="488" spans="1:22">
      <c r="A488" s="2">
        <v>45903</v>
      </c>
      <c r="B488" s="1" t="s">
        <v>1485</v>
      </c>
      <c r="C488" s="1" t="s">
        <v>1486</v>
      </c>
      <c r="D488" s="1" t="s">
        <v>202</v>
      </c>
      <c r="E488" s="1">
        <v>85383</v>
      </c>
      <c r="F488" s="1" t="s">
        <v>31</v>
      </c>
      <c r="G488" s="1" t="s">
        <v>1329</v>
      </c>
      <c r="H488" s="4" t="s">
        <v>1487</v>
      </c>
      <c r="I488" s="5" t="s">
        <v>1488</v>
      </c>
      <c r="J488" s="5" t="s">
        <v>37</v>
      </c>
      <c r="K488" s="5" t="s">
        <v>37</v>
      </c>
      <c r="L488" s="5" t="s">
        <v>389</v>
      </c>
      <c r="M488" s="5" t="s">
        <v>37</v>
      </c>
      <c r="N488" s="5" t="s">
        <v>37</v>
      </c>
      <c r="O488" s="5" t="s">
        <v>38</v>
      </c>
      <c r="P488" s="5" t="s">
        <v>39</v>
      </c>
      <c r="Q488" s="2">
        <v>45967</v>
      </c>
      <c r="V488" s="46">
        <f>IF(
  OR(
    ISNUMBER(SEARCH("unable to locate acct", tblDocketedComments[[#This Row],[Docketed Consumer Comments]])),
    ISNUMBER(SEARCH("unknown", tblDocketedComments[[#This Row],[Docketed Consumer Comments]])),
    ISNUMBER(SEARCH("inactive", tblDocketedComments[[#This Row],[Docketed Consumer Comments]]))
  ),
  0,
  1
)</f>
        <v>1</v>
      </c>
    </row>
    <row r="489" spans="1:22">
      <c r="A489" s="2">
        <v>45903</v>
      </c>
      <c r="B489" s="1" t="s">
        <v>1489</v>
      </c>
      <c r="C489" s="1" t="s">
        <v>1490</v>
      </c>
      <c r="D489" s="1" t="s">
        <v>169</v>
      </c>
      <c r="E489" s="1">
        <v>85338</v>
      </c>
      <c r="F489" s="1" t="s">
        <v>31</v>
      </c>
      <c r="G489" s="1" t="s">
        <v>1329</v>
      </c>
      <c r="H489" s="4" t="s">
        <v>27</v>
      </c>
      <c r="V489" s="46">
        <f>IF(
  OR(
    ISNUMBER(SEARCH("unable to locate acct", tblDocketedComments[[#This Row],[Docketed Consumer Comments]])),
    ISNUMBER(SEARCH("unknown", tblDocketedComments[[#This Row],[Docketed Consumer Comments]])),
    ISNUMBER(SEARCH("inactive", tblDocketedComments[[#This Row],[Docketed Consumer Comments]]))
  ),
  0,
  1
)</f>
        <v>1</v>
      </c>
    </row>
    <row r="490" spans="1:22">
      <c r="A490" s="2">
        <v>45903</v>
      </c>
      <c r="B490" s="1" t="s">
        <v>238</v>
      </c>
      <c r="C490" s="1" t="s">
        <v>256</v>
      </c>
      <c r="D490" s="1" t="s">
        <v>240</v>
      </c>
      <c r="E490" s="1">
        <v>85340</v>
      </c>
      <c r="F490" s="1" t="s">
        <v>31</v>
      </c>
      <c r="G490" s="1" t="s">
        <v>1329</v>
      </c>
      <c r="H490" s="4" t="s">
        <v>1491</v>
      </c>
      <c r="I490" s="5" t="s">
        <v>57</v>
      </c>
      <c r="J490" s="5" t="s">
        <v>37</v>
      </c>
      <c r="K490" s="5" t="s">
        <v>37</v>
      </c>
      <c r="L490" s="7" t="s">
        <v>1492</v>
      </c>
      <c r="M490" s="5" t="s">
        <v>37</v>
      </c>
      <c r="N490" s="5" t="s">
        <v>37</v>
      </c>
      <c r="O490" s="5" t="s">
        <v>38</v>
      </c>
      <c r="P490" s="2">
        <v>45936</v>
      </c>
      <c r="Q490" s="2">
        <v>45967</v>
      </c>
      <c r="R490" s="1" t="s">
        <v>1429</v>
      </c>
      <c r="V490" s="46">
        <f>IF(
  OR(
    ISNUMBER(SEARCH("unable to locate acct", tblDocketedComments[[#This Row],[Docketed Consumer Comments]])),
    ISNUMBER(SEARCH("unknown", tblDocketedComments[[#This Row],[Docketed Consumer Comments]])),
    ISNUMBER(SEARCH("inactive", tblDocketedComments[[#This Row],[Docketed Consumer Comments]]))
  ),
  0,
  1
)</f>
        <v>1</v>
      </c>
    </row>
    <row r="491" spans="1:22">
      <c r="A491" s="2">
        <v>45903</v>
      </c>
      <c r="B491" s="1" t="s">
        <v>1493</v>
      </c>
      <c r="C491" s="1" t="s">
        <v>597</v>
      </c>
      <c r="D491" s="1" t="s">
        <v>1204</v>
      </c>
      <c r="E491" s="1">
        <v>85355</v>
      </c>
      <c r="F491" s="1" t="s">
        <v>31</v>
      </c>
      <c r="G491" s="1" t="s">
        <v>1329</v>
      </c>
      <c r="H491" s="4" t="s">
        <v>1494</v>
      </c>
      <c r="I491" s="5" t="s">
        <v>46</v>
      </c>
      <c r="J491" s="5" t="s">
        <v>37</v>
      </c>
      <c r="K491" s="5" t="s">
        <v>37</v>
      </c>
      <c r="L491" s="5" t="s">
        <v>38</v>
      </c>
      <c r="M491" s="5" t="s">
        <v>37</v>
      </c>
      <c r="N491" s="5" t="s">
        <v>37</v>
      </c>
      <c r="O491" s="5" t="s">
        <v>38</v>
      </c>
      <c r="P491" s="5" t="s">
        <v>39</v>
      </c>
      <c r="Q491" s="2">
        <v>45967</v>
      </c>
      <c r="V491" s="46">
        <f>IF(
  OR(
    ISNUMBER(SEARCH("unable to locate acct", tblDocketedComments[[#This Row],[Docketed Consumer Comments]])),
    ISNUMBER(SEARCH("unknown", tblDocketedComments[[#This Row],[Docketed Consumer Comments]])),
    ISNUMBER(SEARCH("inactive", tblDocketedComments[[#This Row],[Docketed Consumer Comments]]))
  ),
  0,
  1
)</f>
        <v>1</v>
      </c>
    </row>
    <row r="492" spans="1:22">
      <c r="A492" s="2">
        <v>45903</v>
      </c>
      <c r="B492" s="1" t="s">
        <v>1495</v>
      </c>
      <c r="C492" s="1" t="s">
        <v>1496</v>
      </c>
      <c r="D492" s="1" t="s">
        <v>202</v>
      </c>
      <c r="E492" s="1">
        <v>85383</v>
      </c>
      <c r="F492" s="1" t="s">
        <v>31</v>
      </c>
      <c r="G492" s="1" t="s">
        <v>1329</v>
      </c>
      <c r="H492" s="4" t="s">
        <v>209</v>
      </c>
      <c r="V492" s="46">
        <f>IF(
  OR(
    ISNUMBER(SEARCH("unable to locate acct", tblDocketedComments[[#This Row],[Docketed Consumer Comments]])),
    ISNUMBER(SEARCH("unknown", tblDocketedComments[[#This Row],[Docketed Consumer Comments]])),
    ISNUMBER(SEARCH("inactive", tblDocketedComments[[#This Row],[Docketed Consumer Comments]]))
  ),
  0,
  1
)</f>
        <v>1</v>
      </c>
    </row>
    <row r="493" spans="1:22">
      <c r="A493" s="2">
        <v>45903</v>
      </c>
      <c r="B493" s="1" t="s">
        <v>1497</v>
      </c>
      <c r="C493" s="1" t="s">
        <v>1498</v>
      </c>
      <c r="D493" s="1" t="s">
        <v>63</v>
      </c>
      <c r="E493" s="1">
        <v>85024</v>
      </c>
      <c r="F493" s="1" t="s">
        <v>31</v>
      </c>
      <c r="G493" s="1" t="s">
        <v>1329</v>
      </c>
      <c r="H493" s="4" t="s">
        <v>1499</v>
      </c>
      <c r="I493" s="5" t="s">
        <v>1040</v>
      </c>
      <c r="J493" s="5" t="s">
        <v>37</v>
      </c>
      <c r="K493" s="5" t="s">
        <v>37</v>
      </c>
      <c r="L493" s="5" t="s">
        <v>38</v>
      </c>
      <c r="M493" s="5" t="s">
        <v>37</v>
      </c>
      <c r="N493" s="5" t="s">
        <v>37</v>
      </c>
      <c r="O493" s="5" t="s">
        <v>38</v>
      </c>
      <c r="P493" s="5" t="s">
        <v>39</v>
      </c>
      <c r="Q493" s="2">
        <v>45967</v>
      </c>
      <c r="V493" s="46">
        <f>IF(
  OR(
    ISNUMBER(SEARCH("unable to locate acct", tblDocketedComments[[#This Row],[Docketed Consumer Comments]])),
    ISNUMBER(SEARCH("unknown", tblDocketedComments[[#This Row],[Docketed Consumer Comments]])),
    ISNUMBER(SEARCH("inactive", tblDocketedComments[[#This Row],[Docketed Consumer Comments]]))
  ),
  0,
  1
)</f>
        <v>1</v>
      </c>
    </row>
    <row r="494" spans="1:22">
      <c r="A494" s="2">
        <v>45903</v>
      </c>
      <c r="B494" s="1" t="s">
        <v>1500</v>
      </c>
      <c r="C494" s="1" t="s">
        <v>1501</v>
      </c>
      <c r="D494" s="1" t="s">
        <v>63</v>
      </c>
      <c r="E494" s="1">
        <v>85085</v>
      </c>
      <c r="F494" s="1" t="s">
        <v>310</v>
      </c>
      <c r="G494" s="1" t="s">
        <v>1329</v>
      </c>
      <c r="H494" s="4" t="s">
        <v>1502</v>
      </c>
      <c r="I494" s="5" t="s">
        <v>36</v>
      </c>
      <c r="J494" s="5" t="s">
        <v>37</v>
      </c>
      <c r="K494" s="5" t="s">
        <v>37</v>
      </c>
      <c r="L494" s="5" t="s">
        <v>38</v>
      </c>
      <c r="M494" s="5" t="s">
        <v>37</v>
      </c>
      <c r="N494" s="5" t="s">
        <v>37</v>
      </c>
      <c r="O494" s="5" t="s">
        <v>38</v>
      </c>
      <c r="P494" s="5" t="s">
        <v>39</v>
      </c>
      <c r="Q494" s="2">
        <v>45967</v>
      </c>
      <c r="V494" s="46">
        <f>IF(
  OR(
    ISNUMBER(SEARCH("unable to locate acct", tblDocketedComments[[#This Row],[Docketed Consumer Comments]])),
    ISNUMBER(SEARCH("unknown", tblDocketedComments[[#This Row],[Docketed Consumer Comments]])),
    ISNUMBER(SEARCH("inactive", tblDocketedComments[[#This Row],[Docketed Consumer Comments]]))
  ),
  0,
  1
)</f>
        <v>1</v>
      </c>
    </row>
    <row r="495" spans="1:22">
      <c r="A495" s="2">
        <v>45903</v>
      </c>
      <c r="B495" s="1" t="s">
        <v>1503</v>
      </c>
      <c r="C495" s="1" t="s">
        <v>1504</v>
      </c>
      <c r="D495" s="1" t="s">
        <v>63</v>
      </c>
      <c r="E495" s="1">
        <v>85003</v>
      </c>
      <c r="F495" s="1" t="s">
        <v>310</v>
      </c>
      <c r="G495" s="1" t="s">
        <v>1329</v>
      </c>
      <c r="H495" s="4" t="s">
        <v>1505</v>
      </c>
      <c r="I495" s="5" t="s">
        <v>196</v>
      </c>
      <c r="J495" s="5" t="s">
        <v>37</v>
      </c>
      <c r="K495" s="5" t="s">
        <v>37</v>
      </c>
      <c r="L495" s="7" t="s">
        <v>1506</v>
      </c>
      <c r="M495" s="5" t="s">
        <v>37</v>
      </c>
      <c r="N495" s="5" t="s">
        <v>37</v>
      </c>
      <c r="O495" s="5" t="s">
        <v>38</v>
      </c>
      <c r="P495" s="2">
        <v>45936</v>
      </c>
      <c r="Q495" s="2">
        <v>45967</v>
      </c>
      <c r="R495" s="21" t="s">
        <v>1507</v>
      </c>
      <c r="V495" s="46">
        <f>IF(
  OR(
    ISNUMBER(SEARCH("unable to locate acct", tblDocketedComments[[#This Row],[Docketed Consumer Comments]])),
    ISNUMBER(SEARCH("unknown", tblDocketedComments[[#This Row],[Docketed Consumer Comments]])),
    ISNUMBER(SEARCH("inactive", tblDocketedComments[[#This Row],[Docketed Consumer Comments]]))
  ),
  0,
  1
)</f>
        <v>1</v>
      </c>
    </row>
    <row r="496" spans="1:22">
      <c r="A496" s="2">
        <v>45903</v>
      </c>
      <c r="B496" s="1" t="s">
        <v>1508</v>
      </c>
      <c r="C496" s="1" t="s">
        <v>291</v>
      </c>
      <c r="D496" s="1" t="s">
        <v>169</v>
      </c>
      <c r="E496" s="1">
        <v>85338</v>
      </c>
      <c r="F496" s="1" t="s">
        <v>1509</v>
      </c>
      <c r="G496" s="1" t="s">
        <v>1329</v>
      </c>
      <c r="H496" s="4" t="s">
        <v>1510</v>
      </c>
      <c r="I496" s="5" t="s">
        <v>196</v>
      </c>
      <c r="J496" s="5" t="s">
        <v>37</v>
      </c>
      <c r="K496" s="5" t="s">
        <v>37</v>
      </c>
      <c r="L496" s="7" t="s">
        <v>1511</v>
      </c>
      <c r="M496" s="5" t="s">
        <v>37</v>
      </c>
      <c r="N496" s="5" t="s">
        <v>37</v>
      </c>
      <c r="O496" s="5" t="s">
        <v>38</v>
      </c>
      <c r="P496" s="2">
        <v>45936</v>
      </c>
      <c r="Q496" s="2">
        <v>45967</v>
      </c>
      <c r="R496" s="21" t="s">
        <v>1429</v>
      </c>
      <c r="V496" s="46">
        <f>IF(
  OR(
    ISNUMBER(SEARCH("unable to locate acct", tblDocketedComments[[#This Row],[Docketed Consumer Comments]])),
    ISNUMBER(SEARCH("unknown", tblDocketedComments[[#This Row],[Docketed Consumer Comments]])),
    ISNUMBER(SEARCH("inactive", tblDocketedComments[[#This Row],[Docketed Consumer Comments]]))
  ),
  0,
  1
)</f>
        <v>1</v>
      </c>
    </row>
    <row r="497" spans="1:22">
      <c r="A497" s="2">
        <v>45903</v>
      </c>
      <c r="B497" s="1" t="s">
        <v>1512</v>
      </c>
      <c r="C497" s="1" t="s">
        <v>75</v>
      </c>
      <c r="D497" s="1" t="s">
        <v>63</v>
      </c>
      <c r="E497" s="1">
        <v>85013</v>
      </c>
      <c r="F497" s="1" t="s">
        <v>310</v>
      </c>
      <c r="G497" s="1" t="s">
        <v>1329</v>
      </c>
      <c r="H497" s="4" t="s">
        <v>27</v>
      </c>
      <c r="V497" s="46">
        <f>IF(
  OR(
    ISNUMBER(SEARCH("unable to locate acct", tblDocketedComments[[#This Row],[Docketed Consumer Comments]])),
    ISNUMBER(SEARCH("unknown", tblDocketedComments[[#This Row],[Docketed Consumer Comments]])),
    ISNUMBER(SEARCH("inactive", tblDocketedComments[[#This Row],[Docketed Consumer Comments]]))
  ),
  0,
  1
)</f>
        <v>1</v>
      </c>
    </row>
    <row r="498" spans="1:22">
      <c r="A498" s="2">
        <v>45903</v>
      </c>
      <c r="B498" s="1" t="s">
        <v>1513</v>
      </c>
      <c r="C498" s="1" t="s">
        <v>1514</v>
      </c>
      <c r="D498" s="1" t="s">
        <v>63</v>
      </c>
      <c r="E498" s="1">
        <v>85014</v>
      </c>
      <c r="F498" s="1" t="s">
        <v>310</v>
      </c>
      <c r="G498" s="1" t="s">
        <v>1329</v>
      </c>
      <c r="H498" s="4" t="s">
        <v>27</v>
      </c>
      <c r="R498" s="21"/>
      <c r="V498" s="46">
        <f>IF(
  OR(
    ISNUMBER(SEARCH("unable to locate acct", tblDocketedComments[[#This Row],[Docketed Consumer Comments]])),
    ISNUMBER(SEARCH("unknown", tblDocketedComments[[#This Row],[Docketed Consumer Comments]])),
    ISNUMBER(SEARCH("inactive", tblDocketedComments[[#This Row],[Docketed Consumer Comments]]))
  ),
  0,
  1
)</f>
        <v>1</v>
      </c>
    </row>
    <row r="499" spans="1:22">
      <c r="A499" s="2">
        <v>45903</v>
      </c>
      <c r="B499" s="1" t="s">
        <v>1515</v>
      </c>
      <c r="C499" s="1" t="s">
        <v>1516</v>
      </c>
      <c r="D499" s="1" t="s">
        <v>202</v>
      </c>
      <c r="E499" s="1">
        <v>85383</v>
      </c>
      <c r="F499" s="1" t="s">
        <v>310</v>
      </c>
      <c r="G499" s="1" t="s">
        <v>1329</v>
      </c>
      <c r="H499" s="4" t="s">
        <v>1517</v>
      </c>
      <c r="I499" s="5" t="s">
        <v>196</v>
      </c>
      <c r="J499" s="5" t="s">
        <v>37</v>
      </c>
      <c r="K499" s="5" t="s">
        <v>37</v>
      </c>
      <c r="L499" s="7" t="s">
        <v>1518</v>
      </c>
      <c r="M499" s="5" t="s">
        <v>37</v>
      </c>
      <c r="N499" s="5" t="s">
        <v>37</v>
      </c>
      <c r="O499" s="5" t="s">
        <v>38</v>
      </c>
      <c r="P499" s="2">
        <v>45936</v>
      </c>
      <c r="Q499" s="2">
        <v>45967</v>
      </c>
      <c r="R499" s="1" t="s">
        <v>1429</v>
      </c>
      <c r="V499" s="46">
        <f>IF(
  OR(
    ISNUMBER(SEARCH("unable to locate acct", tblDocketedComments[[#This Row],[Docketed Consumer Comments]])),
    ISNUMBER(SEARCH("unknown", tblDocketedComments[[#This Row],[Docketed Consumer Comments]])),
    ISNUMBER(SEARCH("inactive", tblDocketedComments[[#This Row],[Docketed Consumer Comments]]))
  ),
  0,
  1
)</f>
        <v>1</v>
      </c>
    </row>
    <row r="500" spans="1:22" ht="11.25" customHeight="1">
      <c r="A500" s="2">
        <v>45903</v>
      </c>
      <c r="B500" s="1" t="s">
        <v>1519</v>
      </c>
      <c r="C500" s="1" t="s">
        <v>1520</v>
      </c>
      <c r="D500" s="1" t="s">
        <v>202</v>
      </c>
      <c r="E500" s="1">
        <v>85383</v>
      </c>
      <c r="F500" s="1" t="s">
        <v>310</v>
      </c>
      <c r="G500" s="1" t="s">
        <v>1329</v>
      </c>
      <c r="H500" s="4" t="s">
        <v>1521</v>
      </c>
      <c r="I500" s="5" t="s">
        <v>73</v>
      </c>
      <c r="J500" s="5" t="s">
        <v>37</v>
      </c>
      <c r="K500" s="5" t="s">
        <v>37</v>
      </c>
      <c r="L500" s="5" t="s">
        <v>38</v>
      </c>
      <c r="M500" s="5" t="s">
        <v>37</v>
      </c>
      <c r="N500" s="5" t="s">
        <v>37</v>
      </c>
      <c r="O500" s="5" t="s">
        <v>38</v>
      </c>
      <c r="P500" s="5" t="s">
        <v>39</v>
      </c>
      <c r="Q500" s="2">
        <v>45967</v>
      </c>
      <c r="V500" s="46">
        <f>IF(
  OR(
    ISNUMBER(SEARCH("unable to locate acct", tblDocketedComments[[#This Row],[Docketed Consumer Comments]])),
    ISNUMBER(SEARCH("unknown", tblDocketedComments[[#This Row],[Docketed Consumer Comments]])),
    ISNUMBER(SEARCH("inactive", tblDocketedComments[[#This Row],[Docketed Consumer Comments]]))
  ),
  0,
  1
)</f>
        <v>1</v>
      </c>
    </row>
    <row r="501" spans="1:22">
      <c r="A501" s="2">
        <v>45903</v>
      </c>
      <c r="B501" s="1" t="s">
        <v>1522</v>
      </c>
      <c r="C501" s="1" t="s">
        <v>611</v>
      </c>
      <c r="D501" s="1" t="s">
        <v>169</v>
      </c>
      <c r="E501" s="1">
        <v>85338</v>
      </c>
      <c r="F501" s="1" t="s">
        <v>31</v>
      </c>
      <c r="G501" s="1" t="s">
        <v>1329</v>
      </c>
      <c r="H501" s="4" t="s">
        <v>1523</v>
      </c>
      <c r="I501" s="5" t="s">
        <v>196</v>
      </c>
      <c r="J501" s="5" t="s">
        <v>37</v>
      </c>
      <c r="K501" s="5" t="s">
        <v>37</v>
      </c>
      <c r="L501" s="7" t="s">
        <v>1524</v>
      </c>
      <c r="M501" s="5" t="s">
        <v>37</v>
      </c>
      <c r="N501" s="5" t="s">
        <v>37</v>
      </c>
      <c r="O501" s="5" t="s">
        <v>38</v>
      </c>
      <c r="P501" s="5" t="s">
        <v>39</v>
      </c>
      <c r="Q501" s="2">
        <v>45967</v>
      </c>
      <c r="R501" s="1" t="s">
        <v>1525</v>
      </c>
      <c r="V501" s="46">
        <f>IF(
  OR(
    ISNUMBER(SEARCH("unable to locate acct", tblDocketedComments[[#This Row],[Docketed Consumer Comments]])),
    ISNUMBER(SEARCH("unknown", tblDocketedComments[[#This Row],[Docketed Consumer Comments]])),
    ISNUMBER(SEARCH("inactive", tblDocketedComments[[#This Row],[Docketed Consumer Comments]]))
  ),
  0,
  1
)</f>
        <v>1</v>
      </c>
    </row>
    <row r="502" spans="1:22">
      <c r="A502" s="2">
        <v>45903</v>
      </c>
      <c r="B502" s="1" t="s">
        <v>1526</v>
      </c>
      <c r="C502" s="1" t="s">
        <v>570</v>
      </c>
      <c r="D502" s="1" t="s">
        <v>63</v>
      </c>
      <c r="E502" s="1">
        <v>85024</v>
      </c>
      <c r="F502" s="1" t="s">
        <v>310</v>
      </c>
      <c r="G502" s="1" t="s">
        <v>1329</v>
      </c>
      <c r="H502" s="19" t="s">
        <v>1527</v>
      </c>
      <c r="I502" s="5" t="s">
        <v>1528</v>
      </c>
      <c r="J502" s="5" t="s">
        <v>37</v>
      </c>
      <c r="K502" s="5" t="s">
        <v>37</v>
      </c>
      <c r="L502" s="5" t="s">
        <v>38</v>
      </c>
      <c r="M502" s="5" t="s">
        <v>37</v>
      </c>
      <c r="N502" s="5" t="s">
        <v>37</v>
      </c>
      <c r="O502" s="5" t="s">
        <v>38</v>
      </c>
      <c r="P502" s="5" t="s">
        <v>39</v>
      </c>
      <c r="Q502" s="2">
        <v>45967</v>
      </c>
      <c r="V502" s="46">
        <f>IF(
  OR(
    ISNUMBER(SEARCH("unable to locate acct", tblDocketedComments[[#This Row],[Docketed Consumer Comments]])),
    ISNUMBER(SEARCH("unknown", tblDocketedComments[[#This Row],[Docketed Consumer Comments]])),
    ISNUMBER(SEARCH("inactive", tblDocketedComments[[#This Row],[Docketed Consumer Comments]]))
  ),
  0,
  1
)</f>
        <v>1</v>
      </c>
    </row>
    <row r="503" spans="1:22">
      <c r="A503" s="2">
        <v>45903</v>
      </c>
      <c r="B503" s="1" t="s">
        <v>1529</v>
      </c>
      <c r="C503" s="1" t="s">
        <v>1530</v>
      </c>
      <c r="D503" s="1" t="s">
        <v>63</v>
      </c>
      <c r="E503" s="1">
        <v>85050</v>
      </c>
      <c r="F503" s="1" t="s">
        <v>31</v>
      </c>
      <c r="G503" s="1" t="s">
        <v>1329</v>
      </c>
      <c r="H503" s="19" t="s">
        <v>1531</v>
      </c>
      <c r="I503" s="5" t="s">
        <v>36</v>
      </c>
      <c r="J503" s="5" t="s">
        <v>37</v>
      </c>
      <c r="K503" s="5" t="s">
        <v>37</v>
      </c>
      <c r="L503" s="5" t="s">
        <v>38</v>
      </c>
      <c r="M503" s="5" t="s">
        <v>37</v>
      </c>
      <c r="N503" s="5" t="s">
        <v>37</v>
      </c>
      <c r="O503" s="5" t="s">
        <v>38</v>
      </c>
      <c r="P503" s="5" t="s">
        <v>39</v>
      </c>
      <c r="Q503" s="2">
        <v>45966</v>
      </c>
      <c r="V503" s="46">
        <f>IF(
  OR(
    ISNUMBER(SEARCH("unable to locate acct", tblDocketedComments[[#This Row],[Docketed Consumer Comments]])),
    ISNUMBER(SEARCH("unknown", tblDocketedComments[[#This Row],[Docketed Consumer Comments]])),
    ISNUMBER(SEARCH("inactive", tblDocketedComments[[#This Row],[Docketed Consumer Comments]]))
  ),
  0,
  1
)</f>
        <v>1</v>
      </c>
    </row>
    <row r="504" spans="1:22">
      <c r="A504" s="2">
        <v>45903</v>
      </c>
      <c r="B504" s="1" t="s">
        <v>1532</v>
      </c>
      <c r="C504" s="1" t="s">
        <v>1533</v>
      </c>
      <c r="D504" s="1" t="s">
        <v>169</v>
      </c>
      <c r="E504" s="1">
        <v>85338</v>
      </c>
      <c r="F504" s="1" t="s">
        <v>1534</v>
      </c>
      <c r="G504" s="1" t="s">
        <v>1329</v>
      </c>
      <c r="H504" s="19" t="s">
        <v>1535</v>
      </c>
      <c r="I504" s="5" t="s">
        <v>36</v>
      </c>
      <c r="J504" s="5" t="s">
        <v>37</v>
      </c>
      <c r="K504" s="5" t="s">
        <v>37</v>
      </c>
      <c r="L504" s="5" t="s">
        <v>38</v>
      </c>
      <c r="M504" s="5" t="s">
        <v>37</v>
      </c>
      <c r="N504" s="5" t="s">
        <v>37</v>
      </c>
      <c r="O504" s="5" t="s">
        <v>38</v>
      </c>
      <c r="P504" s="5" t="s">
        <v>39</v>
      </c>
      <c r="Q504" s="2">
        <v>45966</v>
      </c>
      <c r="V504" s="46">
        <f>IF(
  OR(
    ISNUMBER(SEARCH("unable to locate acct", tblDocketedComments[[#This Row],[Docketed Consumer Comments]])),
    ISNUMBER(SEARCH("unknown", tblDocketedComments[[#This Row],[Docketed Consumer Comments]])),
    ISNUMBER(SEARCH("inactive", tblDocketedComments[[#This Row],[Docketed Consumer Comments]]))
  ),
  0,
  1
)</f>
        <v>1</v>
      </c>
    </row>
    <row r="505" spans="1:22">
      <c r="A505" s="2">
        <v>45903</v>
      </c>
      <c r="B505" s="1" t="s">
        <v>1536</v>
      </c>
      <c r="C505" s="1" t="s">
        <v>1537</v>
      </c>
      <c r="D505" s="1" t="s">
        <v>63</v>
      </c>
      <c r="E505" s="1">
        <v>85013</v>
      </c>
      <c r="F505" s="1" t="s">
        <v>1538</v>
      </c>
      <c r="G505" s="1" t="s">
        <v>1329</v>
      </c>
      <c r="H505" s="19" t="s">
        <v>1539</v>
      </c>
      <c r="I505" s="5" t="s">
        <v>73</v>
      </c>
      <c r="J505" s="5" t="s">
        <v>37</v>
      </c>
      <c r="K505" s="5" t="s">
        <v>37</v>
      </c>
      <c r="L505" s="5" t="s">
        <v>38</v>
      </c>
      <c r="M505" s="5" t="s">
        <v>37</v>
      </c>
      <c r="N505" s="5" t="s">
        <v>37</v>
      </c>
      <c r="O505" s="5" t="s">
        <v>38</v>
      </c>
      <c r="P505" s="5" t="s">
        <v>39</v>
      </c>
      <c r="Q505" s="2">
        <v>45966</v>
      </c>
      <c r="V505" s="46">
        <f>IF(
  OR(
    ISNUMBER(SEARCH("unable to locate acct", tblDocketedComments[[#This Row],[Docketed Consumer Comments]])),
    ISNUMBER(SEARCH("unknown", tblDocketedComments[[#This Row],[Docketed Consumer Comments]])),
    ISNUMBER(SEARCH("inactive", tblDocketedComments[[#This Row],[Docketed Consumer Comments]]))
  ),
  0,
  1
)</f>
        <v>1</v>
      </c>
    </row>
    <row r="506" spans="1:22">
      <c r="A506" s="2">
        <v>45903</v>
      </c>
      <c r="B506" s="1" t="s">
        <v>1540</v>
      </c>
      <c r="C506" s="1" t="s">
        <v>624</v>
      </c>
      <c r="D506" s="1" t="s">
        <v>202</v>
      </c>
      <c r="E506" s="1">
        <v>85381</v>
      </c>
      <c r="F506" s="1" t="s">
        <v>310</v>
      </c>
      <c r="G506" s="1" t="s">
        <v>1329</v>
      </c>
      <c r="H506" s="19" t="s">
        <v>1541</v>
      </c>
      <c r="I506" s="5" t="s">
        <v>36</v>
      </c>
      <c r="J506" s="5" t="s">
        <v>37</v>
      </c>
      <c r="K506" s="5" t="s">
        <v>37</v>
      </c>
      <c r="L506" s="5" t="s">
        <v>38</v>
      </c>
      <c r="M506" s="5" t="s">
        <v>37</v>
      </c>
      <c r="N506" s="5" t="s">
        <v>37</v>
      </c>
      <c r="O506" s="5" t="s">
        <v>38</v>
      </c>
      <c r="P506" s="5" t="s">
        <v>39</v>
      </c>
      <c r="Q506" s="2">
        <v>45966</v>
      </c>
      <c r="V506" s="46">
        <f>IF(
  OR(
    ISNUMBER(SEARCH("unable to locate acct", tblDocketedComments[[#This Row],[Docketed Consumer Comments]])),
    ISNUMBER(SEARCH("unknown", tblDocketedComments[[#This Row],[Docketed Consumer Comments]])),
    ISNUMBER(SEARCH("inactive", tblDocketedComments[[#This Row],[Docketed Consumer Comments]]))
  ),
  0,
  1
)</f>
        <v>1</v>
      </c>
    </row>
    <row r="507" spans="1:22">
      <c r="A507" s="2">
        <v>45903</v>
      </c>
      <c r="B507" s="1" t="s">
        <v>1542</v>
      </c>
      <c r="C507" s="1" t="s">
        <v>1543</v>
      </c>
      <c r="D507" s="1" t="s">
        <v>1544</v>
      </c>
      <c r="E507" s="1">
        <v>86332</v>
      </c>
      <c r="F507" s="1" t="s">
        <v>31</v>
      </c>
      <c r="G507" s="1" t="s">
        <v>1329</v>
      </c>
      <c r="H507" s="19" t="s">
        <v>1545</v>
      </c>
      <c r="I507" s="5" t="s">
        <v>243</v>
      </c>
      <c r="J507" s="5" t="s">
        <v>37</v>
      </c>
      <c r="K507" s="5" t="s">
        <v>37</v>
      </c>
      <c r="L507" s="5" t="s">
        <v>389</v>
      </c>
      <c r="M507" s="5" t="s">
        <v>37</v>
      </c>
      <c r="N507" s="5" t="s">
        <v>37</v>
      </c>
      <c r="O507" s="5" t="s">
        <v>38</v>
      </c>
      <c r="P507" s="5" t="s">
        <v>39</v>
      </c>
      <c r="Q507" s="2">
        <v>45966</v>
      </c>
      <c r="V507" s="46">
        <f>IF(
  OR(
    ISNUMBER(SEARCH("unable to locate acct", tblDocketedComments[[#This Row],[Docketed Consumer Comments]])),
    ISNUMBER(SEARCH("unknown", tblDocketedComments[[#This Row],[Docketed Consumer Comments]])),
    ISNUMBER(SEARCH("inactive", tblDocketedComments[[#This Row],[Docketed Consumer Comments]]))
  ),
  0,
  1
)</f>
        <v>1</v>
      </c>
    </row>
    <row r="508" spans="1:22">
      <c r="A508" s="2">
        <v>45903</v>
      </c>
      <c r="B508" s="1" t="s">
        <v>1546</v>
      </c>
      <c r="C508" s="1" t="s">
        <v>1547</v>
      </c>
      <c r="D508" s="1" t="s">
        <v>169</v>
      </c>
      <c r="E508" s="1">
        <v>85395</v>
      </c>
      <c r="F508" s="1" t="s">
        <v>31</v>
      </c>
      <c r="G508" s="1" t="s">
        <v>1329</v>
      </c>
      <c r="H508" s="19" t="s">
        <v>1548</v>
      </c>
      <c r="I508" s="5" t="s">
        <v>46</v>
      </c>
      <c r="J508" s="5" t="s">
        <v>37</v>
      </c>
      <c r="K508" s="5" t="s">
        <v>37</v>
      </c>
      <c r="L508" s="5" t="s">
        <v>38</v>
      </c>
      <c r="M508" s="5" t="s">
        <v>37</v>
      </c>
      <c r="N508" s="5" t="s">
        <v>37</v>
      </c>
      <c r="O508" s="5" t="s">
        <v>38</v>
      </c>
      <c r="P508" s="5" t="s">
        <v>39</v>
      </c>
      <c r="Q508" s="2">
        <v>45966</v>
      </c>
      <c r="V508" s="46">
        <f>IF(
  OR(
    ISNUMBER(SEARCH("unable to locate acct", tblDocketedComments[[#This Row],[Docketed Consumer Comments]])),
    ISNUMBER(SEARCH("unknown", tblDocketedComments[[#This Row],[Docketed Consumer Comments]])),
    ISNUMBER(SEARCH("inactive", tblDocketedComments[[#This Row],[Docketed Consumer Comments]]))
  ),
  0,
  1
)</f>
        <v>1</v>
      </c>
    </row>
    <row r="509" spans="1:22">
      <c r="A509" s="2">
        <v>45903</v>
      </c>
      <c r="B509" s="1" t="s">
        <v>1549</v>
      </c>
      <c r="C509" s="1" t="s">
        <v>760</v>
      </c>
      <c r="D509" s="1" t="s">
        <v>523</v>
      </c>
      <c r="E509" s="1">
        <v>85392</v>
      </c>
      <c r="F509" s="1" t="s">
        <v>1550</v>
      </c>
      <c r="G509" s="1" t="s">
        <v>1329</v>
      </c>
      <c r="H509" s="4" t="s">
        <v>27</v>
      </c>
      <c r="V509" s="46">
        <f>IF(
  OR(
    ISNUMBER(SEARCH("unable to locate acct", tblDocketedComments[[#This Row],[Docketed Consumer Comments]])),
    ISNUMBER(SEARCH("unknown", tblDocketedComments[[#This Row],[Docketed Consumer Comments]])),
    ISNUMBER(SEARCH("inactive", tblDocketedComments[[#This Row],[Docketed Consumer Comments]]))
  ),
  0,
  1
)</f>
        <v>1</v>
      </c>
    </row>
    <row r="510" spans="1:22">
      <c r="A510" s="2">
        <v>45903</v>
      </c>
      <c r="B510" s="1" t="s">
        <v>1551</v>
      </c>
      <c r="C510" s="1" t="s">
        <v>1552</v>
      </c>
      <c r="D510" s="1" t="s">
        <v>635</v>
      </c>
      <c r="E510" s="1">
        <v>85281</v>
      </c>
      <c r="F510" s="1" t="s">
        <v>1553</v>
      </c>
      <c r="G510" s="1" t="s">
        <v>1329</v>
      </c>
      <c r="H510" s="4" t="s">
        <v>27</v>
      </c>
      <c r="V510" s="46">
        <f>IF(
  OR(
    ISNUMBER(SEARCH("unable to locate acct", tblDocketedComments[[#This Row],[Docketed Consumer Comments]])),
    ISNUMBER(SEARCH("unknown", tblDocketedComments[[#This Row],[Docketed Consumer Comments]])),
    ISNUMBER(SEARCH("inactive", tblDocketedComments[[#This Row],[Docketed Consumer Comments]]))
  ),
  0,
  1
)</f>
        <v>1</v>
      </c>
    </row>
    <row r="511" spans="1:22">
      <c r="A511" s="2">
        <v>45903</v>
      </c>
      <c r="B511" s="1" t="s">
        <v>1554</v>
      </c>
      <c r="C511" s="1" t="s">
        <v>1555</v>
      </c>
      <c r="D511" s="1" t="s">
        <v>169</v>
      </c>
      <c r="E511" s="1">
        <v>85395</v>
      </c>
      <c r="F511" s="1" t="s">
        <v>1556</v>
      </c>
      <c r="G511" s="1" t="s">
        <v>1329</v>
      </c>
      <c r="H511" s="19" t="s">
        <v>1557</v>
      </c>
      <c r="I511" s="5" t="s">
        <v>196</v>
      </c>
      <c r="J511" s="5" t="s">
        <v>37</v>
      </c>
      <c r="K511" s="5" t="s">
        <v>37</v>
      </c>
      <c r="L511" s="7" t="s">
        <v>1558</v>
      </c>
      <c r="M511" s="5" t="s">
        <v>37</v>
      </c>
      <c r="N511" s="5" t="s">
        <v>37</v>
      </c>
      <c r="O511" s="5" t="s">
        <v>38</v>
      </c>
      <c r="P511" s="2">
        <v>45936</v>
      </c>
      <c r="Q511" s="2">
        <v>45966</v>
      </c>
      <c r="R511" s="1" t="s">
        <v>1429</v>
      </c>
      <c r="V511" s="46">
        <f>IF(
  OR(
    ISNUMBER(SEARCH("unable to locate acct", tblDocketedComments[[#This Row],[Docketed Consumer Comments]])),
    ISNUMBER(SEARCH("unknown", tblDocketedComments[[#This Row],[Docketed Consumer Comments]])),
    ISNUMBER(SEARCH("inactive", tblDocketedComments[[#This Row],[Docketed Consumer Comments]]))
  ),
  0,
  1
)</f>
        <v>1</v>
      </c>
    </row>
    <row r="512" spans="1:22">
      <c r="A512" s="2">
        <v>45903</v>
      </c>
      <c r="B512" s="1" t="s">
        <v>1559</v>
      </c>
      <c r="C512" s="1" t="s">
        <v>309</v>
      </c>
      <c r="D512" s="1" t="s">
        <v>129</v>
      </c>
      <c r="E512" s="1">
        <v>85234</v>
      </c>
      <c r="F512" s="1" t="s">
        <v>310</v>
      </c>
      <c r="G512" s="1" t="s">
        <v>1329</v>
      </c>
      <c r="H512" s="19" t="s">
        <v>1560</v>
      </c>
      <c r="I512" s="5" t="s">
        <v>196</v>
      </c>
      <c r="J512" s="5" t="s">
        <v>37</v>
      </c>
      <c r="K512" s="5" t="s">
        <v>37</v>
      </c>
      <c r="L512" s="7" t="s">
        <v>1561</v>
      </c>
      <c r="M512" s="5" t="s">
        <v>37</v>
      </c>
      <c r="N512" s="5" t="s">
        <v>37</v>
      </c>
      <c r="O512" s="5" t="s">
        <v>38</v>
      </c>
      <c r="P512" s="2">
        <v>45936</v>
      </c>
      <c r="Q512" s="2">
        <v>45966</v>
      </c>
      <c r="R512" s="1" t="s">
        <v>1429</v>
      </c>
      <c r="V512" s="46">
        <f>IF(
  OR(
    ISNUMBER(SEARCH("unable to locate acct", tblDocketedComments[[#This Row],[Docketed Consumer Comments]])),
    ISNUMBER(SEARCH("unknown", tblDocketedComments[[#This Row],[Docketed Consumer Comments]])),
    ISNUMBER(SEARCH("inactive", tblDocketedComments[[#This Row],[Docketed Consumer Comments]]))
  ),
  0,
  1
)</f>
        <v>1</v>
      </c>
    </row>
    <row r="513" spans="1:22">
      <c r="A513" s="2">
        <v>45903</v>
      </c>
      <c r="B513" s="1" t="s">
        <v>1562</v>
      </c>
      <c r="C513" s="1" t="s">
        <v>1563</v>
      </c>
      <c r="D513" s="1" t="s">
        <v>816</v>
      </c>
      <c r="E513" s="1">
        <v>86304</v>
      </c>
      <c r="F513" s="1" t="s">
        <v>31</v>
      </c>
      <c r="G513" s="1" t="s">
        <v>1329</v>
      </c>
      <c r="H513" s="19" t="s">
        <v>1564</v>
      </c>
      <c r="I513" s="5" t="s">
        <v>73</v>
      </c>
      <c r="J513" s="5" t="s">
        <v>37</v>
      </c>
      <c r="K513" s="5" t="s">
        <v>37</v>
      </c>
      <c r="L513" s="5" t="s">
        <v>38</v>
      </c>
      <c r="M513" s="5" t="s">
        <v>37</v>
      </c>
      <c r="N513" s="5" t="s">
        <v>37</v>
      </c>
      <c r="O513" s="5" t="s">
        <v>38</v>
      </c>
      <c r="P513" s="5" t="s">
        <v>39</v>
      </c>
      <c r="Q513" s="2">
        <v>45966</v>
      </c>
      <c r="V513" s="46">
        <f>IF(
  OR(
    ISNUMBER(SEARCH("unable to locate acct", tblDocketedComments[[#This Row],[Docketed Consumer Comments]])),
    ISNUMBER(SEARCH("unknown", tblDocketedComments[[#This Row],[Docketed Consumer Comments]])),
    ISNUMBER(SEARCH("inactive", tblDocketedComments[[#This Row],[Docketed Consumer Comments]]))
  ),
  0,
  1
)</f>
        <v>1</v>
      </c>
    </row>
    <row r="514" spans="1:22">
      <c r="A514" s="2">
        <v>45903</v>
      </c>
      <c r="B514" s="1" t="s">
        <v>1565</v>
      </c>
      <c r="C514" s="1" t="s">
        <v>1566</v>
      </c>
      <c r="D514" s="1" t="s">
        <v>169</v>
      </c>
      <c r="E514" s="1">
        <v>85395</v>
      </c>
      <c r="F514" s="1" t="s">
        <v>31</v>
      </c>
      <c r="G514" s="1" t="s">
        <v>1329</v>
      </c>
      <c r="H514" s="19" t="s">
        <v>1567</v>
      </c>
      <c r="I514" s="5" t="s">
        <v>73</v>
      </c>
      <c r="J514" s="5" t="s">
        <v>37</v>
      </c>
      <c r="K514" s="5" t="s">
        <v>37</v>
      </c>
      <c r="L514" s="5" t="s">
        <v>38</v>
      </c>
      <c r="M514" s="5" t="s">
        <v>37</v>
      </c>
      <c r="N514" s="5" t="s">
        <v>37</v>
      </c>
      <c r="O514" s="5" t="s">
        <v>38</v>
      </c>
      <c r="P514" s="5" t="s">
        <v>39</v>
      </c>
      <c r="Q514" s="2">
        <v>45966</v>
      </c>
      <c r="V514" s="46">
        <f>IF(
  OR(
    ISNUMBER(SEARCH("unable to locate acct", tblDocketedComments[[#This Row],[Docketed Consumer Comments]])),
    ISNUMBER(SEARCH("unknown", tblDocketedComments[[#This Row],[Docketed Consumer Comments]])),
    ISNUMBER(SEARCH("inactive", tblDocketedComments[[#This Row],[Docketed Consumer Comments]]))
  ),
  0,
  1
)</f>
        <v>1</v>
      </c>
    </row>
    <row r="515" spans="1:22">
      <c r="A515" s="2">
        <v>45903</v>
      </c>
      <c r="B515" s="1" t="s">
        <v>1568</v>
      </c>
      <c r="C515" s="1" t="s">
        <v>1463</v>
      </c>
      <c r="D515" s="1" t="s">
        <v>659</v>
      </c>
      <c r="E515" s="1">
        <v>85350</v>
      </c>
      <c r="F515" s="1" t="s">
        <v>31</v>
      </c>
      <c r="G515" s="1" t="s">
        <v>1329</v>
      </c>
      <c r="H515" s="19" t="s">
        <v>1569</v>
      </c>
      <c r="I515" s="5" t="s">
        <v>46</v>
      </c>
      <c r="J515" s="5" t="s">
        <v>38</v>
      </c>
      <c r="K515" s="5" t="s">
        <v>37</v>
      </c>
      <c r="L515" s="5" t="s">
        <v>38</v>
      </c>
      <c r="M515" s="5" t="s">
        <v>37</v>
      </c>
      <c r="N515" s="5" t="s">
        <v>37</v>
      </c>
      <c r="O515" s="5" t="s">
        <v>38</v>
      </c>
      <c r="P515" s="5" t="s">
        <v>39</v>
      </c>
      <c r="Q515" s="2">
        <v>45966</v>
      </c>
      <c r="V515" s="46">
        <f>IF(
  OR(
    ISNUMBER(SEARCH("unable to locate acct", tblDocketedComments[[#This Row],[Docketed Consumer Comments]])),
    ISNUMBER(SEARCH("unknown", tblDocketedComments[[#This Row],[Docketed Consumer Comments]])),
    ISNUMBER(SEARCH("inactive", tblDocketedComments[[#This Row],[Docketed Consumer Comments]]))
  ),
  0,
  1
)</f>
        <v>1</v>
      </c>
    </row>
    <row r="516" spans="1:22">
      <c r="A516" s="2">
        <v>45903</v>
      </c>
      <c r="B516" s="1" t="s">
        <v>1570</v>
      </c>
      <c r="C516" s="1" t="s">
        <v>1571</v>
      </c>
      <c r="D516" s="1" t="s">
        <v>24</v>
      </c>
      <c r="E516" s="1">
        <v>85308</v>
      </c>
      <c r="F516" s="1" t="s">
        <v>310</v>
      </c>
      <c r="G516" s="1" t="s">
        <v>1329</v>
      </c>
      <c r="H516" s="19" t="s">
        <v>1572</v>
      </c>
      <c r="I516" s="5" t="s">
        <v>36</v>
      </c>
      <c r="J516" s="5" t="s">
        <v>37</v>
      </c>
      <c r="K516" s="5" t="s">
        <v>37</v>
      </c>
      <c r="L516" s="7" t="s">
        <v>1573</v>
      </c>
      <c r="M516" s="5" t="s">
        <v>37</v>
      </c>
      <c r="N516" s="5" t="s">
        <v>37</v>
      </c>
      <c r="O516" s="5" t="s">
        <v>38</v>
      </c>
      <c r="P516" s="17"/>
      <c r="Q516" s="2">
        <v>45966</v>
      </c>
      <c r="V516" s="46">
        <f>IF(
  OR(
    ISNUMBER(SEARCH("unable to locate acct", tblDocketedComments[[#This Row],[Docketed Consumer Comments]])),
    ISNUMBER(SEARCH("unknown", tblDocketedComments[[#This Row],[Docketed Consumer Comments]])),
    ISNUMBER(SEARCH("inactive", tblDocketedComments[[#This Row],[Docketed Consumer Comments]]))
  ),
  0,
  1
)</f>
        <v>1</v>
      </c>
    </row>
    <row r="517" spans="1:22">
      <c r="A517" s="2">
        <v>45903</v>
      </c>
      <c r="B517" s="1" t="s">
        <v>367</v>
      </c>
      <c r="C517" s="1" t="s">
        <v>1574</v>
      </c>
      <c r="D517" s="1" t="s">
        <v>169</v>
      </c>
      <c r="E517" s="1">
        <v>85395</v>
      </c>
      <c r="F517" s="1" t="s">
        <v>31</v>
      </c>
      <c r="G517" s="1" t="s">
        <v>1329</v>
      </c>
      <c r="H517" s="19" t="s">
        <v>1575</v>
      </c>
      <c r="I517" s="5" t="s">
        <v>1576</v>
      </c>
      <c r="J517" s="5" t="s">
        <v>37</v>
      </c>
      <c r="K517" s="5" t="s">
        <v>37</v>
      </c>
      <c r="L517" s="5" t="s">
        <v>389</v>
      </c>
      <c r="M517" s="5" t="s">
        <v>37</v>
      </c>
      <c r="N517" s="5" t="s">
        <v>37</v>
      </c>
      <c r="O517" s="5" t="s">
        <v>38</v>
      </c>
      <c r="P517" s="5" t="s">
        <v>39</v>
      </c>
      <c r="Q517" s="2">
        <v>45966</v>
      </c>
      <c r="V517" s="46">
        <f>IF(
  OR(
    ISNUMBER(SEARCH("unable to locate acct", tblDocketedComments[[#This Row],[Docketed Consumer Comments]])),
    ISNUMBER(SEARCH("unknown", tblDocketedComments[[#This Row],[Docketed Consumer Comments]])),
    ISNUMBER(SEARCH("inactive", tblDocketedComments[[#This Row],[Docketed Consumer Comments]]))
  ),
  0,
  1
)</f>
        <v>1</v>
      </c>
    </row>
    <row r="518" spans="1:22">
      <c r="A518" s="2">
        <v>45903</v>
      </c>
      <c r="B518" s="1" t="s">
        <v>1577</v>
      </c>
      <c r="C518" s="1" t="s">
        <v>1578</v>
      </c>
      <c r="D518" s="1" t="s">
        <v>264</v>
      </c>
      <c r="E518" s="1">
        <v>85541</v>
      </c>
      <c r="F518" s="1" t="s">
        <v>310</v>
      </c>
      <c r="G518" s="1" t="s">
        <v>1329</v>
      </c>
      <c r="H518" s="19" t="s">
        <v>1579</v>
      </c>
      <c r="I518" s="5" t="s">
        <v>36</v>
      </c>
      <c r="J518" s="5" t="s">
        <v>37</v>
      </c>
      <c r="K518" s="5" t="s">
        <v>37</v>
      </c>
      <c r="L518" s="5" t="s">
        <v>38</v>
      </c>
      <c r="M518" s="5" t="s">
        <v>37</v>
      </c>
      <c r="N518" s="5" t="s">
        <v>37</v>
      </c>
      <c r="O518" s="5" t="s">
        <v>38</v>
      </c>
      <c r="P518" s="5" t="s">
        <v>39</v>
      </c>
      <c r="Q518" s="2">
        <v>45966</v>
      </c>
      <c r="V518" s="46">
        <f>IF(
  OR(
    ISNUMBER(SEARCH("unable to locate acct", tblDocketedComments[[#This Row],[Docketed Consumer Comments]])),
    ISNUMBER(SEARCH("unknown", tblDocketedComments[[#This Row],[Docketed Consumer Comments]])),
    ISNUMBER(SEARCH("inactive", tblDocketedComments[[#This Row],[Docketed Consumer Comments]]))
  ),
  0,
  1
)</f>
        <v>1</v>
      </c>
    </row>
    <row r="519" spans="1:22">
      <c r="A519" s="2">
        <v>45903</v>
      </c>
      <c r="B519" s="1" t="s">
        <v>1580</v>
      </c>
      <c r="C519" s="1" t="s">
        <v>1581</v>
      </c>
      <c r="D519" s="1" t="s">
        <v>169</v>
      </c>
      <c r="E519" s="1">
        <v>85395</v>
      </c>
      <c r="F519" s="1" t="s">
        <v>1211</v>
      </c>
      <c r="G519" s="1" t="s">
        <v>1329</v>
      </c>
      <c r="H519" s="4" t="s">
        <v>1582</v>
      </c>
      <c r="I519" s="5" t="s">
        <v>243</v>
      </c>
      <c r="J519" s="5" t="s">
        <v>37</v>
      </c>
      <c r="K519" s="5" t="s">
        <v>37</v>
      </c>
      <c r="L519" s="5" t="s">
        <v>389</v>
      </c>
      <c r="M519" s="5" t="s">
        <v>37</v>
      </c>
      <c r="N519" s="5" t="s">
        <v>37</v>
      </c>
      <c r="O519" s="5" t="s">
        <v>38</v>
      </c>
      <c r="P519" s="5" t="s">
        <v>39</v>
      </c>
      <c r="Q519" s="2">
        <v>45966</v>
      </c>
      <c r="V519" s="46">
        <f>IF(
  OR(
    ISNUMBER(SEARCH("unable to locate acct", tblDocketedComments[[#This Row],[Docketed Consumer Comments]])),
    ISNUMBER(SEARCH("unknown", tblDocketedComments[[#This Row],[Docketed Consumer Comments]])),
    ISNUMBER(SEARCH("inactive", tblDocketedComments[[#This Row],[Docketed Consumer Comments]]))
  ),
  0,
  1
)</f>
        <v>1</v>
      </c>
    </row>
    <row r="520" spans="1:22">
      <c r="A520" s="2">
        <v>45903</v>
      </c>
      <c r="B520" s="1" t="s">
        <v>1583</v>
      </c>
      <c r="C520" s="1" t="s">
        <v>1584</v>
      </c>
      <c r="D520" s="1" t="s">
        <v>523</v>
      </c>
      <c r="E520" s="1">
        <v>85392</v>
      </c>
      <c r="F520" s="1" t="s">
        <v>31</v>
      </c>
      <c r="G520" s="1" t="s">
        <v>1329</v>
      </c>
      <c r="H520" s="4" t="s">
        <v>1585</v>
      </c>
      <c r="I520" s="5" t="s">
        <v>46</v>
      </c>
      <c r="J520" s="5" t="s">
        <v>37</v>
      </c>
      <c r="K520" s="5" t="s">
        <v>37</v>
      </c>
      <c r="L520" s="5" t="s">
        <v>1586</v>
      </c>
      <c r="M520" s="5" t="s">
        <v>37</v>
      </c>
      <c r="N520" s="5" t="s">
        <v>37</v>
      </c>
      <c r="O520" s="5" t="s">
        <v>38</v>
      </c>
      <c r="P520" s="5" t="s">
        <v>39</v>
      </c>
      <c r="Q520" s="2">
        <v>45966</v>
      </c>
      <c r="V520" s="46">
        <f>IF(
  OR(
    ISNUMBER(SEARCH("unable to locate acct", tblDocketedComments[[#This Row],[Docketed Consumer Comments]])),
    ISNUMBER(SEARCH("unknown", tblDocketedComments[[#This Row],[Docketed Consumer Comments]])),
    ISNUMBER(SEARCH("inactive", tblDocketedComments[[#This Row],[Docketed Consumer Comments]]))
  ),
  0,
  1
)</f>
        <v>1</v>
      </c>
    </row>
    <row r="521" spans="1:22">
      <c r="A521" s="2">
        <v>45903</v>
      </c>
      <c r="B521" s="1" t="s">
        <v>1587</v>
      </c>
      <c r="C521" s="1" t="s">
        <v>1588</v>
      </c>
      <c r="D521" s="1" t="s">
        <v>63</v>
      </c>
      <c r="E521" s="1">
        <v>85032</v>
      </c>
      <c r="F521" s="1" t="s">
        <v>310</v>
      </c>
      <c r="G521" s="1" t="s">
        <v>1329</v>
      </c>
      <c r="H521" s="4" t="s">
        <v>1589</v>
      </c>
      <c r="I521" s="5" t="s">
        <v>250</v>
      </c>
      <c r="J521" s="5" t="s">
        <v>37</v>
      </c>
      <c r="K521" s="5" t="s">
        <v>37</v>
      </c>
      <c r="L521" s="5" t="s">
        <v>1586</v>
      </c>
      <c r="M521" s="5" t="s">
        <v>37</v>
      </c>
      <c r="N521" s="5" t="s">
        <v>37</v>
      </c>
      <c r="O521" s="5" t="s">
        <v>38</v>
      </c>
      <c r="P521" s="5" t="s">
        <v>39</v>
      </c>
      <c r="Q521" s="2">
        <v>45966</v>
      </c>
      <c r="V521" s="46">
        <f>IF(
  OR(
    ISNUMBER(SEARCH("unable to locate acct", tblDocketedComments[[#This Row],[Docketed Consumer Comments]])),
    ISNUMBER(SEARCH("unknown", tblDocketedComments[[#This Row],[Docketed Consumer Comments]])),
    ISNUMBER(SEARCH("inactive", tblDocketedComments[[#This Row],[Docketed Consumer Comments]]))
  ),
  0,
  1
)</f>
        <v>1</v>
      </c>
    </row>
    <row r="522" spans="1:22">
      <c r="A522" s="2">
        <v>45903</v>
      </c>
      <c r="B522" s="1" t="s">
        <v>1590</v>
      </c>
      <c r="C522" s="1" t="s">
        <v>1591</v>
      </c>
      <c r="D522" s="1" t="s">
        <v>202</v>
      </c>
      <c r="E522" s="1">
        <v>85383</v>
      </c>
      <c r="F522" s="1" t="s">
        <v>31</v>
      </c>
      <c r="G522" s="1" t="s">
        <v>1329</v>
      </c>
      <c r="H522" s="4" t="s">
        <v>27</v>
      </c>
      <c r="V522" s="46">
        <f>IF(
  OR(
    ISNUMBER(SEARCH("unable to locate acct", tblDocketedComments[[#This Row],[Docketed Consumer Comments]])),
    ISNUMBER(SEARCH("unknown", tblDocketedComments[[#This Row],[Docketed Consumer Comments]])),
    ISNUMBER(SEARCH("inactive", tblDocketedComments[[#This Row],[Docketed Consumer Comments]]))
  ),
  0,
  1
)</f>
        <v>1</v>
      </c>
    </row>
    <row r="523" spans="1:22">
      <c r="A523" s="2">
        <v>45903</v>
      </c>
      <c r="B523" s="1" t="s">
        <v>1592</v>
      </c>
      <c r="C523" s="1" t="s">
        <v>333</v>
      </c>
      <c r="D523" s="1" t="s">
        <v>112</v>
      </c>
      <c r="E523" s="1">
        <v>85379</v>
      </c>
      <c r="F523" s="1" t="s">
        <v>310</v>
      </c>
      <c r="G523" s="1" t="s">
        <v>1593</v>
      </c>
      <c r="H523" s="19" t="s">
        <v>1594</v>
      </c>
      <c r="I523" s="5" t="s">
        <v>126</v>
      </c>
      <c r="J523" s="5" t="s">
        <v>37</v>
      </c>
      <c r="K523" s="5" t="s">
        <v>37</v>
      </c>
      <c r="L523" s="5" t="s">
        <v>38</v>
      </c>
      <c r="M523" s="5" t="s">
        <v>37</v>
      </c>
      <c r="N523" s="5" t="s">
        <v>37</v>
      </c>
      <c r="O523" s="5" t="s">
        <v>38</v>
      </c>
      <c r="P523" s="5" t="s">
        <v>39</v>
      </c>
      <c r="Q523" s="2">
        <v>45966</v>
      </c>
      <c r="V523" s="46">
        <f>IF(
  OR(
    ISNUMBER(SEARCH("unable to locate acct", tblDocketedComments[[#This Row],[Docketed Consumer Comments]])),
    ISNUMBER(SEARCH("unknown", tblDocketedComments[[#This Row],[Docketed Consumer Comments]])),
    ISNUMBER(SEARCH("inactive", tblDocketedComments[[#This Row],[Docketed Consumer Comments]]))
  ),
  0,
  1
)</f>
        <v>1</v>
      </c>
    </row>
    <row r="524" spans="1:22">
      <c r="A524" s="2">
        <v>45903</v>
      </c>
      <c r="B524" s="1" t="s">
        <v>1595</v>
      </c>
      <c r="C524" s="1" t="s">
        <v>1596</v>
      </c>
      <c r="D524" s="1" t="s">
        <v>523</v>
      </c>
      <c r="E524" s="1">
        <v>85392</v>
      </c>
      <c r="F524" s="1" t="s">
        <v>31</v>
      </c>
      <c r="G524" s="1" t="s">
        <v>1593</v>
      </c>
      <c r="H524" s="19" t="s">
        <v>1597</v>
      </c>
      <c r="I524" s="5" t="s">
        <v>36</v>
      </c>
      <c r="J524" s="5" t="s">
        <v>37</v>
      </c>
      <c r="K524" s="5" t="s">
        <v>37</v>
      </c>
      <c r="L524" s="5" t="s">
        <v>38</v>
      </c>
      <c r="M524" s="5" t="s">
        <v>37</v>
      </c>
      <c r="N524" s="5" t="s">
        <v>37</v>
      </c>
      <c r="O524" s="5" t="s">
        <v>38</v>
      </c>
      <c r="P524" s="5" t="s">
        <v>39</v>
      </c>
      <c r="Q524" s="2">
        <v>45966</v>
      </c>
      <c r="V524" s="46">
        <f>IF(
  OR(
    ISNUMBER(SEARCH("unable to locate acct", tblDocketedComments[[#This Row],[Docketed Consumer Comments]])),
    ISNUMBER(SEARCH("unknown", tblDocketedComments[[#This Row],[Docketed Consumer Comments]])),
    ISNUMBER(SEARCH("inactive", tblDocketedComments[[#This Row],[Docketed Consumer Comments]]))
  ),
  0,
  1
)</f>
        <v>1</v>
      </c>
    </row>
    <row r="525" spans="1:22">
      <c r="A525" s="2">
        <v>45903</v>
      </c>
      <c r="B525" s="1" t="s">
        <v>604</v>
      </c>
      <c r="C525" s="1" t="s">
        <v>420</v>
      </c>
      <c r="D525" s="1" t="s">
        <v>24</v>
      </c>
      <c r="E525" s="1">
        <v>85308</v>
      </c>
      <c r="F525" s="1" t="s">
        <v>310</v>
      </c>
      <c r="G525" s="1" t="s">
        <v>1593</v>
      </c>
      <c r="H525" s="19" t="s">
        <v>1598</v>
      </c>
      <c r="I525" s="5" t="s">
        <v>73</v>
      </c>
      <c r="J525" s="5" t="s">
        <v>37</v>
      </c>
      <c r="K525" s="5" t="s">
        <v>37</v>
      </c>
      <c r="L525" s="5" t="s">
        <v>38</v>
      </c>
      <c r="M525" s="5" t="s">
        <v>37</v>
      </c>
      <c r="N525" s="5" t="s">
        <v>37</v>
      </c>
      <c r="O525" s="5" t="s">
        <v>38</v>
      </c>
      <c r="P525" s="5" t="s">
        <v>39</v>
      </c>
      <c r="Q525" s="2">
        <v>45966</v>
      </c>
      <c r="V525" s="46">
        <f>IF(
  OR(
    ISNUMBER(SEARCH("unable to locate acct", tblDocketedComments[[#This Row],[Docketed Consumer Comments]])),
    ISNUMBER(SEARCH("unknown", tblDocketedComments[[#This Row],[Docketed Consumer Comments]])),
    ISNUMBER(SEARCH("inactive", tblDocketedComments[[#This Row],[Docketed Consumer Comments]]))
  ),
  0,
  1
)</f>
        <v>1</v>
      </c>
    </row>
    <row r="526" spans="1:22">
      <c r="A526" s="2">
        <v>45903</v>
      </c>
      <c r="B526" s="1" t="s">
        <v>1599</v>
      </c>
      <c r="C526" s="1" t="s">
        <v>1600</v>
      </c>
      <c r="D526" s="1" t="s">
        <v>63</v>
      </c>
      <c r="E526" s="1">
        <v>85345</v>
      </c>
      <c r="F526" s="1" t="s">
        <v>31</v>
      </c>
      <c r="G526" s="1" t="s">
        <v>1593</v>
      </c>
      <c r="H526" s="19" t="s">
        <v>1601</v>
      </c>
      <c r="I526" s="5" t="s">
        <v>73</v>
      </c>
      <c r="J526" s="5" t="s">
        <v>37</v>
      </c>
      <c r="K526" s="5" t="s">
        <v>37</v>
      </c>
      <c r="L526" s="5" t="s">
        <v>1602</v>
      </c>
      <c r="M526" s="5" t="s">
        <v>37</v>
      </c>
      <c r="N526" s="5" t="s">
        <v>37</v>
      </c>
      <c r="O526" s="5" t="s">
        <v>38</v>
      </c>
      <c r="P526" s="5" t="s">
        <v>39</v>
      </c>
      <c r="Q526" s="2">
        <v>45966</v>
      </c>
      <c r="V526" s="46">
        <f>IF(
  OR(
    ISNUMBER(SEARCH("unable to locate acct", tblDocketedComments[[#This Row],[Docketed Consumer Comments]])),
    ISNUMBER(SEARCH("unknown", tblDocketedComments[[#This Row],[Docketed Consumer Comments]])),
    ISNUMBER(SEARCH("inactive", tblDocketedComments[[#This Row],[Docketed Consumer Comments]]))
  ),
  0,
  1
)</f>
        <v>1</v>
      </c>
    </row>
    <row r="527" spans="1:22">
      <c r="A527" s="2">
        <v>45903</v>
      </c>
      <c r="B527" s="1" t="s">
        <v>1603</v>
      </c>
      <c r="C527" s="1" t="s">
        <v>117</v>
      </c>
      <c r="D527" s="1" t="s">
        <v>169</v>
      </c>
      <c r="E527" s="1">
        <v>85338</v>
      </c>
      <c r="F527" s="1" t="s">
        <v>1604</v>
      </c>
      <c r="G527" s="1" t="s">
        <v>1593</v>
      </c>
      <c r="H527" s="19" t="s">
        <v>1605</v>
      </c>
      <c r="I527" s="5" t="s">
        <v>36</v>
      </c>
      <c r="J527" s="5" t="s">
        <v>37</v>
      </c>
      <c r="K527" s="5" t="s">
        <v>37</v>
      </c>
      <c r="L527" s="5" t="s">
        <v>38</v>
      </c>
      <c r="M527" s="5" t="s">
        <v>37</v>
      </c>
      <c r="N527" s="5" t="s">
        <v>37</v>
      </c>
      <c r="O527" s="5" t="s">
        <v>38</v>
      </c>
      <c r="P527" s="5" t="s">
        <v>39</v>
      </c>
      <c r="Q527" s="2">
        <v>45966</v>
      </c>
      <c r="V527" s="46">
        <f>IF(
  OR(
    ISNUMBER(SEARCH("unable to locate acct", tblDocketedComments[[#This Row],[Docketed Consumer Comments]])),
    ISNUMBER(SEARCH("unknown", tblDocketedComments[[#This Row],[Docketed Consumer Comments]])),
    ISNUMBER(SEARCH("inactive", tblDocketedComments[[#This Row],[Docketed Consumer Comments]]))
  ),
  0,
  1
)</f>
        <v>1</v>
      </c>
    </row>
    <row r="528" spans="1:22">
      <c r="A528" s="2">
        <v>45903</v>
      </c>
      <c r="B528" s="1" t="s">
        <v>1134</v>
      </c>
      <c r="C528" s="1" t="s">
        <v>1606</v>
      </c>
      <c r="D528" s="1" t="s">
        <v>880</v>
      </c>
      <c r="E528" s="1">
        <v>85086</v>
      </c>
      <c r="F528" s="1" t="s">
        <v>31</v>
      </c>
      <c r="G528" s="1" t="s">
        <v>1593</v>
      </c>
      <c r="H528" s="4" t="s">
        <v>27</v>
      </c>
      <c r="V528" s="46">
        <f>IF(
  OR(
    ISNUMBER(SEARCH("unable to locate acct", tblDocketedComments[[#This Row],[Docketed Consumer Comments]])),
    ISNUMBER(SEARCH("unknown", tblDocketedComments[[#This Row],[Docketed Consumer Comments]])),
    ISNUMBER(SEARCH("inactive", tblDocketedComments[[#This Row],[Docketed Consumer Comments]]))
  ),
  0,
  1
)</f>
        <v>1</v>
      </c>
    </row>
    <row r="529" spans="1:22">
      <c r="A529" s="2">
        <v>45903</v>
      </c>
      <c r="B529" s="1" t="s">
        <v>1607</v>
      </c>
      <c r="C529" s="1" t="s">
        <v>1501</v>
      </c>
      <c r="D529" s="1" t="s">
        <v>125</v>
      </c>
      <c r="E529" s="1">
        <v>85254</v>
      </c>
      <c r="F529" s="1" t="s">
        <v>1608</v>
      </c>
      <c r="G529" s="1" t="s">
        <v>1593</v>
      </c>
      <c r="H529" s="19" t="s">
        <v>1609</v>
      </c>
      <c r="I529" s="5" t="s">
        <v>46</v>
      </c>
      <c r="J529" s="5" t="s">
        <v>37</v>
      </c>
      <c r="K529" s="5" t="s">
        <v>37</v>
      </c>
      <c r="L529" s="5" t="s">
        <v>38</v>
      </c>
      <c r="M529" s="5" t="s">
        <v>37</v>
      </c>
      <c r="N529" s="5" t="s">
        <v>37</v>
      </c>
      <c r="O529" s="5" t="s">
        <v>38</v>
      </c>
      <c r="P529" s="5" t="s">
        <v>39</v>
      </c>
      <c r="Q529" s="2">
        <v>45966</v>
      </c>
      <c r="V529" s="46">
        <f>IF(
  OR(
    ISNUMBER(SEARCH("unable to locate acct", tblDocketedComments[[#This Row],[Docketed Consumer Comments]])),
    ISNUMBER(SEARCH("unknown", tblDocketedComments[[#This Row],[Docketed Consumer Comments]])),
    ISNUMBER(SEARCH("inactive", tblDocketedComments[[#This Row],[Docketed Consumer Comments]]))
  ),
  0,
  1
)</f>
        <v>1</v>
      </c>
    </row>
    <row r="530" spans="1:22">
      <c r="A530" s="2">
        <v>45903</v>
      </c>
      <c r="B530" s="1" t="s">
        <v>1610</v>
      </c>
      <c r="C530" s="1" t="s">
        <v>1127</v>
      </c>
      <c r="D530" s="1" t="s">
        <v>816</v>
      </c>
      <c r="E530" s="1">
        <v>86305</v>
      </c>
      <c r="F530" s="1" t="s">
        <v>31</v>
      </c>
      <c r="G530" s="1" t="s">
        <v>1593</v>
      </c>
      <c r="H530" s="19" t="s">
        <v>1611</v>
      </c>
      <c r="I530" s="5" t="s">
        <v>196</v>
      </c>
      <c r="J530" s="5" t="s">
        <v>37</v>
      </c>
      <c r="K530" s="5" t="s">
        <v>37</v>
      </c>
      <c r="L530" s="5" t="s">
        <v>1612</v>
      </c>
      <c r="M530" s="5" t="s">
        <v>37</v>
      </c>
      <c r="N530" s="5" t="s">
        <v>37</v>
      </c>
      <c r="O530" s="5" t="s">
        <v>38</v>
      </c>
      <c r="P530" s="5" t="s">
        <v>39</v>
      </c>
      <c r="Q530" s="2">
        <v>45966</v>
      </c>
      <c r="V530" s="46">
        <f>IF(
  OR(
    ISNUMBER(SEARCH("unable to locate acct", tblDocketedComments[[#This Row],[Docketed Consumer Comments]])),
    ISNUMBER(SEARCH("unknown", tblDocketedComments[[#This Row],[Docketed Consumer Comments]])),
    ISNUMBER(SEARCH("inactive", tblDocketedComments[[#This Row],[Docketed Consumer Comments]]))
  ),
  0,
  1
)</f>
        <v>1</v>
      </c>
    </row>
    <row r="531" spans="1:22">
      <c r="A531" s="2">
        <v>45903</v>
      </c>
      <c r="B531" s="1" t="s">
        <v>1063</v>
      </c>
      <c r="C531" s="1" t="s">
        <v>624</v>
      </c>
      <c r="D531" s="1" t="s">
        <v>202</v>
      </c>
      <c r="E531" s="1">
        <v>85345</v>
      </c>
      <c r="F531" s="1" t="s">
        <v>310</v>
      </c>
      <c r="G531" s="1" t="s">
        <v>1593</v>
      </c>
      <c r="H531" s="4" t="s">
        <v>27</v>
      </c>
      <c r="V531" s="46">
        <f>IF(
  OR(
    ISNUMBER(SEARCH("unable to locate acct", tblDocketedComments[[#This Row],[Docketed Consumer Comments]])),
    ISNUMBER(SEARCH("unknown", tblDocketedComments[[#This Row],[Docketed Consumer Comments]])),
    ISNUMBER(SEARCH("inactive", tblDocketedComments[[#This Row],[Docketed Consumer Comments]]))
  ),
  0,
  1
)</f>
        <v>1</v>
      </c>
    </row>
    <row r="532" spans="1:22">
      <c r="A532" s="2">
        <v>45903</v>
      </c>
      <c r="B532" s="1" t="s">
        <v>1613</v>
      </c>
      <c r="C532" s="1" t="s">
        <v>1614</v>
      </c>
      <c r="D532" s="1" t="s">
        <v>1615</v>
      </c>
      <c r="E532" s="1">
        <v>85131</v>
      </c>
      <c r="F532" s="1" t="s">
        <v>31</v>
      </c>
      <c r="G532" s="1" t="s">
        <v>1593</v>
      </c>
      <c r="H532" s="4" t="s">
        <v>27</v>
      </c>
      <c r="V532" s="46">
        <f>IF(
  OR(
    ISNUMBER(SEARCH("unable to locate acct", tblDocketedComments[[#This Row],[Docketed Consumer Comments]])),
    ISNUMBER(SEARCH("unknown", tblDocketedComments[[#This Row],[Docketed Consumer Comments]])),
    ISNUMBER(SEARCH("inactive", tblDocketedComments[[#This Row],[Docketed Consumer Comments]]))
  ),
  0,
  1
)</f>
        <v>1</v>
      </c>
    </row>
    <row r="533" spans="1:22">
      <c r="A533" s="2">
        <v>45903</v>
      </c>
      <c r="B533" s="1" t="s">
        <v>1616</v>
      </c>
      <c r="C533" s="1" t="s">
        <v>1617</v>
      </c>
      <c r="D533" s="1" t="s">
        <v>816</v>
      </c>
      <c r="E533" s="1">
        <v>86303</v>
      </c>
      <c r="F533" s="1" t="s">
        <v>310</v>
      </c>
      <c r="G533" s="1" t="s">
        <v>1593</v>
      </c>
      <c r="H533" s="19" t="s">
        <v>1618</v>
      </c>
      <c r="I533" s="5" t="s">
        <v>73</v>
      </c>
      <c r="J533" s="5" t="s">
        <v>37</v>
      </c>
      <c r="K533" s="5" t="s">
        <v>37</v>
      </c>
      <c r="L533" s="5" t="s">
        <v>38</v>
      </c>
      <c r="M533" s="5" t="s">
        <v>37</v>
      </c>
      <c r="N533" s="5" t="s">
        <v>37</v>
      </c>
      <c r="O533" s="5" t="s">
        <v>38</v>
      </c>
      <c r="P533" s="5" t="s">
        <v>39</v>
      </c>
      <c r="Q533" s="2">
        <v>45966</v>
      </c>
      <c r="V533" s="46">
        <f>IF(
  OR(
    ISNUMBER(SEARCH("unable to locate acct", tblDocketedComments[[#This Row],[Docketed Consumer Comments]])),
    ISNUMBER(SEARCH("unknown", tblDocketedComments[[#This Row],[Docketed Consumer Comments]])),
    ISNUMBER(SEARCH("inactive", tblDocketedComments[[#This Row],[Docketed Consumer Comments]]))
  ),
  0,
  1
)</f>
        <v>1</v>
      </c>
    </row>
    <row r="534" spans="1:22">
      <c r="A534" s="2">
        <v>45903</v>
      </c>
      <c r="B534" s="1" t="s">
        <v>1619</v>
      </c>
      <c r="C534" s="1" t="s">
        <v>117</v>
      </c>
      <c r="D534" s="1" t="s">
        <v>63</v>
      </c>
      <c r="E534" s="1">
        <v>85020</v>
      </c>
      <c r="F534" s="1" t="s">
        <v>31</v>
      </c>
      <c r="G534" s="1" t="s">
        <v>1593</v>
      </c>
      <c r="H534" s="19">
        <v>7835950000</v>
      </c>
      <c r="I534" s="5" t="s">
        <v>196</v>
      </c>
      <c r="J534" s="5" t="s">
        <v>37</v>
      </c>
      <c r="K534" s="5" t="s">
        <v>37</v>
      </c>
      <c r="L534" s="7" t="s">
        <v>1620</v>
      </c>
      <c r="M534" s="5" t="s">
        <v>37</v>
      </c>
      <c r="N534" s="5" t="s">
        <v>37</v>
      </c>
      <c r="O534" s="5" t="s">
        <v>38</v>
      </c>
      <c r="P534" s="2">
        <v>45940</v>
      </c>
      <c r="Q534" s="2">
        <v>45966</v>
      </c>
      <c r="R534" s="1" t="s">
        <v>1621</v>
      </c>
      <c r="V534" s="46">
        <f>IF(
  OR(
    ISNUMBER(SEARCH("unable to locate acct", tblDocketedComments[[#This Row],[Docketed Consumer Comments]])),
    ISNUMBER(SEARCH("unknown", tblDocketedComments[[#This Row],[Docketed Consumer Comments]])),
    ISNUMBER(SEARCH("inactive", tblDocketedComments[[#This Row],[Docketed Consumer Comments]]))
  ),
  0,
  1
)</f>
        <v>1</v>
      </c>
    </row>
    <row r="535" spans="1:22">
      <c r="A535" s="2">
        <v>45903</v>
      </c>
      <c r="B535" s="1" t="s">
        <v>1622</v>
      </c>
      <c r="C535" s="1" t="s">
        <v>1623</v>
      </c>
      <c r="D535" s="1" t="s">
        <v>63</v>
      </c>
      <c r="E535" s="1">
        <v>85029</v>
      </c>
      <c r="F535" s="1" t="s">
        <v>1624</v>
      </c>
      <c r="G535" s="1" t="s">
        <v>1593</v>
      </c>
      <c r="H535" s="19" t="s">
        <v>1625</v>
      </c>
      <c r="I535" s="5" t="s">
        <v>418</v>
      </c>
      <c r="J535" s="5" t="s">
        <v>37</v>
      </c>
      <c r="K535" s="5" t="s">
        <v>37</v>
      </c>
      <c r="L535" s="5" t="s">
        <v>389</v>
      </c>
      <c r="M535" s="5" t="s">
        <v>37</v>
      </c>
      <c r="N535" s="5" t="s">
        <v>37</v>
      </c>
      <c r="O535" s="5" t="s">
        <v>38</v>
      </c>
      <c r="P535" s="5" t="s">
        <v>39</v>
      </c>
      <c r="Q535" s="2">
        <v>45966</v>
      </c>
      <c r="V535" s="46">
        <f>IF(
  OR(
    ISNUMBER(SEARCH("unable to locate acct", tblDocketedComments[[#This Row],[Docketed Consumer Comments]])),
    ISNUMBER(SEARCH("unknown", tblDocketedComments[[#This Row],[Docketed Consumer Comments]])),
    ISNUMBER(SEARCH("inactive", tblDocketedComments[[#This Row],[Docketed Consumer Comments]]))
  ),
  0,
  1
)</f>
        <v>1</v>
      </c>
    </row>
    <row r="536" spans="1:22">
      <c r="A536" s="2">
        <v>45903</v>
      </c>
      <c r="B536" s="1" t="s">
        <v>1626</v>
      </c>
      <c r="C536" s="1" t="s">
        <v>1238</v>
      </c>
      <c r="D536" s="1" t="s">
        <v>63</v>
      </c>
      <c r="E536" s="1">
        <v>85020</v>
      </c>
      <c r="F536" s="1" t="s">
        <v>31</v>
      </c>
      <c r="G536" s="1" t="s">
        <v>1593</v>
      </c>
      <c r="H536" s="4" t="s">
        <v>90</v>
      </c>
      <c r="V536" s="46">
        <f>IF(
  OR(
    ISNUMBER(SEARCH("unable to locate acct", tblDocketedComments[[#This Row],[Docketed Consumer Comments]])),
    ISNUMBER(SEARCH("unknown", tblDocketedComments[[#This Row],[Docketed Consumer Comments]])),
    ISNUMBER(SEARCH("inactive", tblDocketedComments[[#This Row],[Docketed Consumer Comments]]))
  ),
  0,
  1
)</f>
        <v>1</v>
      </c>
    </row>
    <row r="537" spans="1:22">
      <c r="A537" s="2">
        <v>45903</v>
      </c>
      <c r="B537" s="1" t="s">
        <v>1627</v>
      </c>
      <c r="C537" s="1" t="s">
        <v>1628</v>
      </c>
      <c r="D537" s="1" t="s">
        <v>63</v>
      </c>
      <c r="E537" s="1">
        <v>85014</v>
      </c>
      <c r="F537" s="1" t="s">
        <v>31</v>
      </c>
      <c r="G537" s="1" t="s">
        <v>1593</v>
      </c>
      <c r="H537" s="19">
        <v>6594526342</v>
      </c>
      <c r="I537" s="5" t="s">
        <v>541</v>
      </c>
      <c r="J537" s="5" t="s">
        <v>37</v>
      </c>
      <c r="K537" s="5" t="s">
        <v>37</v>
      </c>
      <c r="L537" s="5" t="s">
        <v>389</v>
      </c>
      <c r="M537" s="5" t="s">
        <v>37</v>
      </c>
      <c r="N537" s="5" t="s">
        <v>37</v>
      </c>
      <c r="O537" s="5" t="s">
        <v>38</v>
      </c>
      <c r="P537" s="5" t="s">
        <v>39</v>
      </c>
      <c r="Q537" s="2">
        <v>45966</v>
      </c>
      <c r="V537" s="46">
        <f>IF(
  OR(
    ISNUMBER(SEARCH("unable to locate acct", tblDocketedComments[[#This Row],[Docketed Consumer Comments]])),
    ISNUMBER(SEARCH("unknown", tblDocketedComments[[#This Row],[Docketed Consumer Comments]])),
    ISNUMBER(SEARCH("inactive", tblDocketedComments[[#This Row],[Docketed Consumer Comments]]))
  ),
  0,
  1
)</f>
        <v>1</v>
      </c>
    </row>
    <row r="538" spans="1:22">
      <c r="A538" s="2">
        <v>45903</v>
      </c>
      <c r="B538" s="1" t="s">
        <v>1629</v>
      </c>
      <c r="C538" s="1" t="s">
        <v>1140</v>
      </c>
      <c r="D538" s="1" t="s">
        <v>63</v>
      </c>
      <c r="E538" s="1">
        <v>85053</v>
      </c>
      <c r="F538" s="1" t="s">
        <v>1630</v>
      </c>
      <c r="G538" s="1" t="s">
        <v>1593</v>
      </c>
      <c r="H538" s="19" t="s">
        <v>1631</v>
      </c>
      <c r="I538" s="5" t="s">
        <v>36</v>
      </c>
      <c r="J538" s="5" t="s">
        <v>37</v>
      </c>
      <c r="K538" s="5" t="s">
        <v>37</v>
      </c>
      <c r="L538" s="5" t="s">
        <v>1632</v>
      </c>
      <c r="M538" s="5" t="s">
        <v>37</v>
      </c>
      <c r="N538" s="5" t="s">
        <v>37</v>
      </c>
      <c r="O538" s="5" t="s">
        <v>38</v>
      </c>
      <c r="P538" s="5" t="s">
        <v>39</v>
      </c>
      <c r="Q538" s="2">
        <v>45966</v>
      </c>
      <c r="V538" s="46">
        <f>IF(
  OR(
    ISNUMBER(SEARCH("unable to locate acct", tblDocketedComments[[#This Row],[Docketed Consumer Comments]])),
    ISNUMBER(SEARCH("unknown", tblDocketedComments[[#This Row],[Docketed Consumer Comments]])),
    ISNUMBER(SEARCH("inactive", tblDocketedComments[[#This Row],[Docketed Consumer Comments]]))
  ),
  0,
  1
)</f>
        <v>1</v>
      </c>
    </row>
    <row r="539" spans="1:22">
      <c r="A539" s="2">
        <v>45903</v>
      </c>
      <c r="B539" s="1" t="s">
        <v>1633</v>
      </c>
      <c r="C539" s="1" t="s">
        <v>1634</v>
      </c>
      <c r="D539" s="1" t="s">
        <v>63</v>
      </c>
      <c r="E539" s="1">
        <v>85024</v>
      </c>
      <c r="F539" s="1" t="s">
        <v>1635</v>
      </c>
      <c r="G539" s="1" t="s">
        <v>1593</v>
      </c>
      <c r="H539" s="4" t="s">
        <v>27</v>
      </c>
      <c r="V539" s="46">
        <f>IF(
  OR(
    ISNUMBER(SEARCH("unable to locate acct", tblDocketedComments[[#This Row],[Docketed Consumer Comments]])),
    ISNUMBER(SEARCH("unknown", tblDocketedComments[[#This Row],[Docketed Consumer Comments]])),
    ISNUMBER(SEARCH("inactive", tblDocketedComments[[#This Row],[Docketed Consumer Comments]]))
  ),
  0,
  1
)</f>
        <v>1</v>
      </c>
    </row>
    <row r="540" spans="1:22">
      <c r="A540" s="2">
        <v>45903</v>
      </c>
      <c r="B540" s="1" t="s">
        <v>1636</v>
      </c>
      <c r="C540" s="1" t="s">
        <v>1637</v>
      </c>
      <c r="D540" s="1" t="s">
        <v>174</v>
      </c>
      <c r="E540" s="1">
        <v>85396</v>
      </c>
      <c r="F540" s="1" t="s">
        <v>31</v>
      </c>
      <c r="G540" s="1" t="s">
        <v>1593</v>
      </c>
      <c r="H540" s="4" t="s">
        <v>27</v>
      </c>
      <c r="V540" s="46">
        <f>IF(
  OR(
    ISNUMBER(SEARCH("unable to locate acct", tblDocketedComments[[#This Row],[Docketed Consumer Comments]])),
    ISNUMBER(SEARCH("unknown", tblDocketedComments[[#This Row],[Docketed Consumer Comments]])),
    ISNUMBER(SEARCH("inactive", tblDocketedComments[[#This Row],[Docketed Consumer Comments]]))
  ),
  0,
  1
)</f>
        <v>1</v>
      </c>
    </row>
    <row r="541" spans="1:22">
      <c r="A541" s="2">
        <v>45903</v>
      </c>
      <c r="B541" s="1" t="s">
        <v>1638</v>
      </c>
      <c r="C541" s="1" t="s">
        <v>1639</v>
      </c>
      <c r="D541" s="1" t="s">
        <v>63</v>
      </c>
      <c r="E541" s="1">
        <v>85085</v>
      </c>
      <c r="F541" s="1" t="s">
        <v>31</v>
      </c>
      <c r="G541" s="1" t="s">
        <v>1593</v>
      </c>
      <c r="H541" s="19" t="s">
        <v>1640</v>
      </c>
      <c r="I541" s="5" t="s">
        <v>418</v>
      </c>
      <c r="J541" s="5" t="s">
        <v>37</v>
      </c>
      <c r="K541" s="5" t="s">
        <v>37</v>
      </c>
      <c r="L541" s="5" t="s">
        <v>389</v>
      </c>
      <c r="M541" s="5" t="s">
        <v>37</v>
      </c>
      <c r="N541" s="5" t="s">
        <v>37</v>
      </c>
      <c r="O541" s="5" t="s">
        <v>38</v>
      </c>
      <c r="P541" s="5" t="s">
        <v>39</v>
      </c>
      <c r="Q541" s="2">
        <v>45966</v>
      </c>
      <c r="V541" s="46">
        <f>IF(
  OR(
    ISNUMBER(SEARCH("unable to locate acct", tblDocketedComments[[#This Row],[Docketed Consumer Comments]])),
    ISNUMBER(SEARCH("unknown", tblDocketedComments[[#This Row],[Docketed Consumer Comments]])),
    ISNUMBER(SEARCH("inactive", tblDocketedComments[[#This Row],[Docketed Consumer Comments]]))
  ),
  0,
  1
)</f>
        <v>1</v>
      </c>
    </row>
    <row r="542" spans="1:22">
      <c r="A542" s="2">
        <v>45903</v>
      </c>
      <c r="B542" s="1" t="s">
        <v>480</v>
      </c>
      <c r="C542" s="1" t="s">
        <v>481</v>
      </c>
      <c r="D542" s="1" t="s">
        <v>63</v>
      </c>
      <c r="E542" s="1">
        <v>85083</v>
      </c>
      <c r="F542" s="1" t="s">
        <v>31</v>
      </c>
      <c r="G542" s="1" t="s">
        <v>1593</v>
      </c>
      <c r="H542" s="19" t="s">
        <v>1641</v>
      </c>
      <c r="I542" s="5" t="s">
        <v>46</v>
      </c>
      <c r="J542" s="5" t="s">
        <v>37</v>
      </c>
      <c r="K542" s="5" t="s">
        <v>37</v>
      </c>
      <c r="L542" s="5" t="s">
        <v>483</v>
      </c>
      <c r="M542" s="5" t="s">
        <v>37</v>
      </c>
      <c r="N542" s="5" t="s">
        <v>37</v>
      </c>
      <c r="O542" s="5" t="s">
        <v>38</v>
      </c>
      <c r="P542" s="5" t="s">
        <v>39</v>
      </c>
      <c r="Q542" s="2">
        <v>45966</v>
      </c>
      <c r="V542" s="46">
        <f>IF(
  OR(
    ISNUMBER(SEARCH("unable to locate acct", tblDocketedComments[[#This Row],[Docketed Consumer Comments]])),
    ISNUMBER(SEARCH("unknown", tblDocketedComments[[#This Row],[Docketed Consumer Comments]])),
    ISNUMBER(SEARCH("inactive", tblDocketedComments[[#This Row],[Docketed Consumer Comments]]))
  ),
  0,
  1
)</f>
        <v>1</v>
      </c>
    </row>
    <row r="543" spans="1:22">
      <c r="A543" s="2">
        <v>45903</v>
      </c>
      <c r="B543" s="1" t="s">
        <v>1134</v>
      </c>
      <c r="C543" s="1" t="s">
        <v>1642</v>
      </c>
      <c r="D543" s="1" t="s">
        <v>240</v>
      </c>
      <c r="E543" s="1">
        <v>85340</v>
      </c>
      <c r="F543" s="1" t="s">
        <v>741</v>
      </c>
      <c r="G543" s="1" t="s">
        <v>1593</v>
      </c>
      <c r="H543" s="19" t="s">
        <v>1643</v>
      </c>
      <c r="I543" s="5" t="s">
        <v>36</v>
      </c>
      <c r="J543" s="5" t="s">
        <v>37</v>
      </c>
      <c r="K543" s="5" t="s">
        <v>37</v>
      </c>
      <c r="L543" s="5" t="s">
        <v>38</v>
      </c>
      <c r="M543" s="5" t="s">
        <v>37</v>
      </c>
      <c r="N543" s="5" t="s">
        <v>37</v>
      </c>
      <c r="O543" s="5" t="s">
        <v>38</v>
      </c>
      <c r="P543" s="5" t="s">
        <v>39</v>
      </c>
      <c r="Q543" s="2">
        <v>45966</v>
      </c>
      <c r="V543" s="46">
        <f>IF(
  OR(
    ISNUMBER(SEARCH("unable to locate acct", tblDocketedComments[[#This Row],[Docketed Consumer Comments]])),
    ISNUMBER(SEARCH("unknown", tblDocketedComments[[#This Row],[Docketed Consumer Comments]])),
    ISNUMBER(SEARCH("inactive", tblDocketedComments[[#This Row],[Docketed Consumer Comments]]))
  ),
  0,
  1
)</f>
        <v>1</v>
      </c>
    </row>
    <row r="544" spans="1:22">
      <c r="A544" s="2">
        <v>45903</v>
      </c>
      <c r="B544" s="1" t="s">
        <v>1644</v>
      </c>
      <c r="C544" s="1" t="s">
        <v>135</v>
      </c>
      <c r="D544" s="1" t="s">
        <v>169</v>
      </c>
      <c r="E544" s="1">
        <v>85338</v>
      </c>
      <c r="F544" s="1" t="s">
        <v>31</v>
      </c>
      <c r="G544" s="1" t="s">
        <v>1593</v>
      </c>
      <c r="H544" s="19" t="s">
        <v>1645</v>
      </c>
      <c r="I544" s="5" t="s">
        <v>418</v>
      </c>
      <c r="J544" s="5" t="s">
        <v>37</v>
      </c>
      <c r="K544" s="5" t="s">
        <v>37</v>
      </c>
      <c r="L544" s="5" t="s">
        <v>389</v>
      </c>
      <c r="M544" s="5" t="s">
        <v>38</v>
      </c>
      <c r="N544" s="13">
        <v>102.79</v>
      </c>
      <c r="O544" s="5" t="s">
        <v>38</v>
      </c>
      <c r="P544" s="5" t="s">
        <v>39</v>
      </c>
      <c r="Q544" s="2">
        <v>45966</v>
      </c>
      <c r="V544" s="46">
        <f>IF(
  OR(
    ISNUMBER(SEARCH("unable to locate acct", tblDocketedComments[[#This Row],[Docketed Consumer Comments]])),
    ISNUMBER(SEARCH("unknown", tblDocketedComments[[#This Row],[Docketed Consumer Comments]])),
    ISNUMBER(SEARCH("inactive", tblDocketedComments[[#This Row],[Docketed Consumer Comments]]))
  ),
  0,
  1
)</f>
        <v>1</v>
      </c>
    </row>
    <row r="545" spans="1:22">
      <c r="A545" s="2">
        <v>45903</v>
      </c>
      <c r="B545" s="1" t="s">
        <v>1646</v>
      </c>
      <c r="C545" s="1" t="s">
        <v>1647</v>
      </c>
      <c r="D545" s="1" t="s">
        <v>63</v>
      </c>
      <c r="E545" s="1">
        <v>85028</v>
      </c>
      <c r="F545" s="1" t="s">
        <v>310</v>
      </c>
      <c r="G545" s="1" t="s">
        <v>1593</v>
      </c>
      <c r="H545" s="19" t="s">
        <v>1648</v>
      </c>
      <c r="I545" s="5" t="s">
        <v>418</v>
      </c>
      <c r="J545" s="5" t="s">
        <v>37</v>
      </c>
      <c r="K545" s="5" t="s">
        <v>37</v>
      </c>
      <c r="L545" s="5" t="s">
        <v>389</v>
      </c>
      <c r="M545" s="5" t="s">
        <v>37</v>
      </c>
      <c r="N545" s="5" t="s">
        <v>37</v>
      </c>
      <c r="O545" s="5" t="s">
        <v>38</v>
      </c>
      <c r="P545" s="5" t="s">
        <v>39</v>
      </c>
      <c r="Q545" s="2">
        <v>45966</v>
      </c>
      <c r="V545" s="46">
        <f>IF(
  OR(
    ISNUMBER(SEARCH("unable to locate acct", tblDocketedComments[[#This Row],[Docketed Consumer Comments]])),
    ISNUMBER(SEARCH("unknown", tblDocketedComments[[#This Row],[Docketed Consumer Comments]])),
    ISNUMBER(SEARCH("inactive", tblDocketedComments[[#This Row],[Docketed Consumer Comments]]))
  ),
  0,
  1
)</f>
        <v>1</v>
      </c>
    </row>
    <row r="546" spans="1:22">
      <c r="A546" s="2">
        <v>45903</v>
      </c>
      <c r="B546" s="1" t="s">
        <v>135</v>
      </c>
      <c r="C546" s="1" t="s">
        <v>1649</v>
      </c>
      <c r="D546" s="1" t="s">
        <v>125</v>
      </c>
      <c r="E546" s="1">
        <v>85260</v>
      </c>
      <c r="F546" s="1" t="s">
        <v>31</v>
      </c>
      <c r="G546" s="1" t="s">
        <v>1593</v>
      </c>
      <c r="H546" s="19" t="s">
        <v>1650</v>
      </c>
      <c r="I546" s="5" t="s">
        <v>36</v>
      </c>
      <c r="J546" s="5" t="s">
        <v>37</v>
      </c>
      <c r="K546" s="5" t="s">
        <v>37</v>
      </c>
      <c r="L546" s="5" t="s">
        <v>38</v>
      </c>
      <c r="M546" s="5" t="s">
        <v>37</v>
      </c>
      <c r="N546" s="5" t="s">
        <v>37</v>
      </c>
      <c r="O546" s="5" t="s">
        <v>38</v>
      </c>
      <c r="P546" s="5" t="s">
        <v>39</v>
      </c>
      <c r="Q546" s="2">
        <v>45966</v>
      </c>
      <c r="V546" s="46">
        <f>IF(
  OR(
    ISNUMBER(SEARCH("unable to locate acct", tblDocketedComments[[#This Row],[Docketed Consumer Comments]])),
    ISNUMBER(SEARCH("unknown", tblDocketedComments[[#This Row],[Docketed Consumer Comments]])),
    ISNUMBER(SEARCH("inactive", tblDocketedComments[[#This Row],[Docketed Consumer Comments]]))
  ),
  0,
  1
)</f>
        <v>1</v>
      </c>
    </row>
    <row r="547" spans="1:22">
      <c r="A547" s="2">
        <v>45903</v>
      </c>
      <c r="B547" s="1" t="s">
        <v>1651</v>
      </c>
      <c r="C547" s="1" t="s">
        <v>1652</v>
      </c>
      <c r="D547" s="1" t="s">
        <v>202</v>
      </c>
      <c r="E547" s="1">
        <v>85383</v>
      </c>
      <c r="F547" s="1" t="s">
        <v>310</v>
      </c>
      <c r="G547" s="1" t="s">
        <v>1593</v>
      </c>
      <c r="H547" s="19" t="s">
        <v>1653</v>
      </c>
      <c r="I547" s="5" t="s">
        <v>57</v>
      </c>
      <c r="J547" s="5" t="s">
        <v>37</v>
      </c>
      <c r="K547" s="5" t="s">
        <v>37</v>
      </c>
      <c r="L547" s="7" t="s">
        <v>1654</v>
      </c>
      <c r="M547" s="5" t="s">
        <v>37</v>
      </c>
      <c r="N547" s="5" t="s">
        <v>37</v>
      </c>
      <c r="O547" s="5" t="s">
        <v>38</v>
      </c>
      <c r="P547" s="5" t="s">
        <v>39</v>
      </c>
      <c r="Q547" s="2">
        <v>45966</v>
      </c>
      <c r="R547" s="1" t="s">
        <v>1655</v>
      </c>
      <c r="V547" s="46">
        <f>IF(
  OR(
    ISNUMBER(SEARCH("unable to locate acct", tblDocketedComments[[#This Row],[Docketed Consumer Comments]])),
    ISNUMBER(SEARCH("unknown", tblDocketedComments[[#This Row],[Docketed Consumer Comments]])),
    ISNUMBER(SEARCH("inactive", tblDocketedComments[[#This Row],[Docketed Consumer Comments]]))
  ),
  0,
  1
)</f>
        <v>1</v>
      </c>
    </row>
    <row r="548" spans="1:22">
      <c r="A548" s="2">
        <v>45903</v>
      </c>
      <c r="B548" s="1" t="s">
        <v>1656</v>
      </c>
      <c r="C548" s="1" t="s">
        <v>225</v>
      </c>
      <c r="D548" s="1" t="s">
        <v>63</v>
      </c>
      <c r="E548" s="1">
        <v>85024</v>
      </c>
      <c r="F548" s="1" t="s">
        <v>310</v>
      </c>
      <c r="G548" s="1" t="s">
        <v>1593</v>
      </c>
      <c r="H548" s="4" t="s">
        <v>209</v>
      </c>
      <c r="V548" s="46">
        <f>IF(
  OR(
    ISNUMBER(SEARCH("unable to locate acct", tblDocketedComments[[#This Row],[Docketed Consumer Comments]])),
    ISNUMBER(SEARCH("unknown", tblDocketedComments[[#This Row],[Docketed Consumer Comments]])),
    ISNUMBER(SEARCH("inactive", tblDocketedComments[[#This Row],[Docketed Consumer Comments]]))
  ),
  0,
  1
)</f>
        <v>1</v>
      </c>
    </row>
    <row r="549" spans="1:22">
      <c r="A549" s="2">
        <v>45903</v>
      </c>
      <c r="B549" s="1" t="s">
        <v>1084</v>
      </c>
      <c r="C549" s="1" t="s">
        <v>548</v>
      </c>
      <c r="D549" s="1" t="s">
        <v>63</v>
      </c>
      <c r="E549" s="1">
        <v>85029</v>
      </c>
      <c r="F549" s="1" t="s">
        <v>310</v>
      </c>
      <c r="G549" s="1" t="s">
        <v>1593</v>
      </c>
      <c r="H549" s="4" t="s">
        <v>209</v>
      </c>
      <c r="V549" s="46">
        <f>IF(
  OR(
    ISNUMBER(SEARCH("unable to locate acct", tblDocketedComments[[#This Row],[Docketed Consumer Comments]])),
    ISNUMBER(SEARCH("unknown", tblDocketedComments[[#This Row],[Docketed Consumer Comments]])),
    ISNUMBER(SEARCH("inactive", tblDocketedComments[[#This Row],[Docketed Consumer Comments]]))
  ),
  0,
  1
)</f>
        <v>1</v>
      </c>
    </row>
    <row r="550" spans="1:22">
      <c r="A550" s="2">
        <v>45903</v>
      </c>
      <c r="B550" s="1" t="s">
        <v>1657</v>
      </c>
      <c r="C550" s="1" t="s">
        <v>1658</v>
      </c>
      <c r="D550" s="1" t="s">
        <v>202</v>
      </c>
      <c r="E550" s="1">
        <v>85382</v>
      </c>
      <c r="F550" s="1" t="s">
        <v>310</v>
      </c>
      <c r="G550" s="1" t="s">
        <v>1593</v>
      </c>
      <c r="H550" s="19" t="s">
        <v>1659</v>
      </c>
      <c r="I550" s="5" t="s">
        <v>73</v>
      </c>
      <c r="J550" s="5" t="s">
        <v>37</v>
      </c>
      <c r="K550" s="5" t="s">
        <v>37</v>
      </c>
      <c r="L550" s="5" t="s">
        <v>38</v>
      </c>
      <c r="M550" s="5" t="s">
        <v>37</v>
      </c>
      <c r="N550" s="5" t="s">
        <v>37</v>
      </c>
      <c r="O550" s="5" t="s">
        <v>38</v>
      </c>
      <c r="P550" s="5" t="s">
        <v>39</v>
      </c>
      <c r="Q550" s="2">
        <v>45966</v>
      </c>
      <c r="V550" s="46">
        <f>IF(
  OR(
    ISNUMBER(SEARCH("unable to locate acct", tblDocketedComments[[#This Row],[Docketed Consumer Comments]])),
    ISNUMBER(SEARCH("unknown", tblDocketedComments[[#This Row],[Docketed Consumer Comments]])),
    ISNUMBER(SEARCH("inactive", tblDocketedComments[[#This Row],[Docketed Consumer Comments]]))
  ),
  0,
  1
)</f>
        <v>1</v>
      </c>
    </row>
    <row r="551" spans="1:22">
      <c r="A551" s="2">
        <v>45903</v>
      </c>
      <c r="B551" s="1" t="s">
        <v>1660</v>
      </c>
      <c r="C551" s="1" t="s">
        <v>1661</v>
      </c>
      <c r="D551" s="1" t="s">
        <v>202</v>
      </c>
      <c r="E551" s="1">
        <v>85345</v>
      </c>
      <c r="F551" s="1" t="s">
        <v>31</v>
      </c>
      <c r="G551" s="1" t="s">
        <v>1593</v>
      </c>
      <c r="H551" s="19" t="s">
        <v>1662</v>
      </c>
      <c r="I551" s="5" t="s">
        <v>36</v>
      </c>
      <c r="J551" s="5" t="s">
        <v>37</v>
      </c>
      <c r="K551" s="5" t="s">
        <v>37</v>
      </c>
      <c r="L551" s="5" t="s">
        <v>38</v>
      </c>
      <c r="M551" s="5" t="s">
        <v>37</v>
      </c>
      <c r="N551" s="5" t="s">
        <v>37</v>
      </c>
      <c r="O551" s="5" t="s">
        <v>38</v>
      </c>
      <c r="P551" s="5" t="s">
        <v>39</v>
      </c>
      <c r="Q551" s="2">
        <v>45966</v>
      </c>
      <c r="V551" s="46">
        <f>IF(
  OR(
    ISNUMBER(SEARCH("unable to locate acct", tblDocketedComments[[#This Row],[Docketed Consumer Comments]])),
    ISNUMBER(SEARCH("unknown", tblDocketedComments[[#This Row],[Docketed Consumer Comments]])),
    ISNUMBER(SEARCH("inactive", tblDocketedComments[[#This Row],[Docketed Consumer Comments]]))
  ),
  0,
  1
)</f>
        <v>1</v>
      </c>
    </row>
    <row r="552" spans="1:22">
      <c r="A552" s="2">
        <v>45903</v>
      </c>
      <c r="B552" s="1" t="s">
        <v>1663</v>
      </c>
      <c r="C552" s="1" t="s">
        <v>135</v>
      </c>
      <c r="D552" s="1" t="s">
        <v>261</v>
      </c>
      <c r="E552" s="1">
        <v>86315</v>
      </c>
      <c r="F552" s="1" t="s">
        <v>31</v>
      </c>
      <c r="G552" s="1" t="s">
        <v>1593</v>
      </c>
      <c r="H552" s="19" t="s">
        <v>1664</v>
      </c>
      <c r="I552" s="5" t="s">
        <v>46</v>
      </c>
      <c r="J552" s="5" t="s">
        <v>37</v>
      </c>
      <c r="K552" s="5" t="s">
        <v>37</v>
      </c>
      <c r="L552" s="5" t="s">
        <v>38</v>
      </c>
      <c r="M552" s="5" t="s">
        <v>38</v>
      </c>
      <c r="N552" s="13">
        <v>105.18</v>
      </c>
      <c r="O552" s="5" t="s">
        <v>38</v>
      </c>
      <c r="P552" s="5" t="s">
        <v>39</v>
      </c>
      <c r="Q552" s="2">
        <v>45966</v>
      </c>
      <c r="V552" s="46">
        <f>IF(
  OR(
    ISNUMBER(SEARCH("unable to locate acct", tblDocketedComments[[#This Row],[Docketed Consumer Comments]])),
    ISNUMBER(SEARCH("unknown", tblDocketedComments[[#This Row],[Docketed Consumer Comments]])),
    ISNUMBER(SEARCH("inactive", tblDocketedComments[[#This Row],[Docketed Consumer Comments]]))
  ),
  0,
  1
)</f>
        <v>1</v>
      </c>
    </row>
    <row r="553" spans="1:22">
      <c r="A553" s="2">
        <v>45904</v>
      </c>
      <c r="B553" s="1" t="s">
        <v>1665</v>
      </c>
      <c r="C553" s="1" t="s">
        <v>1666</v>
      </c>
      <c r="D553" s="1" t="s">
        <v>125</v>
      </c>
      <c r="E553" s="1">
        <v>85251</v>
      </c>
      <c r="F553" s="1" t="s">
        <v>1604</v>
      </c>
      <c r="G553" s="1" t="s">
        <v>1593</v>
      </c>
      <c r="H553" s="19" t="s">
        <v>1667</v>
      </c>
      <c r="I553" s="5" t="s">
        <v>73</v>
      </c>
      <c r="J553" s="5" t="s">
        <v>37</v>
      </c>
      <c r="K553" s="5" t="s">
        <v>37</v>
      </c>
      <c r="L553" s="5" t="s">
        <v>38</v>
      </c>
      <c r="M553" s="5" t="s">
        <v>37</v>
      </c>
      <c r="N553" s="5" t="s">
        <v>37</v>
      </c>
      <c r="O553" s="5" t="s">
        <v>38</v>
      </c>
      <c r="P553" s="5" t="s">
        <v>39</v>
      </c>
      <c r="Q553" s="2">
        <v>45966</v>
      </c>
      <c r="V553" s="46">
        <f>IF(
  OR(
    ISNUMBER(SEARCH("unable to locate acct", tblDocketedComments[[#This Row],[Docketed Consumer Comments]])),
    ISNUMBER(SEARCH("unknown", tblDocketedComments[[#This Row],[Docketed Consumer Comments]])),
    ISNUMBER(SEARCH("inactive", tblDocketedComments[[#This Row],[Docketed Consumer Comments]]))
  ),
  0,
  1
)</f>
        <v>1</v>
      </c>
    </row>
    <row r="554" spans="1:22">
      <c r="A554" s="2">
        <v>45904</v>
      </c>
      <c r="B554" s="1" t="s">
        <v>1668</v>
      </c>
      <c r="C554" s="1" t="s">
        <v>1232</v>
      </c>
      <c r="D554" s="1" t="s">
        <v>112</v>
      </c>
      <c r="E554" s="1">
        <v>85387</v>
      </c>
      <c r="F554" s="1" t="s">
        <v>31</v>
      </c>
      <c r="G554" s="1" t="s">
        <v>1593</v>
      </c>
      <c r="H554" s="19" t="s">
        <v>1669</v>
      </c>
      <c r="I554" s="5" t="s">
        <v>541</v>
      </c>
      <c r="J554" s="5" t="s">
        <v>37</v>
      </c>
      <c r="K554" s="5" t="s">
        <v>37</v>
      </c>
      <c r="L554" s="5" t="s">
        <v>389</v>
      </c>
      <c r="M554" s="5" t="s">
        <v>37</v>
      </c>
      <c r="N554" s="5" t="s">
        <v>37</v>
      </c>
      <c r="O554" s="5" t="s">
        <v>38</v>
      </c>
      <c r="P554" s="5" t="s">
        <v>39</v>
      </c>
      <c r="Q554" s="2">
        <v>45966</v>
      </c>
      <c r="V554" s="46">
        <f>IF(
  OR(
    ISNUMBER(SEARCH("unable to locate acct", tblDocketedComments[[#This Row],[Docketed Consumer Comments]])),
    ISNUMBER(SEARCH("unknown", tblDocketedComments[[#This Row],[Docketed Consumer Comments]])),
    ISNUMBER(SEARCH("inactive", tblDocketedComments[[#This Row],[Docketed Consumer Comments]]))
  ),
  0,
  1
)</f>
        <v>1</v>
      </c>
    </row>
    <row r="555" spans="1:22">
      <c r="A555" s="2">
        <v>45904</v>
      </c>
      <c r="B555" s="1" t="s">
        <v>1670</v>
      </c>
      <c r="C555" s="1" t="s">
        <v>1671</v>
      </c>
      <c r="D555" s="1" t="s">
        <v>261</v>
      </c>
      <c r="E555" s="1">
        <v>86314</v>
      </c>
      <c r="F555" s="1" t="s">
        <v>310</v>
      </c>
      <c r="G555" s="1" t="s">
        <v>1593</v>
      </c>
      <c r="H555" s="4" t="s">
        <v>1672</v>
      </c>
      <c r="I555" s="5" t="s">
        <v>73</v>
      </c>
      <c r="J555" s="5" t="s">
        <v>37</v>
      </c>
      <c r="K555" s="5" t="s">
        <v>37</v>
      </c>
      <c r="L555" s="5" t="s">
        <v>38</v>
      </c>
      <c r="M555" s="5" t="s">
        <v>37</v>
      </c>
      <c r="N555" s="5" t="s">
        <v>37</v>
      </c>
      <c r="O555" s="5" t="s">
        <v>38</v>
      </c>
      <c r="P555" s="5" t="s">
        <v>39</v>
      </c>
      <c r="Q555" s="2">
        <v>45966</v>
      </c>
      <c r="V555" s="46">
        <f>IF(
  OR(
    ISNUMBER(SEARCH("unable to locate acct", tblDocketedComments[[#This Row],[Docketed Consumer Comments]])),
    ISNUMBER(SEARCH("unknown", tblDocketedComments[[#This Row],[Docketed Consumer Comments]])),
    ISNUMBER(SEARCH("inactive", tblDocketedComments[[#This Row],[Docketed Consumer Comments]]))
  ),
  0,
  1
)</f>
        <v>1</v>
      </c>
    </row>
    <row r="556" spans="1:22">
      <c r="A556" s="2">
        <v>45904</v>
      </c>
      <c r="B556" s="1" t="s">
        <v>1673</v>
      </c>
      <c r="C556" s="1" t="s">
        <v>1674</v>
      </c>
      <c r="D556" s="1" t="s">
        <v>63</v>
      </c>
      <c r="E556" s="1">
        <v>85085</v>
      </c>
      <c r="F556" s="1" t="s">
        <v>31</v>
      </c>
      <c r="G556" s="1" t="s">
        <v>1593</v>
      </c>
      <c r="H556" s="4" t="s">
        <v>27</v>
      </c>
      <c r="V556" s="46">
        <f>IF(
  OR(
    ISNUMBER(SEARCH("unable to locate acct", tblDocketedComments[[#This Row],[Docketed Consumer Comments]])),
    ISNUMBER(SEARCH("unknown", tblDocketedComments[[#This Row],[Docketed Consumer Comments]])),
    ISNUMBER(SEARCH("inactive", tblDocketedComments[[#This Row],[Docketed Consumer Comments]]))
  ),
  0,
  1
)</f>
        <v>1</v>
      </c>
    </row>
    <row r="557" spans="1:22">
      <c r="A557" s="2">
        <v>45904</v>
      </c>
      <c r="B557" s="1" t="s">
        <v>1675</v>
      </c>
      <c r="C557" s="1" t="s">
        <v>1007</v>
      </c>
      <c r="D557" s="1" t="s">
        <v>240</v>
      </c>
      <c r="E557" s="1">
        <v>85340</v>
      </c>
      <c r="F557" s="1" t="s">
        <v>31</v>
      </c>
      <c r="G557" s="1" t="s">
        <v>1593</v>
      </c>
      <c r="H557" s="19" t="s">
        <v>1676</v>
      </c>
      <c r="I557" s="5" t="s">
        <v>541</v>
      </c>
      <c r="J557" s="5" t="s">
        <v>38</v>
      </c>
      <c r="K557" s="5" t="s">
        <v>37</v>
      </c>
      <c r="L557" s="5" t="s">
        <v>389</v>
      </c>
      <c r="M557" s="5" t="s">
        <v>38</v>
      </c>
      <c r="N557" s="15">
        <v>1106.1300000000001</v>
      </c>
      <c r="O557" s="5" t="s">
        <v>38</v>
      </c>
      <c r="P557" s="7"/>
      <c r="Q557" s="2">
        <v>45966</v>
      </c>
      <c r="R557" s="1" t="s">
        <v>1677</v>
      </c>
      <c r="V557" s="46">
        <f>IF(
  OR(
    ISNUMBER(SEARCH("unable to locate acct", tblDocketedComments[[#This Row],[Docketed Consumer Comments]])),
    ISNUMBER(SEARCH("unknown", tblDocketedComments[[#This Row],[Docketed Consumer Comments]])),
    ISNUMBER(SEARCH("inactive", tblDocketedComments[[#This Row],[Docketed Consumer Comments]]))
  ),
  0,
  1
)</f>
        <v>1</v>
      </c>
    </row>
    <row r="558" spans="1:22">
      <c r="A558" s="2">
        <v>45904</v>
      </c>
      <c r="B558" s="1" t="s">
        <v>1678</v>
      </c>
      <c r="C558" s="1" t="s">
        <v>420</v>
      </c>
      <c r="D558" s="1" t="s">
        <v>24</v>
      </c>
      <c r="E558" s="1">
        <v>85310</v>
      </c>
      <c r="F558" s="1" t="s">
        <v>31</v>
      </c>
      <c r="G558" s="1" t="s">
        <v>1593</v>
      </c>
      <c r="H558" s="4" t="s">
        <v>27</v>
      </c>
      <c r="V558" s="46">
        <f>IF(
  OR(
    ISNUMBER(SEARCH("unable to locate acct", tblDocketedComments[[#This Row],[Docketed Consumer Comments]])),
    ISNUMBER(SEARCH("unknown", tblDocketedComments[[#This Row],[Docketed Consumer Comments]])),
    ISNUMBER(SEARCH("inactive", tblDocketedComments[[#This Row],[Docketed Consumer Comments]]))
  ),
  0,
  1
)</f>
        <v>1</v>
      </c>
    </row>
    <row r="559" spans="1:22">
      <c r="A559" s="2">
        <v>45904</v>
      </c>
      <c r="B559" s="1" t="s">
        <v>1679</v>
      </c>
      <c r="C559" s="1" t="s">
        <v>194</v>
      </c>
      <c r="D559" s="1" t="s">
        <v>370</v>
      </c>
      <c r="E559" s="1">
        <v>85225</v>
      </c>
      <c r="F559" s="1" t="s">
        <v>310</v>
      </c>
      <c r="G559" s="1" t="s">
        <v>1593</v>
      </c>
      <c r="H559" s="4" t="s">
        <v>1680</v>
      </c>
      <c r="I559" s="5" t="s">
        <v>36</v>
      </c>
      <c r="J559" s="5" t="s">
        <v>37</v>
      </c>
      <c r="K559" s="5" t="s">
        <v>37</v>
      </c>
      <c r="L559" s="7" t="s">
        <v>1681</v>
      </c>
      <c r="M559" s="5" t="s">
        <v>37</v>
      </c>
      <c r="N559" s="5" t="s">
        <v>37</v>
      </c>
      <c r="O559" s="5" t="s">
        <v>38</v>
      </c>
      <c r="P559" s="2">
        <v>45936</v>
      </c>
      <c r="Q559" s="2">
        <v>45966</v>
      </c>
      <c r="R559" s="1" t="s">
        <v>1429</v>
      </c>
      <c r="V559" s="46">
        <f>IF(
  OR(
    ISNUMBER(SEARCH("unable to locate acct", tblDocketedComments[[#This Row],[Docketed Consumer Comments]])),
    ISNUMBER(SEARCH("unknown", tblDocketedComments[[#This Row],[Docketed Consumer Comments]])),
    ISNUMBER(SEARCH("inactive", tblDocketedComments[[#This Row],[Docketed Consumer Comments]]))
  ),
  0,
  1
)</f>
        <v>1</v>
      </c>
    </row>
    <row r="560" spans="1:22">
      <c r="A560" s="2">
        <v>45904</v>
      </c>
      <c r="B560" s="1" t="s">
        <v>1682</v>
      </c>
      <c r="C560" s="1" t="s">
        <v>503</v>
      </c>
      <c r="D560" s="1" t="s">
        <v>125</v>
      </c>
      <c r="E560" s="1">
        <v>85260</v>
      </c>
      <c r="F560" s="1" t="s">
        <v>31</v>
      </c>
      <c r="G560" s="1" t="s">
        <v>1593</v>
      </c>
      <c r="H560" s="4" t="s">
        <v>1683</v>
      </c>
      <c r="I560" s="5" t="s">
        <v>1684</v>
      </c>
      <c r="J560" s="5" t="s">
        <v>37</v>
      </c>
      <c r="K560" s="5" t="s">
        <v>37</v>
      </c>
      <c r="L560" s="5" t="s">
        <v>38</v>
      </c>
      <c r="M560" s="5" t="s">
        <v>37</v>
      </c>
      <c r="N560" s="5" t="s">
        <v>37</v>
      </c>
      <c r="O560" s="5" t="s">
        <v>38</v>
      </c>
      <c r="P560" s="5" t="s">
        <v>39</v>
      </c>
      <c r="Q560" s="2">
        <v>45966</v>
      </c>
      <c r="V560" s="46">
        <f>IF(
  OR(
    ISNUMBER(SEARCH("unable to locate acct", tblDocketedComments[[#This Row],[Docketed Consumer Comments]])),
    ISNUMBER(SEARCH("unknown", tblDocketedComments[[#This Row],[Docketed Consumer Comments]])),
    ISNUMBER(SEARCH("inactive", tblDocketedComments[[#This Row],[Docketed Consumer Comments]]))
  ),
  0,
  1
)</f>
        <v>1</v>
      </c>
    </row>
    <row r="561" spans="1:22">
      <c r="A561" s="2">
        <v>45904</v>
      </c>
      <c r="B561" s="1" t="s">
        <v>1685</v>
      </c>
      <c r="C561" s="1" t="s">
        <v>1686</v>
      </c>
      <c r="D561" s="1" t="s">
        <v>169</v>
      </c>
      <c r="E561" s="1">
        <v>85338</v>
      </c>
      <c r="F561" s="1" t="s">
        <v>31</v>
      </c>
      <c r="G561" s="1" t="s">
        <v>1593</v>
      </c>
      <c r="H561" s="4" t="s">
        <v>1687</v>
      </c>
      <c r="I561" s="5" t="s">
        <v>57</v>
      </c>
      <c r="J561" s="5" t="s">
        <v>37</v>
      </c>
      <c r="K561" s="5" t="s">
        <v>37</v>
      </c>
      <c r="L561" s="5" t="s">
        <v>1688</v>
      </c>
      <c r="M561" s="5" t="s">
        <v>37</v>
      </c>
      <c r="N561" s="5" t="s">
        <v>37</v>
      </c>
      <c r="O561" s="5" t="s">
        <v>38</v>
      </c>
      <c r="P561" s="5" t="s">
        <v>39</v>
      </c>
      <c r="Q561" s="2">
        <v>45966</v>
      </c>
      <c r="V561" s="46">
        <f>IF(
  OR(
    ISNUMBER(SEARCH("unable to locate acct", tblDocketedComments[[#This Row],[Docketed Consumer Comments]])),
    ISNUMBER(SEARCH("unknown", tblDocketedComments[[#This Row],[Docketed Consumer Comments]])),
    ISNUMBER(SEARCH("inactive", tblDocketedComments[[#This Row],[Docketed Consumer Comments]]))
  ),
  0,
  1
)</f>
        <v>1</v>
      </c>
    </row>
    <row r="562" spans="1:22">
      <c r="A562" s="2">
        <v>45904</v>
      </c>
      <c r="B562" s="1" t="s">
        <v>1689</v>
      </c>
      <c r="C562" s="1" t="s">
        <v>1690</v>
      </c>
      <c r="D562" s="1" t="s">
        <v>63</v>
      </c>
      <c r="E562" s="1">
        <v>85016</v>
      </c>
      <c r="F562" s="1" t="s">
        <v>310</v>
      </c>
      <c r="G562" s="1" t="s">
        <v>1593</v>
      </c>
      <c r="H562" s="4" t="s">
        <v>1691</v>
      </c>
      <c r="I562" s="5" t="s">
        <v>46</v>
      </c>
      <c r="J562" s="5" t="s">
        <v>37</v>
      </c>
      <c r="K562" s="5" t="s">
        <v>38</v>
      </c>
      <c r="L562" s="5" t="s">
        <v>38</v>
      </c>
      <c r="M562" s="5" t="s">
        <v>37</v>
      </c>
      <c r="N562" s="5" t="s">
        <v>37</v>
      </c>
      <c r="O562" s="5" t="s">
        <v>38</v>
      </c>
      <c r="P562" s="5" t="s">
        <v>39</v>
      </c>
      <c r="Q562" s="2">
        <v>45966</v>
      </c>
      <c r="V562" s="46">
        <f>IF(
  OR(
    ISNUMBER(SEARCH("unable to locate acct", tblDocketedComments[[#This Row],[Docketed Consumer Comments]])),
    ISNUMBER(SEARCH("unknown", tblDocketedComments[[#This Row],[Docketed Consumer Comments]])),
    ISNUMBER(SEARCH("inactive", tblDocketedComments[[#This Row],[Docketed Consumer Comments]]))
  ),
  0,
  1
)</f>
        <v>1</v>
      </c>
    </row>
    <row r="563" spans="1:22">
      <c r="A563" s="2">
        <v>45904</v>
      </c>
      <c r="B563" s="1" t="s">
        <v>1692</v>
      </c>
      <c r="C563" s="1" t="s">
        <v>1475</v>
      </c>
      <c r="D563" s="1" t="s">
        <v>1693</v>
      </c>
      <c r="E563" s="1">
        <v>85373</v>
      </c>
      <c r="F563" s="1" t="s">
        <v>310</v>
      </c>
      <c r="G563" s="1" t="s">
        <v>1593</v>
      </c>
      <c r="H563" s="4" t="s">
        <v>27</v>
      </c>
      <c r="V563" s="46">
        <f>IF(
  OR(
    ISNUMBER(SEARCH("unable to locate acct", tblDocketedComments[[#This Row],[Docketed Consumer Comments]])),
    ISNUMBER(SEARCH("unknown", tblDocketedComments[[#This Row],[Docketed Consumer Comments]])),
    ISNUMBER(SEARCH("inactive", tblDocketedComments[[#This Row],[Docketed Consumer Comments]]))
  ),
  0,
  1
)</f>
        <v>1</v>
      </c>
    </row>
    <row r="564" spans="1:22">
      <c r="A564" s="2">
        <v>45904</v>
      </c>
      <c r="B564" s="1" t="s">
        <v>1694</v>
      </c>
      <c r="C564" s="1" t="s">
        <v>1486</v>
      </c>
      <c r="D564" s="1" t="s">
        <v>63</v>
      </c>
      <c r="E564" s="1">
        <v>85020</v>
      </c>
      <c r="F564" s="1" t="s">
        <v>310</v>
      </c>
      <c r="G564" s="1" t="s">
        <v>1593</v>
      </c>
      <c r="H564" s="4" t="s">
        <v>1695</v>
      </c>
      <c r="I564" s="5" t="s">
        <v>73</v>
      </c>
      <c r="J564" s="5" t="s">
        <v>37</v>
      </c>
      <c r="K564" s="5" t="s">
        <v>37</v>
      </c>
      <c r="L564" s="5" t="s">
        <v>38</v>
      </c>
      <c r="M564" s="5" t="s">
        <v>37</v>
      </c>
      <c r="N564" s="5" t="s">
        <v>37</v>
      </c>
      <c r="O564" s="5" t="s">
        <v>38</v>
      </c>
      <c r="P564" s="5" t="s">
        <v>39</v>
      </c>
      <c r="Q564" s="2">
        <v>45966</v>
      </c>
      <c r="V564" s="46">
        <f>IF(
  OR(
    ISNUMBER(SEARCH("unable to locate acct", tblDocketedComments[[#This Row],[Docketed Consumer Comments]])),
    ISNUMBER(SEARCH("unknown", tblDocketedComments[[#This Row],[Docketed Consumer Comments]])),
    ISNUMBER(SEARCH("inactive", tblDocketedComments[[#This Row],[Docketed Consumer Comments]]))
  ),
  0,
  1
)</f>
        <v>1</v>
      </c>
    </row>
    <row r="565" spans="1:22">
      <c r="A565" s="2">
        <v>45904</v>
      </c>
      <c r="B565" s="1" t="s">
        <v>1696</v>
      </c>
      <c r="C565" s="1" t="s">
        <v>1686</v>
      </c>
      <c r="D565" s="1" t="s">
        <v>1693</v>
      </c>
      <c r="E565" s="1">
        <v>85373</v>
      </c>
      <c r="F565" s="1" t="s">
        <v>310</v>
      </c>
      <c r="G565" s="1" t="s">
        <v>1593</v>
      </c>
      <c r="H565" s="4" t="s">
        <v>1697</v>
      </c>
      <c r="I565" s="5" t="s">
        <v>418</v>
      </c>
      <c r="J565" s="5" t="s">
        <v>37</v>
      </c>
      <c r="K565" s="5" t="s">
        <v>37</v>
      </c>
      <c r="L565" s="5" t="s">
        <v>389</v>
      </c>
      <c r="M565" s="5" t="s">
        <v>37</v>
      </c>
      <c r="N565" s="5" t="s">
        <v>37</v>
      </c>
      <c r="O565" s="5" t="s">
        <v>38</v>
      </c>
      <c r="P565" s="5" t="s">
        <v>39</v>
      </c>
      <c r="Q565" s="2">
        <v>45966</v>
      </c>
      <c r="V565" s="46">
        <f>IF(
  OR(
    ISNUMBER(SEARCH("unable to locate acct", tblDocketedComments[[#This Row],[Docketed Consumer Comments]])),
    ISNUMBER(SEARCH("unknown", tblDocketedComments[[#This Row],[Docketed Consumer Comments]])),
    ISNUMBER(SEARCH("inactive", tblDocketedComments[[#This Row],[Docketed Consumer Comments]]))
  ),
  0,
  1
)</f>
        <v>1</v>
      </c>
    </row>
    <row r="566" spans="1:22">
      <c r="A566" s="2">
        <v>45904</v>
      </c>
      <c r="B566" s="1" t="s">
        <v>1195</v>
      </c>
      <c r="C566" s="1" t="s">
        <v>789</v>
      </c>
      <c r="D566" s="1" t="s">
        <v>24</v>
      </c>
      <c r="E566" s="1">
        <v>85306</v>
      </c>
      <c r="F566" s="1" t="s">
        <v>1698</v>
      </c>
      <c r="G566" s="1" t="s">
        <v>1593</v>
      </c>
      <c r="H566" s="4" t="s">
        <v>1699</v>
      </c>
      <c r="I566" s="5" t="s">
        <v>57</v>
      </c>
      <c r="J566" s="5" t="s">
        <v>37</v>
      </c>
      <c r="K566" s="5" t="s">
        <v>37</v>
      </c>
      <c r="L566" s="7" t="s">
        <v>1700</v>
      </c>
      <c r="M566" s="5" t="s">
        <v>37</v>
      </c>
      <c r="N566" s="5" t="s">
        <v>37</v>
      </c>
      <c r="O566" s="5" t="s">
        <v>38</v>
      </c>
      <c r="P566" s="2">
        <v>45936</v>
      </c>
      <c r="Q566" s="2">
        <v>45966</v>
      </c>
      <c r="R566" s="1" t="s">
        <v>1429</v>
      </c>
      <c r="V566" s="46">
        <f>IF(
  OR(
    ISNUMBER(SEARCH("unable to locate acct", tblDocketedComments[[#This Row],[Docketed Consumer Comments]])),
    ISNUMBER(SEARCH("unknown", tblDocketedComments[[#This Row],[Docketed Consumer Comments]])),
    ISNUMBER(SEARCH("inactive", tblDocketedComments[[#This Row],[Docketed Consumer Comments]]))
  ),
  0,
  1
)</f>
        <v>1</v>
      </c>
    </row>
    <row r="567" spans="1:22">
      <c r="A567" s="2">
        <v>45904</v>
      </c>
      <c r="B567" s="1" t="s">
        <v>1701</v>
      </c>
      <c r="C567" s="1" t="s">
        <v>838</v>
      </c>
      <c r="D567" s="1" t="s">
        <v>125</v>
      </c>
      <c r="E567" s="1">
        <v>85258</v>
      </c>
      <c r="F567" s="1" t="s">
        <v>31</v>
      </c>
      <c r="G567" s="1" t="s">
        <v>1702</v>
      </c>
      <c r="H567" s="19">
        <v>3485675279</v>
      </c>
      <c r="I567" s="5" t="s">
        <v>126</v>
      </c>
      <c r="J567" s="5" t="s">
        <v>37</v>
      </c>
      <c r="K567" s="5" t="s">
        <v>37</v>
      </c>
      <c r="L567" s="5" t="s">
        <v>38</v>
      </c>
      <c r="M567" s="5" t="s">
        <v>37</v>
      </c>
      <c r="N567" s="5" t="s">
        <v>37</v>
      </c>
      <c r="O567" s="5" t="s">
        <v>38</v>
      </c>
      <c r="P567" s="5" t="s">
        <v>39</v>
      </c>
      <c r="Q567" s="2">
        <v>45966</v>
      </c>
      <c r="V567" s="46">
        <f>IF(
  OR(
    ISNUMBER(SEARCH("unable to locate acct", tblDocketedComments[[#This Row],[Docketed Consumer Comments]])),
    ISNUMBER(SEARCH("unknown", tblDocketedComments[[#This Row],[Docketed Consumer Comments]])),
    ISNUMBER(SEARCH("inactive", tblDocketedComments[[#This Row],[Docketed Consumer Comments]]))
  ),
  0,
  1
)</f>
        <v>1</v>
      </c>
    </row>
    <row r="568" spans="1:22">
      <c r="A568" s="2">
        <v>55766</v>
      </c>
      <c r="B568" s="1" t="s">
        <v>1703</v>
      </c>
      <c r="C568" s="1" t="s">
        <v>1704</v>
      </c>
      <c r="D568" s="1" t="s">
        <v>24</v>
      </c>
      <c r="E568" s="1">
        <v>85310</v>
      </c>
      <c r="F568" s="1" t="s">
        <v>31</v>
      </c>
      <c r="G568" s="1" t="s">
        <v>1705</v>
      </c>
      <c r="H568" s="4" t="s">
        <v>27</v>
      </c>
      <c r="V568" s="46">
        <f>IF(
  OR(
    ISNUMBER(SEARCH("unable to locate acct", tblDocketedComments[[#This Row],[Docketed Consumer Comments]])),
    ISNUMBER(SEARCH("unknown", tblDocketedComments[[#This Row],[Docketed Consumer Comments]])),
    ISNUMBER(SEARCH("inactive", tblDocketedComments[[#This Row],[Docketed Consumer Comments]]))
  ),
  0,
  1
)</f>
        <v>1</v>
      </c>
    </row>
    <row r="569" spans="1:22">
      <c r="A569" s="2">
        <v>45904</v>
      </c>
      <c r="B569" s="1" t="s">
        <v>1706</v>
      </c>
      <c r="C569" s="1" t="s">
        <v>1707</v>
      </c>
      <c r="G569" s="1" t="s">
        <v>1705</v>
      </c>
      <c r="H569" s="4" t="s">
        <v>209</v>
      </c>
      <c r="V569" s="46">
        <f>IF(
  OR(
    ISNUMBER(SEARCH("unable to locate acct", tblDocketedComments[[#This Row],[Docketed Consumer Comments]])),
    ISNUMBER(SEARCH("unknown", tblDocketedComments[[#This Row],[Docketed Consumer Comments]])),
    ISNUMBER(SEARCH("inactive", tblDocketedComments[[#This Row],[Docketed Consumer Comments]]))
  ),
  0,
  1
)</f>
        <v>1</v>
      </c>
    </row>
    <row r="570" spans="1:22">
      <c r="A570" s="2">
        <v>45904</v>
      </c>
      <c r="B570" s="1" t="s">
        <v>1708</v>
      </c>
      <c r="C570" s="1" t="s">
        <v>1709</v>
      </c>
      <c r="D570" s="1" t="s">
        <v>63</v>
      </c>
      <c r="G570" s="1" t="s">
        <v>1705</v>
      </c>
      <c r="H570" s="4" t="s">
        <v>90</v>
      </c>
      <c r="V570" s="46">
        <f>IF(
  OR(
    ISNUMBER(SEARCH("unable to locate acct", tblDocketedComments[[#This Row],[Docketed Consumer Comments]])),
    ISNUMBER(SEARCH("unknown", tblDocketedComments[[#This Row],[Docketed Consumer Comments]])),
    ISNUMBER(SEARCH("inactive", tblDocketedComments[[#This Row],[Docketed Consumer Comments]]))
  ),
  0,
  1
)</f>
        <v>1</v>
      </c>
    </row>
    <row r="571" spans="1:22">
      <c r="A571" s="2">
        <v>45904</v>
      </c>
      <c r="B571" s="1" t="s">
        <v>1710</v>
      </c>
      <c r="C571" s="1" t="s">
        <v>1711</v>
      </c>
      <c r="D571" s="1" t="s">
        <v>125</v>
      </c>
      <c r="E571" s="1">
        <v>85258</v>
      </c>
      <c r="F571" s="1" t="s">
        <v>31</v>
      </c>
      <c r="G571" s="1" t="s">
        <v>1705</v>
      </c>
      <c r="H571" s="19">
        <v>6907731000</v>
      </c>
      <c r="I571" s="5" t="s">
        <v>196</v>
      </c>
      <c r="J571" s="5" t="s">
        <v>37</v>
      </c>
      <c r="K571" s="5" t="s">
        <v>37</v>
      </c>
      <c r="L571" s="7" t="s">
        <v>1712</v>
      </c>
      <c r="M571" s="5" t="s">
        <v>37</v>
      </c>
      <c r="N571" s="5" t="s">
        <v>37</v>
      </c>
      <c r="O571" s="5" t="s">
        <v>38</v>
      </c>
      <c r="P571" s="2">
        <v>45936</v>
      </c>
      <c r="Q571" s="2">
        <v>45966</v>
      </c>
      <c r="R571" s="1" t="s">
        <v>1429</v>
      </c>
      <c r="V571" s="46">
        <f>IF(
  OR(
    ISNUMBER(SEARCH("unable to locate acct", tblDocketedComments[[#This Row],[Docketed Consumer Comments]])),
    ISNUMBER(SEARCH("unknown", tblDocketedComments[[#This Row],[Docketed Consumer Comments]])),
    ISNUMBER(SEARCH("inactive", tblDocketedComments[[#This Row],[Docketed Consumer Comments]]))
  ),
  0,
  1
)</f>
        <v>1</v>
      </c>
    </row>
    <row r="572" spans="1:22">
      <c r="A572" s="2">
        <v>45904</v>
      </c>
      <c r="B572" s="1" t="s">
        <v>1713</v>
      </c>
      <c r="C572" s="1" t="s">
        <v>1714</v>
      </c>
      <c r="F572" s="1" t="s">
        <v>31</v>
      </c>
      <c r="G572" s="1" t="s">
        <v>1705</v>
      </c>
      <c r="H572" s="4" t="s">
        <v>209</v>
      </c>
      <c r="V572" s="46">
        <f>IF(
  OR(
    ISNUMBER(SEARCH("unable to locate acct", tblDocketedComments[[#This Row],[Docketed Consumer Comments]])),
    ISNUMBER(SEARCH("unknown", tblDocketedComments[[#This Row],[Docketed Consumer Comments]])),
    ISNUMBER(SEARCH("inactive", tblDocketedComments[[#This Row],[Docketed Consumer Comments]]))
  ),
  0,
  1
)</f>
        <v>1</v>
      </c>
    </row>
    <row r="573" spans="1:22">
      <c r="A573" s="2">
        <v>45904</v>
      </c>
      <c r="B573" s="1" t="s">
        <v>1715</v>
      </c>
      <c r="C573" s="1" t="s">
        <v>1716</v>
      </c>
      <c r="G573" s="1" t="s">
        <v>1705</v>
      </c>
      <c r="H573" s="4" t="s">
        <v>27</v>
      </c>
      <c r="U573" s="1" t="s">
        <v>1717</v>
      </c>
      <c r="V573" s="46">
        <f>IF(
  OR(
    ISNUMBER(SEARCH("unable to locate acct", tblDocketedComments[[#This Row],[Docketed Consumer Comments]])),
    ISNUMBER(SEARCH("unknown", tblDocketedComments[[#This Row],[Docketed Consumer Comments]])),
    ISNUMBER(SEARCH("inactive", tblDocketedComments[[#This Row],[Docketed Consumer Comments]]))
  ),
  0,
  1
)</f>
        <v>1</v>
      </c>
    </row>
    <row r="574" spans="1:22">
      <c r="A574" s="2">
        <v>45904</v>
      </c>
      <c r="B574" s="1" t="s">
        <v>1718</v>
      </c>
      <c r="C574" s="1" t="s">
        <v>650</v>
      </c>
      <c r="D574" s="1" t="s">
        <v>1719</v>
      </c>
      <c r="E574" s="1">
        <v>85615</v>
      </c>
      <c r="F574" s="1" t="s">
        <v>31</v>
      </c>
      <c r="G574" s="1" t="s">
        <v>1705</v>
      </c>
      <c r="H574" s="19">
        <v>1710517819</v>
      </c>
      <c r="I574" s="5" t="s">
        <v>541</v>
      </c>
      <c r="J574" s="5" t="s">
        <v>38</v>
      </c>
      <c r="K574" s="5" t="s">
        <v>37</v>
      </c>
      <c r="L574" s="5" t="s">
        <v>389</v>
      </c>
      <c r="M574" s="5" t="s">
        <v>37</v>
      </c>
      <c r="N574" s="5" t="s">
        <v>37</v>
      </c>
      <c r="O574" s="5" t="s">
        <v>38</v>
      </c>
      <c r="P574" s="5" t="s">
        <v>39</v>
      </c>
      <c r="Q574" s="2">
        <v>45966</v>
      </c>
      <c r="V574" s="46">
        <f>IF(
  OR(
    ISNUMBER(SEARCH("unable to locate acct", tblDocketedComments[[#This Row],[Docketed Consumer Comments]])),
    ISNUMBER(SEARCH("unknown", tblDocketedComments[[#This Row],[Docketed Consumer Comments]])),
    ISNUMBER(SEARCH("inactive", tblDocketedComments[[#This Row],[Docketed Consumer Comments]]))
  ),
  0,
  1
)</f>
        <v>1</v>
      </c>
    </row>
    <row r="575" spans="1:22">
      <c r="A575" s="2">
        <v>45905</v>
      </c>
      <c r="B575" s="1" t="s">
        <v>1720</v>
      </c>
      <c r="C575" s="1" t="s">
        <v>1444</v>
      </c>
      <c r="G575" s="1" t="s">
        <v>1721</v>
      </c>
      <c r="H575" s="4" t="s">
        <v>209</v>
      </c>
      <c r="V575" s="46">
        <f>IF(
  OR(
    ISNUMBER(SEARCH("unable to locate acct", tblDocketedComments[[#This Row],[Docketed Consumer Comments]])),
    ISNUMBER(SEARCH("unknown", tblDocketedComments[[#This Row],[Docketed Consumer Comments]])),
    ISNUMBER(SEARCH("inactive", tblDocketedComments[[#This Row],[Docketed Consumer Comments]]))
  ),
  0,
  1
)</f>
        <v>1</v>
      </c>
    </row>
    <row r="576" spans="1:22">
      <c r="A576" s="2">
        <v>45905</v>
      </c>
      <c r="B576" s="1" t="s">
        <v>1722</v>
      </c>
      <c r="C576" s="1" t="s">
        <v>194</v>
      </c>
      <c r="D576" s="1" t="s">
        <v>240</v>
      </c>
      <c r="E576" s="1">
        <v>85340</v>
      </c>
      <c r="F576" s="1" t="s">
        <v>31</v>
      </c>
      <c r="G576" s="1" t="s">
        <v>1723</v>
      </c>
      <c r="H576" s="4" t="s">
        <v>898</v>
      </c>
      <c r="I576" s="5" t="s">
        <v>73</v>
      </c>
      <c r="J576" s="5" t="s">
        <v>37</v>
      </c>
      <c r="K576" s="5" t="s">
        <v>37</v>
      </c>
      <c r="L576" s="5" t="s">
        <v>38</v>
      </c>
      <c r="M576" s="5" t="s">
        <v>37</v>
      </c>
      <c r="N576" s="5" t="s">
        <v>37</v>
      </c>
      <c r="O576" s="5" t="s">
        <v>38</v>
      </c>
      <c r="P576" s="5" t="s">
        <v>39</v>
      </c>
      <c r="Q576" s="2">
        <v>45966</v>
      </c>
      <c r="V576" s="46">
        <f>IF(
  OR(
    ISNUMBER(SEARCH("unable to locate acct", tblDocketedComments[[#This Row],[Docketed Consumer Comments]])),
    ISNUMBER(SEARCH("unknown", tblDocketedComments[[#This Row],[Docketed Consumer Comments]])),
    ISNUMBER(SEARCH("inactive", tblDocketedComments[[#This Row],[Docketed Consumer Comments]]))
  ),
  0,
  1
)</f>
        <v>1</v>
      </c>
    </row>
    <row r="577" spans="1:22">
      <c r="A577" s="2">
        <v>45905</v>
      </c>
      <c r="B577" s="1" t="s">
        <v>1724</v>
      </c>
      <c r="C577" s="1" t="s">
        <v>479</v>
      </c>
      <c r="D577" s="1" t="s">
        <v>125</v>
      </c>
      <c r="E577" s="1">
        <v>85254</v>
      </c>
      <c r="F577" s="1" t="s">
        <v>310</v>
      </c>
      <c r="G577" s="1" t="s">
        <v>1723</v>
      </c>
      <c r="H577" s="4" t="s">
        <v>27</v>
      </c>
      <c r="V577" s="46">
        <f>IF(
  OR(
    ISNUMBER(SEARCH("unable to locate acct", tblDocketedComments[[#This Row],[Docketed Consumer Comments]])),
    ISNUMBER(SEARCH("unknown", tblDocketedComments[[#This Row],[Docketed Consumer Comments]])),
    ISNUMBER(SEARCH("inactive", tblDocketedComments[[#This Row],[Docketed Consumer Comments]]))
  ),
  0,
  1
)</f>
        <v>1</v>
      </c>
    </row>
    <row r="578" spans="1:22">
      <c r="A578" s="2">
        <v>45905</v>
      </c>
      <c r="B578" s="1" t="s">
        <v>1725</v>
      </c>
      <c r="C578" s="1" t="s">
        <v>1726</v>
      </c>
      <c r="D578" s="1" t="s">
        <v>169</v>
      </c>
      <c r="E578" s="1">
        <v>85395</v>
      </c>
      <c r="F578" s="1" t="s">
        <v>1727</v>
      </c>
      <c r="G578" s="1" t="s">
        <v>1723</v>
      </c>
      <c r="H578" s="4" t="s">
        <v>1728</v>
      </c>
      <c r="I578" s="5" t="s">
        <v>418</v>
      </c>
      <c r="J578" s="5" t="s">
        <v>37</v>
      </c>
      <c r="K578" s="5" t="s">
        <v>37</v>
      </c>
      <c r="L578" s="5" t="s">
        <v>389</v>
      </c>
      <c r="M578" s="5" t="s">
        <v>37</v>
      </c>
      <c r="N578" s="5" t="s">
        <v>37</v>
      </c>
      <c r="O578" s="5" t="s">
        <v>38</v>
      </c>
      <c r="P578" s="5" t="s">
        <v>39</v>
      </c>
      <c r="Q578" s="2">
        <v>45966</v>
      </c>
      <c r="V578" s="46">
        <f>IF(
  OR(
    ISNUMBER(SEARCH("unable to locate acct", tblDocketedComments[[#This Row],[Docketed Consumer Comments]])),
    ISNUMBER(SEARCH("unknown", tblDocketedComments[[#This Row],[Docketed Consumer Comments]])),
    ISNUMBER(SEARCH("inactive", tblDocketedComments[[#This Row],[Docketed Consumer Comments]]))
  ),
  0,
  1
)</f>
        <v>1</v>
      </c>
    </row>
    <row r="579" spans="1:22">
      <c r="A579" s="2">
        <v>45905</v>
      </c>
      <c r="B579" s="1" t="s">
        <v>1729</v>
      </c>
      <c r="C579" s="1" t="s">
        <v>177</v>
      </c>
      <c r="D579" s="1" t="s">
        <v>63</v>
      </c>
      <c r="E579" s="1">
        <v>85028</v>
      </c>
      <c r="F579" s="1" t="s">
        <v>310</v>
      </c>
      <c r="G579" s="1" t="s">
        <v>1723</v>
      </c>
      <c r="H579" s="4" t="s">
        <v>1730</v>
      </c>
      <c r="I579" s="5" t="s">
        <v>196</v>
      </c>
      <c r="J579" s="5" t="s">
        <v>37</v>
      </c>
      <c r="K579" s="5" t="s">
        <v>37</v>
      </c>
      <c r="L579" s="7" t="s">
        <v>1731</v>
      </c>
      <c r="M579" s="5" t="s">
        <v>37</v>
      </c>
      <c r="N579" s="5" t="s">
        <v>37</v>
      </c>
      <c r="O579" s="5" t="s">
        <v>38</v>
      </c>
      <c r="P579" s="2">
        <v>45936</v>
      </c>
      <c r="Q579" s="2">
        <v>45966</v>
      </c>
      <c r="R579" s="1" t="s">
        <v>1732</v>
      </c>
      <c r="V579" s="46">
        <f>IF(
  OR(
    ISNUMBER(SEARCH("unable to locate acct", tblDocketedComments[[#This Row],[Docketed Consumer Comments]])),
    ISNUMBER(SEARCH("unknown", tblDocketedComments[[#This Row],[Docketed Consumer Comments]])),
    ISNUMBER(SEARCH("inactive", tblDocketedComments[[#This Row],[Docketed Consumer Comments]]))
  ),
  0,
  1
)</f>
        <v>1</v>
      </c>
    </row>
    <row r="580" spans="1:22">
      <c r="A580" s="2">
        <v>45905</v>
      </c>
      <c r="B580" s="1" t="s">
        <v>1733</v>
      </c>
      <c r="C580" s="1" t="s">
        <v>328</v>
      </c>
      <c r="D580" s="1" t="s">
        <v>63</v>
      </c>
      <c r="E580" s="1">
        <v>85008</v>
      </c>
      <c r="F580" s="1" t="s">
        <v>310</v>
      </c>
      <c r="G580" s="1" t="s">
        <v>1723</v>
      </c>
      <c r="H580" s="4" t="s">
        <v>1734</v>
      </c>
      <c r="I580" s="5" t="s">
        <v>36</v>
      </c>
      <c r="J580" s="5" t="s">
        <v>38</v>
      </c>
      <c r="K580" s="5" t="s">
        <v>37</v>
      </c>
      <c r="L580" s="5" t="s">
        <v>1735</v>
      </c>
      <c r="M580" s="5" t="s">
        <v>38</v>
      </c>
      <c r="N580" s="15">
        <v>487.48</v>
      </c>
      <c r="O580" s="5" t="s">
        <v>38</v>
      </c>
      <c r="P580" s="7"/>
      <c r="Q580" s="2">
        <v>45966</v>
      </c>
      <c r="R580" s="1" t="s">
        <v>495</v>
      </c>
      <c r="V580" s="46">
        <f>IF(
  OR(
    ISNUMBER(SEARCH("unable to locate acct", tblDocketedComments[[#This Row],[Docketed Consumer Comments]])),
    ISNUMBER(SEARCH("unknown", tblDocketedComments[[#This Row],[Docketed Consumer Comments]])),
    ISNUMBER(SEARCH("inactive", tblDocketedComments[[#This Row],[Docketed Consumer Comments]]))
  ),
  0,
  1
)</f>
        <v>1</v>
      </c>
    </row>
    <row r="581" spans="1:22">
      <c r="A581" s="2">
        <v>45905</v>
      </c>
      <c r="B581" s="1" t="s">
        <v>1736</v>
      </c>
      <c r="C581" s="1" t="s">
        <v>1737</v>
      </c>
      <c r="D581" s="1" t="s">
        <v>125</v>
      </c>
      <c r="E581" s="1">
        <v>85260</v>
      </c>
      <c r="F581" s="1" t="s">
        <v>310</v>
      </c>
      <c r="G581" s="1" t="s">
        <v>1723</v>
      </c>
      <c r="H581" s="4" t="s">
        <v>1738</v>
      </c>
      <c r="I581" s="5" t="s">
        <v>196</v>
      </c>
      <c r="J581" s="5" t="s">
        <v>37</v>
      </c>
      <c r="K581" s="5" t="s">
        <v>37</v>
      </c>
      <c r="L581" s="5" t="s">
        <v>1739</v>
      </c>
      <c r="M581" s="5" t="s">
        <v>37</v>
      </c>
      <c r="N581" s="5" t="s">
        <v>37</v>
      </c>
      <c r="O581" s="5" t="s">
        <v>38</v>
      </c>
      <c r="P581" s="5" t="s">
        <v>39</v>
      </c>
      <c r="Q581" s="2">
        <v>45966</v>
      </c>
      <c r="V581" s="46">
        <f>IF(
  OR(
    ISNUMBER(SEARCH("unable to locate acct", tblDocketedComments[[#This Row],[Docketed Consumer Comments]])),
    ISNUMBER(SEARCH("unknown", tblDocketedComments[[#This Row],[Docketed Consumer Comments]])),
    ISNUMBER(SEARCH("inactive", tblDocketedComments[[#This Row],[Docketed Consumer Comments]]))
  ),
  0,
  1
)</f>
        <v>1</v>
      </c>
    </row>
    <row r="582" spans="1:22">
      <c r="A582" s="2">
        <v>45905</v>
      </c>
      <c r="B582" s="1" t="s">
        <v>1740</v>
      </c>
      <c r="C582" s="1" t="s">
        <v>1741</v>
      </c>
      <c r="D582" s="1" t="s">
        <v>63</v>
      </c>
      <c r="E582" s="1">
        <v>85013</v>
      </c>
      <c r="F582" s="1" t="s">
        <v>1742</v>
      </c>
      <c r="G582" s="1" t="s">
        <v>1723</v>
      </c>
      <c r="H582" s="4" t="s">
        <v>1743</v>
      </c>
      <c r="I582" s="5" t="s">
        <v>36</v>
      </c>
      <c r="J582" s="5" t="s">
        <v>37</v>
      </c>
      <c r="K582" s="5" t="s">
        <v>37</v>
      </c>
      <c r="L582" s="5" t="s">
        <v>38</v>
      </c>
      <c r="M582" s="5" t="s">
        <v>37</v>
      </c>
      <c r="N582" s="5" t="s">
        <v>37</v>
      </c>
      <c r="O582" s="5" t="s">
        <v>38</v>
      </c>
      <c r="P582" s="5" t="s">
        <v>39</v>
      </c>
      <c r="Q582" s="2">
        <v>45966</v>
      </c>
      <c r="V582" s="46">
        <f>IF(
  OR(
    ISNUMBER(SEARCH("unable to locate acct", tblDocketedComments[[#This Row],[Docketed Consumer Comments]])),
    ISNUMBER(SEARCH("unknown", tblDocketedComments[[#This Row],[Docketed Consumer Comments]])),
    ISNUMBER(SEARCH("inactive", tblDocketedComments[[#This Row],[Docketed Consumer Comments]]))
  ),
  0,
  1
)</f>
        <v>1</v>
      </c>
    </row>
    <row r="583" spans="1:22">
      <c r="A583" s="2">
        <v>45905</v>
      </c>
      <c r="B583" s="1" t="s">
        <v>1744</v>
      </c>
      <c r="C583" s="1" t="s">
        <v>1745</v>
      </c>
      <c r="D583" s="1" t="s">
        <v>635</v>
      </c>
      <c r="E583" s="1">
        <v>85281</v>
      </c>
      <c r="F583" s="1" t="s">
        <v>310</v>
      </c>
      <c r="G583" s="1" t="s">
        <v>1723</v>
      </c>
      <c r="H583" s="4" t="s">
        <v>1746</v>
      </c>
      <c r="I583" s="5" t="s">
        <v>196</v>
      </c>
      <c r="J583" s="5" t="s">
        <v>37</v>
      </c>
      <c r="K583" s="5" t="s">
        <v>37</v>
      </c>
      <c r="L583" s="5" t="s">
        <v>1747</v>
      </c>
      <c r="M583" s="5" t="s">
        <v>37</v>
      </c>
      <c r="N583" s="5" t="s">
        <v>37</v>
      </c>
      <c r="O583" s="5" t="s">
        <v>38</v>
      </c>
      <c r="P583" s="5" t="s">
        <v>39</v>
      </c>
      <c r="Q583" s="2">
        <v>45966</v>
      </c>
      <c r="V583" s="46">
        <f>IF(
  OR(
    ISNUMBER(SEARCH("unable to locate acct", tblDocketedComments[[#This Row],[Docketed Consumer Comments]])),
    ISNUMBER(SEARCH("unknown", tblDocketedComments[[#This Row],[Docketed Consumer Comments]])),
    ISNUMBER(SEARCH("inactive", tblDocketedComments[[#This Row],[Docketed Consumer Comments]]))
  ),
  0,
  1
)</f>
        <v>1</v>
      </c>
    </row>
    <row r="584" spans="1:22">
      <c r="A584" s="2">
        <v>45905</v>
      </c>
      <c r="B584" s="1" t="s">
        <v>1748</v>
      </c>
      <c r="C584" s="1" t="s">
        <v>1749</v>
      </c>
      <c r="D584" s="1" t="s">
        <v>63</v>
      </c>
      <c r="E584" s="1">
        <v>85083</v>
      </c>
      <c r="F584" s="1" t="s">
        <v>31</v>
      </c>
      <c r="G584" s="1" t="s">
        <v>1723</v>
      </c>
      <c r="H584" s="4" t="s">
        <v>1750</v>
      </c>
      <c r="I584" s="5" t="s">
        <v>250</v>
      </c>
      <c r="J584" s="5" t="s">
        <v>37</v>
      </c>
      <c r="K584" s="5" t="s">
        <v>37</v>
      </c>
      <c r="L584" s="5" t="s">
        <v>38</v>
      </c>
      <c r="M584" s="5" t="s">
        <v>37</v>
      </c>
      <c r="N584" s="5" t="s">
        <v>37</v>
      </c>
      <c r="O584" s="5" t="s">
        <v>38</v>
      </c>
      <c r="P584" s="5" t="s">
        <v>39</v>
      </c>
      <c r="Q584" s="2">
        <v>45966</v>
      </c>
      <c r="V584" s="46">
        <f>IF(
  OR(
    ISNUMBER(SEARCH("unable to locate acct", tblDocketedComments[[#This Row],[Docketed Consumer Comments]])),
    ISNUMBER(SEARCH("unknown", tblDocketedComments[[#This Row],[Docketed Consumer Comments]])),
    ISNUMBER(SEARCH("inactive", tblDocketedComments[[#This Row],[Docketed Consumer Comments]]))
  ),
  0,
  1
)</f>
        <v>1</v>
      </c>
    </row>
    <row r="585" spans="1:22">
      <c r="A585" s="2">
        <v>45905</v>
      </c>
      <c r="B585" s="1" t="s">
        <v>1703</v>
      </c>
      <c r="C585" s="1" t="s">
        <v>705</v>
      </c>
      <c r="D585" s="1" t="s">
        <v>63</v>
      </c>
      <c r="E585" s="1">
        <v>85032</v>
      </c>
      <c r="F585" s="1" t="s">
        <v>310</v>
      </c>
      <c r="G585" s="1" t="s">
        <v>1723</v>
      </c>
      <c r="H585" s="4" t="s">
        <v>1751</v>
      </c>
      <c r="I585" s="5" t="s">
        <v>196</v>
      </c>
      <c r="J585" s="5" t="s">
        <v>37</v>
      </c>
      <c r="K585" s="5" t="s">
        <v>37</v>
      </c>
      <c r="L585" s="5" t="s">
        <v>38</v>
      </c>
      <c r="M585" s="5" t="s">
        <v>37</v>
      </c>
      <c r="N585" s="5" t="s">
        <v>37</v>
      </c>
      <c r="O585" s="5" t="s">
        <v>38</v>
      </c>
      <c r="P585" s="5" t="s">
        <v>39</v>
      </c>
      <c r="Q585" s="2">
        <v>45966</v>
      </c>
      <c r="V585" s="46">
        <f>IF(
  OR(
    ISNUMBER(SEARCH("unable to locate acct", tblDocketedComments[[#This Row],[Docketed Consumer Comments]])),
    ISNUMBER(SEARCH("unknown", tblDocketedComments[[#This Row],[Docketed Consumer Comments]])),
    ISNUMBER(SEARCH("inactive", tblDocketedComments[[#This Row],[Docketed Consumer Comments]]))
  ),
  0,
  1
)</f>
        <v>1</v>
      </c>
    </row>
    <row r="586" spans="1:22">
      <c r="A586" s="2">
        <v>45905</v>
      </c>
      <c r="B586" s="1" t="s">
        <v>1752</v>
      </c>
      <c r="C586" s="1" t="s">
        <v>1753</v>
      </c>
      <c r="D586" s="1" t="s">
        <v>169</v>
      </c>
      <c r="E586" s="1">
        <v>85395</v>
      </c>
      <c r="F586" s="1" t="s">
        <v>25</v>
      </c>
      <c r="G586" s="1" t="s">
        <v>1723</v>
      </c>
      <c r="H586" s="4" t="s">
        <v>27</v>
      </c>
      <c r="V586" s="46">
        <f>IF(
  OR(
    ISNUMBER(SEARCH("unable to locate acct", tblDocketedComments[[#This Row],[Docketed Consumer Comments]])),
    ISNUMBER(SEARCH("unknown", tblDocketedComments[[#This Row],[Docketed Consumer Comments]])),
    ISNUMBER(SEARCH("inactive", tblDocketedComments[[#This Row],[Docketed Consumer Comments]]))
  ),
  0,
  1
)</f>
        <v>1</v>
      </c>
    </row>
    <row r="587" spans="1:22">
      <c r="A587" s="2">
        <v>45905</v>
      </c>
      <c r="B587" s="1" t="s">
        <v>1754</v>
      </c>
      <c r="C587" s="1" t="s">
        <v>1755</v>
      </c>
      <c r="D587" s="1" t="s">
        <v>112</v>
      </c>
      <c r="E587" s="1">
        <v>85388</v>
      </c>
      <c r="F587" s="1" t="s">
        <v>310</v>
      </c>
      <c r="G587" s="1" t="s">
        <v>1723</v>
      </c>
      <c r="H587" s="4" t="s">
        <v>1756</v>
      </c>
      <c r="I587" s="5" t="s">
        <v>36</v>
      </c>
      <c r="J587" s="5" t="s">
        <v>37</v>
      </c>
      <c r="K587" s="5" t="s">
        <v>37</v>
      </c>
      <c r="L587" s="5" t="s">
        <v>38</v>
      </c>
      <c r="M587" s="5" t="s">
        <v>37</v>
      </c>
      <c r="N587" s="5" t="s">
        <v>37</v>
      </c>
      <c r="O587" s="5" t="s">
        <v>38</v>
      </c>
      <c r="P587" s="5" t="s">
        <v>39</v>
      </c>
      <c r="Q587" s="2">
        <v>45966</v>
      </c>
      <c r="V587" s="46">
        <f>IF(
  OR(
    ISNUMBER(SEARCH("unable to locate acct", tblDocketedComments[[#This Row],[Docketed Consumer Comments]])),
    ISNUMBER(SEARCH("unknown", tblDocketedComments[[#This Row],[Docketed Consumer Comments]])),
    ISNUMBER(SEARCH("inactive", tblDocketedComments[[#This Row],[Docketed Consumer Comments]]))
  ),
  0,
  1
)</f>
        <v>1</v>
      </c>
    </row>
    <row r="588" spans="1:22">
      <c r="A588" s="2">
        <v>45905</v>
      </c>
      <c r="B588" s="1" t="s">
        <v>1757</v>
      </c>
      <c r="C588" s="1" t="s">
        <v>1758</v>
      </c>
      <c r="D588" s="1" t="s">
        <v>202</v>
      </c>
      <c r="E588" s="1">
        <v>85383</v>
      </c>
      <c r="F588" s="1" t="s">
        <v>310</v>
      </c>
      <c r="G588" s="1" t="s">
        <v>1723</v>
      </c>
      <c r="H588" s="4" t="s">
        <v>27</v>
      </c>
      <c r="V588" s="46">
        <f>IF(
  OR(
    ISNUMBER(SEARCH("unable to locate acct", tblDocketedComments[[#This Row],[Docketed Consumer Comments]])),
    ISNUMBER(SEARCH("unknown", tblDocketedComments[[#This Row],[Docketed Consumer Comments]])),
    ISNUMBER(SEARCH("inactive", tblDocketedComments[[#This Row],[Docketed Consumer Comments]]))
  ),
  0,
  1
)</f>
        <v>1</v>
      </c>
    </row>
    <row r="589" spans="1:22">
      <c r="A589" s="2">
        <v>45905</v>
      </c>
      <c r="B589" s="1" t="s">
        <v>1759</v>
      </c>
      <c r="C589" s="1" t="s">
        <v>1760</v>
      </c>
      <c r="D589" s="1" t="s">
        <v>129</v>
      </c>
      <c r="E589" s="1">
        <v>85233</v>
      </c>
      <c r="F589" s="1" t="s">
        <v>31</v>
      </c>
      <c r="G589" s="1" t="s">
        <v>1723</v>
      </c>
      <c r="H589" s="4" t="s">
        <v>1761</v>
      </c>
      <c r="I589" s="5" t="s">
        <v>36</v>
      </c>
      <c r="J589" s="5" t="s">
        <v>37</v>
      </c>
      <c r="K589" s="5" t="s">
        <v>37</v>
      </c>
      <c r="L589" s="5" t="s">
        <v>38</v>
      </c>
      <c r="M589" s="5" t="s">
        <v>37</v>
      </c>
      <c r="N589" s="5" t="s">
        <v>37</v>
      </c>
      <c r="O589" s="5" t="s">
        <v>38</v>
      </c>
      <c r="P589" s="5" t="s">
        <v>39</v>
      </c>
      <c r="Q589" s="2">
        <v>45966</v>
      </c>
      <c r="V589" s="46">
        <f>IF(
  OR(
    ISNUMBER(SEARCH("unable to locate acct", tblDocketedComments[[#This Row],[Docketed Consumer Comments]])),
    ISNUMBER(SEARCH("unknown", tblDocketedComments[[#This Row],[Docketed Consumer Comments]])),
    ISNUMBER(SEARCH("inactive", tblDocketedComments[[#This Row],[Docketed Consumer Comments]]))
  ),
  0,
  1
)</f>
        <v>1</v>
      </c>
    </row>
    <row r="590" spans="1:22">
      <c r="A590" s="2">
        <v>45905</v>
      </c>
      <c r="B590" s="1" t="s">
        <v>1762</v>
      </c>
      <c r="C590" s="1" t="s">
        <v>771</v>
      </c>
      <c r="D590" s="1" t="s">
        <v>63</v>
      </c>
      <c r="E590" s="1">
        <v>85020</v>
      </c>
      <c r="F590" s="1" t="s">
        <v>310</v>
      </c>
      <c r="G590" s="1" t="s">
        <v>1723</v>
      </c>
      <c r="H590" s="4" t="s">
        <v>1763</v>
      </c>
      <c r="I590" s="5" t="s">
        <v>196</v>
      </c>
      <c r="J590" s="5" t="s">
        <v>37</v>
      </c>
      <c r="K590" s="5" t="s">
        <v>37</v>
      </c>
      <c r="L590" s="5" t="s">
        <v>1764</v>
      </c>
      <c r="M590" s="5" t="s">
        <v>37</v>
      </c>
      <c r="N590" s="5" t="s">
        <v>37</v>
      </c>
      <c r="O590" s="5" t="s">
        <v>38</v>
      </c>
      <c r="P590" s="5" t="s">
        <v>39</v>
      </c>
      <c r="Q590" s="2">
        <v>45966</v>
      </c>
      <c r="V590" s="46">
        <f>IF(
  OR(
    ISNUMBER(SEARCH("unable to locate acct", tblDocketedComments[[#This Row],[Docketed Consumer Comments]])),
    ISNUMBER(SEARCH("unknown", tblDocketedComments[[#This Row],[Docketed Consumer Comments]])),
    ISNUMBER(SEARCH("inactive", tblDocketedComments[[#This Row],[Docketed Consumer Comments]]))
  ),
  0,
  1
)</f>
        <v>1</v>
      </c>
    </row>
    <row r="591" spans="1:22">
      <c r="A591" s="2">
        <v>45905</v>
      </c>
      <c r="B591" s="1" t="s">
        <v>1765</v>
      </c>
      <c r="C591" s="1" t="s">
        <v>42</v>
      </c>
      <c r="D591" s="1" t="s">
        <v>169</v>
      </c>
      <c r="E591" s="1">
        <v>85338</v>
      </c>
      <c r="F591" s="1" t="s">
        <v>31</v>
      </c>
      <c r="G591" s="1" t="s">
        <v>1723</v>
      </c>
      <c r="H591" s="4" t="s">
        <v>209</v>
      </c>
      <c r="V591" s="46">
        <f>IF(
  OR(
    ISNUMBER(SEARCH("unable to locate acct", tblDocketedComments[[#This Row],[Docketed Consumer Comments]])),
    ISNUMBER(SEARCH("unknown", tblDocketedComments[[#This Row],[Docketed Consumer Comments]])),
    ISNUMBER(SEARCH("inactive", tblDocketedComments[[#This Row],[Docketed Consumer Comments]]))
  ),
  0,
  1
)</f>
        <v>1</v>
      </c>
    </row>
    <row r="592" spans="1:22">
      <c r="A592" s="2">
        <v>45905</v>
      </c>
      <c r="B592" s="1" t="s">
        <v>1766</v>
      </c>
      <c r="C592" s="1" t="s">
        <v>550</v>
      </c>
      <c r="D592" s="1" t="s">
        <v>112</v>
      </c>
      <c r="E592" s="1">
        <v>85387</v>
      </c>
      <c r="F592" s="1" t="s">
        <v>310</v>
      </c>
      <c r="G592" s="1" t="s">
        <v>1723</v>
      </c>
      <c r="H592" s="4" t="s">
        <v>1767</v>
      </c>
      <c r="I592" s="5" t="s">
        <v>196</v>
      </c>
      <c r="J592" s="5" t="s">
        <v>37</v>
      </c>
      <c r="K592" s="5" t="s">
        <v>37</v>
      </c>
      <c r="L592" s="7" t="s">
        <v>1768</v>
      </c>
      <c r="M592" s="5" t="s">
        <v>37</v>
      </c>
      <c r="N592" s="5" t="s">
        <v>37</v>
      </c>
      <c r="O592" s="5" t="s">
        <v>38</v>
      </c>
      <c r="P592" s="2">
        <v>45936</v>
      </c>
      <c r="Q592" s="2">
        <v>45966</v>
      </c>
      <c r="R592" s="1" t="s">
        <v>1769</v>
      </c>
      <c r="V592" s="46">
        <f>IF(
  OR(
    ISNUMBER(SEARCH("unable to locate acct", tblDocketedComments[[#This Row],[Docketed Consumer Comments]])),
    ISNUMBER(SEARCH("unknown", tblDocketedComments[[#This Row],[Docketed Consumer Comments]])),
    ISNUMBER(SEARCH("inactive", tblDocketedComments[[#This Row],[Docketed Consumer Comments]]))
  ),
  0,
  1
)</f>
        <v>1</v>
      </c>
    </row>
    <row r="593" spans="1:22">
      <c r="A593" s="2">
        <v>45905</v>
      </c>
      <c r="B593" s="1" t="s">
        <v>1770</v>
      </c>
      <c r="C593" s="1" t="s">
        <v>922</v>
      </c>
      <c r="D593" s="1" t="s">
        <v>63</v>
      </c>
      <c r="E593" s="1">
        <v>85024</v>
      </c>
      <c r="F593" s="1" t="s">
        <v>310</v>
      </c>
      <c r="G593" s="1" t="s">
        <v>1723</v>
      </c>
      <c r="H593" s="4" t="s">
        <v>1771</v>
      </c>
      <c r="I593" s="5" t="s">
        <v>36</v>
      </c>
      <c r="J593" s="5" t="s">
        <v>37</v>
      </c>
      <c r="K593" s="5" t="s">
        <v>37</v>
      </c>
      <c r="L593" s="5" t="s">
        <v>38</v>
      </c>
      <c r="M593" s="5" t="s">
        <v>37</v>
      </c>
      <c r="N593" s="5" t="s">
        <v>37</v>
      </c>
      <c r="O593" s="5" t="s">
        <v>38</v>
      </c>
      <c r="P593" s="5" t="s">
        <v>39</v>
      </c>
      <c r="Q593" s="2">
        <v>45966</v>
      </c>
      <c r="V593" s="46">
        <f>IF(
  OR(
    ISNUMBER(SEARCH("unable to locate acct", tblDocketedComments[[#This Row],[Docketed Consumer Comments]])),
    ISNUMBER(SEARCH("unknown", tblDocketedComments[[#This Row],[Docketed Consumer Comments]])),
    ISNUMBER(SEARCH("inactive", tblDocketedComments[[#This Row],[Docketed Consumer Comments]]))
  ),
  0,
  1
)</f>
        <v>1</v>
      </c>
    </row>
    <row r="594" spans="1:22">
      <c r="A594" s="2">
        <v>45905</v>
      </c>
      <c r="B594" s="1" t="s">
        <v>1772</v>
      </c>
      <c r="C594" s="1" t="s">
        <v>597</v>
      </c>
      <c r="D594" s="1" t="s">
        <v>523</v>
      </c>
      <c r="E594" s="1">
        <v>85392</v>
      </c>
      <c r="F594" s="1" t="s">
        <v>31</v>
      </c>
      <c r="G594" s="1" t="s">
        <v>1723</v>
      </c>
      <c r="H594" s="19" t="s">
        <v>1773</v>
      </c>
      <c r="I594" s="5" t="s">
        <v>196</v>
      </c>
      <c r="J594" s="5" t="s">
        <v>37</v>
      </c>
      <c r="K594" s="5" t="s">
        <v>37</v>
      </c>
      <c r="L594" s="7" t="s">
        <v>1774</v>
      </c>
      <c r="M594" s="5" t="s">
        <v>37</v>
      </c>
      <c r="N594" s="5" t="s">
        <v>37</v>
      </c>
      <c r="O594" s="5" t="s">
        <v>38</v>
      </c>
      <c r="P594" s="2">
        <v>45936</v>
      </c>
      <c r="Q594" s="2">
        <v>45966</v>
      </c>
      <c r="R594" s="1" t="s">
        <v>1732</v>
      </c>
      <c r="V594" s="46">
        <f>IF(
  OR(
    ISNUMBER(SEARCH("unable to locate acct", tblDocketedComments[[#This Row],[Docketed Consumer Comments]])),
    ISNUMBER(SEARCH("unknown", tblDocketedComments[[#This Row],[Docketed Consumer Comments]])),
    ISNUMBER(SEARCH("inactive", tblDocketedComments[[#This Row],[Docketed Consumer Comments]]))
  ),
  0,
  1
)</f>
        <v>1</v>
      </c>
    </row>
    <row r="595" spans="1:22">
      <c r="A595" s="2">
        <v>45905</v>
      </c>
      <c r="B595" s="1" t="s">
        <v>1775</v>
      </c>
      <c r="C595" s="1" t="s">
        <v>911</v>
      </c>
      <c r="D595" s="1" t="s">
        <v>63</v>
      </c>
      <c r="E595" s="1">
        <v>85085</v>
      </c>
      <c r="F595" s="1" t="s">
        <v>310</v>
      </c>
      <c r="G595" s="1" t="s">
        <v>1723</v>
      </c>
      <c r="H595" s="4" t="s">
        <v>27</v>
      </c>
      <c r="V595" s="46">
        <f>IF(
  OR(
    ISNUMBER(SEARCH("unable to locate acct", tblDocketedComments[[#This Row],[Docketed Consumer Comments]])),
    ISNUMBER(SEARCH("unknown", tblDocketedComments[[#This Row],[Docketed Consumer Comments]])),
    ISNUMBER(SEARCH("inactive", tblDocketedComments[[#This Row],[Docketed Consumer Comments]]))
  ),
  0,
  1
)</f>
        <v>1</v>
      </c>
    </row>
    <row r="596" spans="1:22">
      <c r="A596" s="2">
        <v>45905</v>
      </c>
      <c r="B596" s="1" t="s">
        <v>1776</v>
      </c>
      <c r="C596" s="1" t="s">
        <v>821</v>
      </c>
      <c r="D596" s="1" t="s">
        <v>169</v>
      </c>
      <c r="E596" s="1">
        <v>85338</v>
      </c>
      <c r="F596" s="1" t="s">
        <v>1777</v>
      </c>
      <c r="G596" s="1" t="s">
        <v>1723</v>
      </c>
      <c r="H596" s="4" t="s">
        <v>1778</v>
      </c>
      <c r="I596" s="5" t="s">
        <v>36</v>
      </c>
      <c r="J596" s="5" t="s">
        <v>37</v>
      </c>
      <c r="K596" s="5" t="s">
        <v>37</v>
      </c>
      <c r="L596" s="5" t="s">
        <v>38</v>
      </c>
      <c r="M596" s="5" t="s">
        <v>37</v>
      </c>
      <c r="N596" s="5" t="s">
        <v>37</v>
      </c>
      <c r="O596" s="5" t="s">
        <v>38</v>
      </c>
      <c r="P596" s="5" t="s">
        <v>39</v>
      </c>
      <c r="Q596" s="2">
        <v>45966</v>
      </c>
      <c r="V596" s="46">
        <f>IF(
  OR(
    ISNUMBER(SEARCH("unable to locate acct", tblDocketedComments[[#This Row],[Docketed Consumer Comments]])),
    ISNUMBER(SEARCH("unknown", tblDocketedComments[[#This Row],[Docketed Consumer Comments]])),
    ISNUMBER(SEARCH("inactive", tblDocketedComments[[#This Row],[Docketed Consumer Comments]]))
  ),
  0,
  1
)</f>
        <v>1</v>
      </c>
    </row>
    <row r="597" spans="1:22">
      <c r="A597" s="2">
        <v>45905</v>
      </c>
      <c r="B597" s="1" t="s">
        <v>1779</v>
      </c>
      <c r="C597" s="1" t="s">
        <v>1780</v>
      </c>
      <c r="D597" s="1" t="s">
        <v>169</v>
      </c>
      <c r="E597" s="1">
        <v>85338</v>
      </c>
      <c r="F597" s="1" t="s">
        <v>1556</v>
      </c>
      <c r="G597" s="1" t="s">
        <v>1723</v>
      </c>
      <c r="H597" s="4" t="s">
        <v>1781</v>
      </c>
      <c r="I597" s="5" t="s">
        <v>418</v>
      </c>
      <c r="J597" s="5" t="s">
        <v>37</v>
      </c>
      <c r="K597" s="5" t="s">
        <v>37</v>
      </c>
      <c r="L597" s="5" t="s">
        <v>389</v>
      </c>
      <c r="M597" s="5" t="s">
        <v>37</v>
      </c>
      <c r="N597" s="5" t="s">
        <v>37</v>
      </c>
      <c r="O597" s="5" t="s">
        <v>38</v>
      </c>
      <c r="P597" s="5" t="s">
        <v>39</v>
      </c>
      <c r="Q597" s="2">
        <v>45966</v>
      </c>
      <c r="V597" s="46">
        <f>IF(
  OR(
    ISNUMBER(SEARCH("unable to locate acct", tblDocketedComments[[#This Row],[Docketed Consumer Comments]])),
    ISNUMBER(SEARCH("unknown", tblDocketedComments[[#This Row],[Docketed Consumer Comments]])),
    ISNUMBER(SEARCH("inactive", tblDocketedComments[[#This Row],[Docketed Consumer Comments]]))
  ),
  0,
  1
)</f>
        <v>1</v>
      </c>
    </row>
    <row r="598" spans="1:22">
      <c r="A598" s="2">
        <v>45905</v>
      </c>
      <c r="B598" s="1" t="s">
        <v>1782</v>
      </c>
      <c r="C598" s="1" t="s">
        <v>1574</v>
      </c>
      <c r="D598" s="1" t="s">
        <v>370</v>
      </c>
      <c r="E598" s="1">
        <v>85225</v>
      </c>
      <c r="F598" s="1" t="s">
        <v>310</v>
      </c>
      <c r="G598" s="1" t="s">
        <v>1723</v>
      </c>
      <c r="H598" s="22" t="s">
        <v>1783</v>
      </c>
      <c r="I598" s="5" t="s">
        <v>36</v>
      </c>
      <c r="J598" s="5" t="s">
        <v>38</v>
      </c>
      <c r="K598" s="5" t="s">
        <v>37</v>
      </c>
      <c r="L598" s="5" t="s">
        <v>1784</v>
      </c>
      <c r="M598" s="5" t="s">
        <v>37</v>
      </c>
      <c r="N598" s="5" t="s">
        <v>37</v>
      </c>
      <c r="O598" s="5" t="s">
        <v>38</v>
      </c>
      <c r="P598" s="5" t="s">
        <v>39</v>
      </c>
      <c r="Q598" s="2">
        <v>45966</v>
      </c>
      <c r="V598" s="46">
        <f>IF(
  OR(
    ISNUMBER(SEARCH("unable to locate acct", tblDocketedComments[[#This Row],[Docketed Consumer Comments]])),
    ISNUMBER(SEARCH("unknown", tblDocketedComments[[#This Row],[Docketed Consumer Comments]])),
    ISNUMBER(SEARCH("inactive", tblDocketedComments[[#This Row],[Docketed Consumer Comments]]))
  ),
  0,
  1
)</f>
        <v>1</v>
      </c>
    </row>
    <row r="599" spans="1:22">
      <c r="A599" s="2">
        <v>45905</v>
      </c>
      <c r="B599" s="1" t="s">
        <v>886</v>
      </c>
      <c r="C599" s="1" t="s">
        <v>1785</v>
      </c>
      <c r="D599" s="1" t="s">
        <v>63</v>
      </c>
      <c r="E599" s="1">
        <v>85029</v>
      </c>
      <c r="F599" s="1" t="s">
        <v>31</v>
      </c>
      <c r="G599" s="1" t="s">
        <v>1723</v>
      </c>
      <c r="H599" s="4" t="s">
        <v>27</v>
      </c>
      <c r="V599" s="46">
        <f>IF(
  OR(
    ISNUMBER(SEARCH("unable to locate acct", tblDocketedComments[[#This Row],[Docketed Consumer Comments]])),
    ISNUMBER(SEARCH("unknown", tblDocketedComments[[#This Row],[Docketed Consumer Comments]])),
    ISNUMBER(SEARCH("inactive", tblDocketedComments[[#This Row],[Docketed Consumer Comments]]))
  ),
  0,
  1
)</f>
        <v>1</v>
      </c>
    </row>
    <row r="600" spans="1:22">
      <c r="A600" s="2">
        <v>45905</v>
      </c>
      <c r="B600" s="1" t="s">
        <v>1703</v>
      </c>
      <c r="C600" s="1" t="s">
        <v>1444</v>
      </c>
      <c r="D600" s="1" t="s">
        <v>125</v>
      </c>
      <c r="E600" s="1">
        <v>85254</v>
      </c>
      <c r="F600" s="1" t="s">
        <v>310</v>
      </c>
      <c r="G600" s="1" t="s">
        <v>1723</v>
      </c>
      <c r="H600" s="19" t="s">
        <v>1786</v>
      </c>
      <c r="I600" s="5" t="s">
        <v>36</v>
      </c>
      <c r="J600" s="5" t="s">
        <v>37</v>
      </c>
      <c r="K600" s="5" t="s">
        <v>37</v>
      </c>
      <c r="L600" s="5" t="s">
        <v>38</v>
      </c>
      <c r="M600" s="5" t="s">
        <v>37</v>
      </c>
      <c r="N600" s="5" t="s">
        <v>37</v>
      </c>
      <c r="O600" s="5" t="s">
        <v>38</v>
      </c>
      <c r="P600" s="5" t="s">
        <v>39</v>
      </c>
      <c r="Q600" s="2">
        <v>45966</v>
      </c>
      <c r="V600" s="46">
        <f>IF(
  OR(
    ISNUMBER(SEARCH("unable to locate acct", tblDocketedComments[[#This Row],[Docketed Consumer Comments]])),
    ISNUMBER(SEARCH("unknown", tblDocketedComments[[#This Row],[Docketed Consumer Comments]])),
    ISNUMBER(SEARCH("inactive", tblDocketedComments[[#This Row],[Docketed Consumer Comments]]))
  ),
  0,
  1
)</f>
        <v>1</v>
      </c>
    </row>
    <row r="601" spans="1:22">
      <c r="A601" s="2">
        <v>45905</v>
      </c>
      <c r="B601" s="1" t="s">
        <v>1787</v>
      </c>
      <c r="C601" s="1" t="s">
        <v>491</v>
      </c>
      <c r="D601" s="1" t="s">
        <v>169</v>
      </c>
      <c r="E601" s="1">
        <v>85395</v>
      </c>
      <c r="F601" s="1" t="s">
        <v>31</v>
      </c>
      <c r="G601" s="1" t="s">
        <v>1723</v>
      </c>
      <c r="H601" s="4" t="s">
        <v>1788</v>
      </c>
      <c r="I601" s="5" t="s">
        <v>73</v>
      </c>
      <c r="J601" s="5" t="s">
        <v>37</v>
      </c>
      <c r="K601" s="5" t="s">
        <v>37</v>
      </c>
      <c r="L601" s="5" t="s">
        <v>38</v>
      </c>
      <c r="M601" s="5" t="s">
        <v>37</v>
      </c>
      <c r="N601" s="5" t="s">
        <v>37</v>
      </c>
      <c r="O601" s="5" t="s">
        <v>38</v>
      </c>
      <c r="P601" s="5" t="s">
        <v>39</v>
      </c>
      <c r="Q601" s="2">
        <v>45966</v>
      </c>
      <c r="V601" s="46">
        <f>IF(
  OR(
    ISNUMBER(SEARCH("unable to locate acct", tblDocketedComments[[#This Row],[Docketed Consumer Comments]])),
    ISNUMBER(SEARCH("unknown", tblDocketedComments[[#This Row],[Docketed Consumer Comments]])),
    ISNUMBER(SEARCH("inactive", tblDocketedComments[[#This Row],[Docketed Consumer Comments]]))
  ),
  0,
  1
)</f>
        <v>1</v>
      </c>
    </row>
    <row r="602" spans="1:22">
      <c r="A602" s="2">
        <v>45905</v>
      </c>
      <c r="B602" s="1" t="s">
        <v>1789</v>
      </c>
      <c r="C602" s="1" t="s">
        <v>962</v>
      </c>
      <c r="D602" s="1" t="s">
        <v>63</v>
      </c>
      <c r="E602" s="1">
        <v>85028</v>
      </c>
      <c r="F602" s="1" t="s">
        <v>1790</v>
      </c>
      <c r="G602" s="1" t="s">
        <v>1723</v>
      </c>
      <c r="H602" s="4" t="s">
        <v>1791</v>
      </c>
      <c r="I602" s="5" t="s">
        <v>36</v>
      </c>
      <c r="J602" s="5" t="s">
        <v>38</v>
      </c>
      <c r="K602" s="5" t="s">
        <v>37</v>
      </c>
      <c r="L602" s="5" t="s">
        <v>38</v>
      </c>
      <c r="M602" s="5" t="s">
        <v>38</v>
      </c>
      <c r="N602" s="15">
        <v>414.43</v>
      </c>
      <c r="O602" s="5" t="s">
        <v>38</v>
      </c>
      <c r="P602" s="7"/>
      <c r="Q602" s="2">
        <v>45966</v>
      </c>
      <c r="R602" s="1" t="s">
        <v>495</v>
      </c>
      <c r="V602" s="46">
        <f>IF(
  OR(
    ISNUMBER(SEARCH("unable to locate acct", tblDocketedComments[[#This Row],[Docketed Consumer Comments]])),
    ISNUMBER(SEARCH("unknown", tblDocketedComments[[#This Row],[Docketed Consumer Comments]])),
    ISNUMBER(SEARCH("inactive", tblDocketedComments[[#This Row],[Docketed Consumer Comments]]))
  ),
  0,
  1
)</f>
        <v>1</v>
      </c>
    </row>
    <row r="603" spans="1:22">
      <c r="A603" s="2">
        <v>45905</v>
      </c>
      <c r="B603" s="1" t="s">
        <v>1792</v>
      </c>
      <c r="C603" s="1" t="s">
        <v>1793</v>
      </c>
      <c r="D603" s="1" t="s">
        <v>169</v>
      </c>
      <c r="E603" s="1">
        <v>85395</v>
      </c>
      <c r="F603" s="1" t="s">
        <v>1794</v>
      </c>
      <c r="G603" s="1" t="s">
        <v>1723</v>
      </c>
      <c r="H603" s="4" t="s">
        <v>1795</v>
      </c>
      <c r="I603" s="5" t="s">
        <v>196</v>
      </c>
      <c r="J603" s="5" t="s">
        <v>37</v>
      </c>
      <c r="K603" s="5" t="s">
        <v>37</v>
      </c>
      <c r="L603" s="5" t="s">
        <v>38</v>
      </c>
      <c r="M603" s="5" t="s">
        <v>37</v>
      </c>
      <c r="N603" s="5" t="s">
        <v>37</v>
      </c>
      <c r="O603" s="5" t="s">
        <v>38</v>
      </c>
      <c r="P603" s="5" t="s">
        <v>39</v>
      </c>
      <c r="Q603" s="2">
        <v>45966</v>
      </c>
      <c r="V603" s="46">
        <f>IF(
  OR(
    ISNUMBER(SEARCH("unable to locate acct", tblDocketedComments[[#This Row],[Docketed Consumer Comments]])),
    ISNUMBER(SEARCH("unknown", tblDocketedComments[[#This Row],[Docketed Consumer Comments]])),
    ISNUMBER(SEARCH("inactive", tblDocketedComments[[#This Row],[Docketed Consumer Comments]]))
  ),
  0,
  1
)</f>
        <v>1</v>
      </c>
    </row>
    <row r="604" spans="1:22">
      <c r="A604" s="2">
        <v>45905</v>
      </c>
      <c r="B604" s="1" t="s">
        <v>1796</v>
      </c>
      <c r="C604" s="1" t="s">
        <v>1797</v>
      </c>
      <c r="D604" s="1" t="s">
        <v>63</v>
      </c>
      <c r="E604" s="1">
        <v>85032</v>
      </c>
      <c r="F604" s="1" t="s">
        <v>310</v>
      </c>
      <c r="G604" s="1" t="s">
        <v>1723</v>
      </c>
      <c r="H604" s="4" t="s">
        <v>1798</v>
      </c>
      <c r="I604" s="5" t="s">
        <v>36</v>
      </c>
      <c r="J604" s="5" t="s">
        <v>37</v>
      </c>
      <c r="K604" s="5" t="s">
        <v>37</v>
      </c>
      <c r="L604" s="5" t="s">
        <v>38</v>
      </c>
      <c r="M604" s="5" t="s">
        <v>37</v>
      </c>
      <c r="N604" s="5" t="s">
        <v>37</v>
      </c>
      <c r="O604" s="5" t="s">
        <v>38</v>
      </c>
      <c r="P604" s="5" t="s">
        <v>39</v>
      </c>
      <c r="Q604" s="2">
        <v>45966</v>
      </c>
      <c r="V604" s="46">
        <f>IF(
  OR(
    ISNUMBER(SEARCH("unable to locate acct", tblDocketedComments[[#This Row],[Docketed Consumer Comments]])),
    ISNUMBER(SEARCH("unknown", tblDocketedComments[[#This Row],[Docketed Consumer Comments]])),
    ISNUMBER(SEARCH("inactive", tblDocketedComments[[#This Row],[Docketed Consumer Comments]]))
  ),
  0,
  1
)</f>
        <v>1</v>
      </c>
    </row>
    <row r="605" spans="1:22">
      <c r="A605" s="2">
        <v>45905</v>
      </c>
      <c r="B605" s="1" t="s">
        <v>1799</v>
      </c>
      <c r="C605" s="1" t="s">
        <v>690</v>
      </c>
      <c r="D605" s="1" t="s">
        <v>169</v>
      </c>
      <c r="E605" s="1">
        <v>85395</v>
      </c>
      <c r="F605" s="1" t="s">
        <v>31</v>
      </c>
      <c r="G605" s="1" t="s">
        <v>1723</v>
      </c>
      <c r="H605" s="4" t="s">
        <v>1800</v>
      </c>
      <c r="I605" s="5" t="s">
        <v>36</v>
      </c>
      <c r="J605" s="5" t="s">
        <v>37</v>
      </c>
      <c r="K605" s="5" t="s">
        <v>37</v>
      </c>
      <c r="L605" s="5" t="s">
        <v>38</v>
      </c>
      <c r="M605" s="5" t="s">
        <v>37</v>
      </c>
      <c r="N605" s="5" t="s">
        <v>37</v>
      </c>
      <c r="O605" s="5" t="s">
        <v>38</v>
      </c>
      <c r="P605" s="5" t="s">
        <v>39</v>
      </c>
      <c r="Q605" s="2">
        <v>45966</v>
      </c>
      <c r="V605" s="46">
        <f>IF(
  OR(
    ISNUMBER(SEARCH("unable to locate acct", tblDocketedComments[[#This Row],[Docketed Consumer Comments]])),
    ISNUMBER(SEARCH("unknown", tblDocketedComments[[#This Row],[Docketed Consumer Comments]])),
    ISNUMBER(SEARCH("inactive", tblDocketedComments[[#This Row],[Docketed Consumer Comments]]))
  ),
  0,
  1
)</f>
        <v>1</v>
      </c>
    </row>
    <row r="606" spans="1:22">
      <c r="A606" s="2">
        <v>45905</v>
      </c>
      <c r="B606" s="1" t="s">
        <v>686</v>
      </c>
      <c r="C606" s="1" t="s">
        <v>246</v>
      </c>
      <c r="D606" s="1" t="s">
        <v>169</v>
      </c>
      <c r="E606" s="1">
        <v>85395</v>
      </c>
      <c r="F606" s="1" t="s">
        <v>31</v>
      </c>
      <c r="G606" s="1" t="s">
        <v>1723</v>
      </c>
      <c r="H606" s="4" t="s">
        <v>209</v>
      </c>
      <c r="V606" s="46">
        <f>IF(
  OR(
    ISNUMBER(SEARCH("unable to locate acct", tblDocketedComments[[#This Row],[Docketed Consumer Comments]])),
    ISNUMBER(SEARCH("unknown", tblDocketedComments[[#This Row],[Docketed Consumer Comments]])),
    ISNUMBER(SEARCH("inactive", tblDocketedComments[[#This Row],[Docketed Consumer Comments]]))
  ),
  0,
  1
)</f>
        <v>1</v>
      </c>
    </row>
    <row r="607" spans="1:22">
      <c r="A607" s="2">
        <v>45905</v>
      </c>
      <c r="B607" s="1" t="s">
        <v>1801</v>
      </c>
      <c r="C607" s="1" t="s">
        <v>1802</v>
      </c>
      <c r="D607" s="1" t="s">
        <v>63</v>
      </c>
      <c r="E607" s="1">
        <v>85024</v>
      </c>
      <c r="F607" s="1" t="s">
        <v>310</v>
      </c>
      <c r="G607" s="1" t="s">
        <v>1723</v>
      </c>
      <c r="H607" s="4" t="s">
        <v>27</v>
      </c>
      <c r="V607" s="46">
        <f>IF(
  OR(
    ISNUMBER(SEARCH("unable to locate acct", tblDocketedComments[[#This Row],[Docketed Consumer Comments]])),
    ISNUMBER(SEARCH("unknown", tblDocketedComments[[#This Row],[Docketed Consumer Comments]])),
    ISNUMBER(SEARCH("inactive", tblDocketedComments[[#This Row],[Docketed Consumer Comments]]))
  ),
  0,
  1
)</f>
        <v>1</v>
      </c>
    </row>
    <row r="608" spans="1:22">
      <c r="A608" s="2">
        <v>45905</v>
      </c>
      <c r="B608" s="1" t="s">
        <v>1803</v>
      </c>
      <c r="C608" s="1" t="s">
        <v>1804</v>
      </c>
      <c r="D608" s="1" t="s">
        <v>125</v>
      </c>
      <c r="E608" s="1">
        <v>85254</v>
      </c>
      <c r="F608" s="1" t="s">
        <v>31</v>
      </c>
      <c r="G608" s="1" t="s">
        <v>1723</v>
      </c>
      <c r="H608" s="4" t="s">
        <v>1805</v>
      </c>
      <c r="I608" s="5" t="s">
        <v>36</v>
      </c>
      <c r="J608" s="5" t="s">
        <v>37</v>
      </c>
      <c r="K608" s="5" t="s">
        <v>37</v>
      </c>
      <c r="L608" s="5" t="s">
        <v>38</v>
      </c>
      <c r="M608" s="5" t="s">
        <v>37</v>
      </c>
      <c r="N608" s="5" t="s">
        <v>37</v>
      </c>
      <c r="O608" s="5" t="s">
        <v>38</v>
      </c>
      <c r="P608" s="5" t="s">
        <v>39</v>
      </c>
      <c r="Q608" s="2">
        <v>45966</v>
      </c>
      <c r="V608" s="46">
        <f>IF(
  OR(
    ISNUMBER(SEARCH("unable to locate acct", tblDocketedComments[[#This Row],[Docketed Consumer Comments]])),
    ISNUMBER(SEARCH("unknown", tblDocketedComments[[#This Row],[Docketed Consumer Comments]])),
    ISNUMBER(SEARCH("inactive", tblDocketedComments[[#This Row],[Docketed Consumer Comments]]))
  ),
  0,
  1
)</f>
        <v>1</v>
      </c>
    </row>
    <row r="609" spans="1:22">
      <c r="A609" s="2">
        <v>45905</v>
      </c>
      <c r="B609" s="1" t="s">
        <v>604</v>
      </c>
      <c r="C609" s="1" t="s">
        <v>1806</v>
      </c>
      <c r="D609" s="1" t="s">
        <v>169</v>
      </c>
      <c r="E609" s="1">
        <v>85395</v>
      </c>
      <c r="F609" s="1" t="s">
        <v>31</v>
      </c>
      <c r="G609" s="1" t="s">
        <v>1723</v>
      </c>
      <c r="H609" s="4" t="s">
        <v>1807</v>
      </c>
      <c r="I609" s="5" t="s">
        <v>81</v>
      </c>
      <c r="J609" s="5" t="s">
        <v>37</v>
      </c>
      <c r="K609" s="5" t="s">
        <v>37</v>
      </c>
      <c r="L609" s="5" t="s">
        <v>389</v>
      </c>
      <c r="M609" s="5" t="s">
        <v>37</v>
      </c>
      <c r="N609" s="5" t="s">
        <v>37</v>
      </c>
      <c r="O609" s="5" t="s">
        <v>38</v>
      </c>
      <c r="P609" s="5" t="s">
        <v>39</v>
      </c>
      <c r="Q609" s="2">
        <v>45966</v>
      </c>
      <c r="V609" s="46">
        <f>IF(
  OR(
    ISNUMBER(SEARCH("unable to locate acct", tblDocketedComments[[#This Row],[Docketed Consumer Comments]])),
    ISNUMBER(SEARCH("unknown", tblDocketedComments[[#This Row],[Docketed Consumer Comments]])),
    ISNUMBER(SEARCH("inactive", tblDocketedComments[[#This Row],[Docketed Consumer Comments]]))
  ),
  0,
  1
)</f>
        <v>1</v>
      </c>
    </row>
    <row r="610" spans="1:22">
      <c r="A610" s="2">
        <v>45905</v>
      </c>
      <c r="B610" s="1" t="s">
        <v>1808</v>
      </c>
      <c r="C610" s="1" t="s">
        <v>1809</v>
      </c>
      <c r="D610" s="1" t="s">
        <v>125</v>
      </c>
      <c r="E610" s="1">
        <v>85255</v>
      </c>
      <c r="F610" s="1" t="s">
        <v>31</v>
      </c>
      <c r="G610" s="1" t="s">
        <v>1723</v>
      </c>
      <c r="H610" s="4" t="s">
        <v>1810</v>
      </c>
      <c r="I610" s="5" t="s">
        <v>36</v>
      </c>
      <c r="J610" s="5" t="s">
        <v>37</v>
      </c>
      <c r="K610" s="5" t="s">
        <v>37</v>
      </c>
      <c r="L610" s="5" t="s">
        <v>38</v>
      </c>
      <c r="M610" s="5" t="s">
        <v>37</v>
      </c>
      <c r="N610" s="5" t="s">
        <v>37</v>
      </c>
      <c r="O610" s="5" t="s">
        <v>38</v>
      </c>
      <c r="P610" s="5" t="s">
        <v>39</v>
      </c>
      <c r="Q610" s="2">
        <v>45966</v>
      </c>
      <c r="V610" s="46">
        <f>IF(
  OR(
    ISNUMBER(SEARCH("unable to locate acct", tblDocketedComments[[#This Row],[Docketed Consumer Comments]])),
    ISNUMBER(SEARCH("unknown", tblDocketedComments[[#This Row],[Docketed Consumer Comments]])),
    ISNUMBER(SEARCH("inactive", tblDocketedComments[[#This Row],[Docketed Consumer Comments]]))
  ),
  0,
  1
)</f>
        <v>1</v>
      </c>
    </row>
    <row r="611" spans="1:22">
      <c r="A611" s="2">
        <v>45905</v>
      </c>
      <c r="B611" s="1" t="s">
        <v>1811</v>
      </c>
      <c r="C611" s="1" t="s">
        <v>733</v>
      </c>
      <c r="D611" s="1" t="s">
        <v>63</v>
      </c>
      <c r="E611" s="1">
        <v>85054</v>
      </c>
      <c r="F611" s="1" t="s">
        <v>310</v>
      </c>
      <c r="G611" s="1" t="s">
        <v>1723</v>
      </c>
      <c r="H611" s="4" t="s">
        <v>27</v>
      </c>
      <c r="V611" s="46">
        <f>IF(
  OR(
    ISNUMBER(SEARCH("unable to locate acct", tblDocketedComments[[#This Row],[Docketed Consumer Comments]])),
    ISNUMBER(SEARCH("unknown", tblDocketedComments[[#This Row],[Docketed Consumer Comments]])),
    ISNUMBER(SEARCH("inactive", tblDocketedComments[[#This Row],[Docketed Consumer Comments]]))
  ),
  0,
  1
)</f>
        <v>1</v>
      </c>
    </row>
    <row r="612" spans="1:22">
      <c r="A612" s="2">
        <v>45905</v>
      </c>
      <c r="B612" s="1" t="s">
        <v>1812</v>
      </c>
      <c r="C612" s="1" t="s">
        <v>1813</v>
      </c>
      <c r="D612" s="1" t="s">
        <v>63</v>
      </c>
      <c r="E612" s="1">
        <v>85018</v>
      </c>
      <c r="F612" s="1" t="s">
        <v>310</v>
      </c>
      <c r="G612" s="1" t="s">
        <v>1723</v>
      </c>
      <c r="H612" s="4" t="s">
        <v>1814</v>
      </c>
      <c r="I612" s="5" t="s">
        <v>36</v>
      </c>
      <c r="J612" s="5" t="s">
        <v>37</v>
      </c>
      <c r="K612" s="5" t="s">
        <v>37</v>
      </c>
      <c r="L612" s="5" t="s">
        <v>38</v>
      </c>
      <c r="M612" s="5" t="s">
        <v>37</v>
      </c>
      <c r="N612" s="5" t="s">
        <v>37</v>
      </c>
      <c r="O612" s="5" t="s">
        <v>38</v>
      </c>
      <c r="P612" s="5" t="s">
        <v>39</v>
      </c>
      <c r="Q612" s="2">
        <v>45966</v>
      </c>
      <c r="V612" s="46">
        <f>IF(
  OR(
    ISNUMBER(SEARCH("unable to locate acct", tblDocketedComments[[#This Row],[Docketed Consumer Comments]])),
    ISNUMBER(SEARCH("unknown", tblDocketedComments[[#This Row],[Docketed Consumer Comments]])),
    ISNUMBER(SEARCH("inactive", tblDocketedComments[[#This Row],[Docketed Consumer Comments]]))
  ),
  0,
  1
)</f>
        <v>1</v>
      </c>
    </row>
    <row r="613" spans="1:22">
      <c r="A613" s="2">
        <v>45905</v>
      </c>
      <c r="B613" s="1" t="s">
        <v>358</v>
      </c>
      <c r="C613" s="1" t="s">
        <v>1815</v>
      </c>
      <c r="D613" s="1" t="s">
        <v>63</v>
      </c>
      <c r="E613" s="1">
        <v>85007</v>
      </c>
      <c r="F613" s="1" t="s">
        <v>310</v>
      </c>
      <c r="G613" s="1" t="s">
        <v>1723</v>
      </c>
      <c r="H613" s="4" t="s">
        <v>1816</v>
      </c>
      <c r="I613" s="5" t="s">
        <v>196</v>
      </c>
      <c r="J613" s="5" t="s">
        <v>37</v>
      </c>
      <c r="K613" s="5" t="s">
        <v>37</v>
      </c>
      <c r="L613" s="5" t="s">
        <v>1817</v>
      </c>
      <c r="M613" s="5" t="s">
        <v>37</v>
      </c>
      <c r="N613" s="5" t="s">
        <v>37</v>
      </c>
      <c r="O613" s="5" t="s">
        <v>38</v>
      </c>
      <c r="P613" s="5" t="s">
        <v>39</v>
      </c>
      <c r="Q613" s="2">
        <v>45966</v>
      </c>
      <c r="V613" s="46">
        <f>IF(
  OR(
    ISNUMBER(SEARCH("unable to locate acct", tblDocketedComments[[#This Row],[Docketed Consumer Comments]])),
    ISNUMBER(SEARCH("unknown", tblDocketedComments[[#This Row],[Docketed Consumer Comments]])),
    ISNUMBER(SEARCH("inactive", tblDocketedComments[[#This Row],[Docketed Consumer Comments]]))
  ),
  0,
  1
)</f>
        <v>1</v>
      </c>
    </row>
    <row r="614" spans="1:22">
      <c r="A614" s="2">
        <v>45905</v>
      </c>
      <c r="B614" s="1" t="s">
        <v>1818</v>
      </c>
      <c r="C614" s="1" t="s">
        <v>1819</v>
      </c>
      <c r="D614" s="1" t="s">
        <v>619</v>
      </c>
      <c r="E614" s="1">
        <v>85365</v>
      </c>
      <c r="F614" s="1" t="s">
        <v>310</v>
      </c>
      <c r="G614" s="1" t="s">
        <v>1723</v>
      </c>
      <c r="H614" s="4" t="s">
        <v>1820</v>
      </c>
      <c r="I614" s="5" t="s">
        <v>126</v>
      </c>
      <c r="J614" s="5" t="s">
        <v>37</v>
      </c>
      <c r="K614" s="5" t="s">
        <v>37</v>
      </c>
      <c r="L614" s="5" t="s">
        <v>38</v>
      </c>
      <c r="M614" s="5" t="s">
        <v>37</v>
      </c>
      <c r="N614" s="5" t="s">
        <v>37</v>
      </c>
      <c r="O614" s="5" t="s">
        <v>38</v>
      </c>
      <c r="P614" s="5" t="s">
        <v>39</v>
      </c>
      <c r="Q614" s="2">
        <v>45966</v>
      </c>
      <c r="V614" s="46">
        <f>IF(
  OR(
    ISNUMBER(SEARCH("unable to locate acct", tblDocketedComments[[#This Row],[Docketed Consumer Comments]])),
    ISNUMBER(SEARCH("unknown", tblDocketedComments[[#This Row],[Docketed Consumer Comments]])),
    ISNUMBER(SEARCH("inactive", tblDocketedComments[[#This Row],[Docketed Consumer Comments]]))
  ),
  0,
  1
)</f>
        <v>1</v>
      </c>
    </row>
    <row r="615" spans="1:22">
      <c r="A615" s="2">
        <v>45905</v>
      </c>
      <c r="B615" s="1" t="s">
        <v>208</v>
      </c>
      <c r="C615" s="1" t="s">
        <v>1099</v>
      </c>
      <c r="D615" s="1" t="s">
        <v>264</v>
      </c>
      <c r="E615" s="1">
        <v>85541</v>
      </c>
      <c r="F615" s="1" t="s">
        <v>31</v>
      </c>
      <c r="G615" s="1" t="s">
        <v>1723</v>
      </c>
      <c r="H615" s="4" t="s">
        <v>1821</v>
      </c>
      <c r="I615" s="5" t="s">
        <v>196</v>
      </c>
      <c r="J615" s="5" t="s">
        <v>37</v>
      </c>
      <c r="K615" s="5" t="s">
        <v>37</v>
      </c>
      <c r="L615" s="5" t="s">
        <v>1822</v>
      </c>
      <c r="M615" s="5" t="s">
        <v>37</v>
      </c>
      <c r="N615" s="5" t="s">
        <v>37</v>
      </c>
      <c r="O615" s="5" t="s">
        <v>38</v>
      </c>
      <c r="P615" s="5" t="s">
        <v>39</v>
      </c>
      <c r="Q615" s="2">
        <v>45966</v>
      </c>
      <c r="V615" s="46">
        <f>IF(
  OR(
    ISNUMBER(SEARCH("unable to locate acct", tblDocketedComments[[#This Row],[Docketed Consumer Comments]])),
    ISNUMBER(SEARCH("unknown", tblDocketedComments[[#This Row],[Docketed Consumer Comments]])),
    ISNUMBER(SEARCH("inactive", tblDocketedComments[[#This Row],[Docketed Consumer Comments]]))
  ),
  0,
  1
)</f>
        <v>1</v>
      </c>
    </row>
    <row r="616" spans="1:22">
      <c r="A616" s="2">
        <v>45905</v>
      </c>
      <c r="B616" s="1" t="s">
        <v>1823</v>
      </c>
      <c r="C616" s="1" t="s">
        <v>1824</v>
      </c>
      <c r="D616" s="1" t="s">
        <v>63</v>
      </c>
      <c r="E616" s="1">
        <v>85028</v>
      </c>
      <c r="F616" s="1" t="s">
        <v>310</v>
      </c>
      <c r="G616" s="1" t="s">
        <v>1723</v>
      </c>
      <c r="H616" s="4" t="s">
        <v>1825</v>
      </c>
      <c r="I616" s="5" t="s">
        <v>541</v>
      </c>
      <c r="J616" s="5" t="s">
        <v>37</v>
      </c>
      <c r="K616" s="5" t="s">
        <v>37</v>
      </c>
      <c r="L616" s="5" t="s">
        <v>389</v>
      </c>
      <c r="M616" s="5" t="s">
        <v>37</v>
      </c>
      <c r="N616" s="5" t="s">
        <v>37</v>
      </c>
      <c r="O616" s="5" t="s">
        <v>38</v>
      </c>
      <c r="P616" s="5" t="s">
        <v>39</v>
      </c>
      <c r="Q616" s="2">
        <v>45966</v>
      </c>
      <c r="V616" s="46">
        <f>IF(
  OR(
    ISNUMBER(SEARCH("unable to locate acct", tblDocketedComments[[#This Row],[Docketed Consumer Comments]])),
    ISNUMBER(SEARCH("unknown", tblDocketedComments[[#This Row],[Docketed Consumer Comments]])),
    ISNUMBER(SEARCH("inactive", tblDocketedComments[[#This Row],[Docketed Consumer Comments]]))
  ),
  0,
  1
)</f>
        <v>1</v>
      </c>
    </row>
    <row r="617" spans="1:22">
      <c r="A617" s="2">
        <v>45905</v>
      </c>
      <c r="B617" s="1" t="s">
        <v>1826</v>
      </c>
      <c r="C617" s="1" t="s">
        <v>920</v>
      </c>
      <c r="D617" s="1" t="s">
        <v>63</v>
      </c>
      <c r="E617" s="1">
        <v>85083</v>
      </c>
      <c r="F617" s="1" t="s">
        <v>310</v>
      </c>
      <c r="G617" s="1" t="s">
        <v>1723</v>
      </c>
      <c r="H617" s="4" t="s">
        <v>1827</v>
      </c>
      <c r="I617" s="5" t="s">
        <v>57</v>
      </c>
      <c r="J617" s="5" t="s">
        <v>37</v>
      </c>
      <c r="K617" s="5" t="s">
        <v>37</v>
      </c>
      <c r="L617" s="5" t="s">
        <v>38</v>
      </c>
      <c r="M617" s="5" t="s">
        <v>37</v>
      </c>
      <c r="N617" s="5" t="s">
        <v>37</v>
      </c>
      <c r="O617" s="5" t="s">
        <v>38</v>
      </c>
      <c r="P617" s="5" t="s">
        <v>39</v>
      </c>
      <c r="Q617" s="2">
        <v>45966</v>
      </c>
      <c r="V617" s="46">
        <f>IF(
  OR(
    ISNUMBER(SEARCH("unable to locate acct", tblDocketedComments[[#This Row],[Docketed Consumer Comments]])),
    ISNUMBER(SEARCH("unknown", tblDocketedComments[[#This Row],[Docketed Consumer Comments]])),
    ISNUMBER(SEARCH("inactive", tblDocketedComments[[#This Row],[Docketed Consumer Comments]]))
  ),
  0,
  1
)</f>
        <v>1</v>
      </c>
    </row>
    <row r="618" spans="1:22">
      <c r="A618" s="2">
        <v>45905</v>
      </c>
      <c r="B618" s="1" t="s">
        <v>1828</v>
      </c>
      <c r="C618" s="1" t="s">
        <v>1829</v>
      </c>
      <c r="D618" s="1" t="s">
        <v>63</v>
      </c>
      <c r="E618" s="1">
        <v>85032</v>
      </c>
      <c r="F618" s="1" t="s">
        <v>31</v>
      </c>
      <c r="G618" s="1" t="s">
        <v>1723</v>
      </c>
      <c r="H618" s="19" t="s">
        <v>1830</v>
      </c>
      <c r="I618" s="5" t="s">
        <v>126</v>
      </c>
      <c r="J618" s="5" t="s">
        <v>37</v>
      </c>
      <c r="K618" s="5" t="s">
        <v>37</v>
      </c>
      <c r="L618" s="5" t="s">
        <v>38</v>
      </c>
      <c r="M618" s="5" t="s">
        <v>37</v>
      </c>
      <c r="N618" s="5" t="s">
        <v>37</v>
      </c>
      <c r="O618" s="5" t="s">
        <v>38</v>
      </c>
      <c r="P618" s="5" t="s">
        <v>39</v>
      </c>
      <c r="Q618" s="2">
        <v>45966</v>
      </c>
      <c r="V618" s="46">
        <f>IF(
  OR(
    ISNUMBER(SEARCH("unable to locate acct", tblDocketedComments[[#This Row],[Docketed Consumer Comments]])),
    ISNUMBER(SEARCH("unknown", tblDocketedComments[[#This Row],[Docketed Consumer Comments]])),
    ISNUMBER(SEARCH("inactive", tblDocketedComments[[#This Row],[Docketed Consumer Comments]]))
  ),
  0,
  1
)</f>
        <v>1</v>
      </c>
    </row>
    <row r="619" spans="1:22">
      <c r="A619" s="2">
        <v>45905</v>
      </c>
      <c r="B619" s="1" t="s">
        <v>1831</v>
      </c>
      <c r="C619" s="1" t="s">
        <v>1832</v>
      </c>
      <c r="D619" s="1" t="s">
        <v>169</v>
      </c>
      <c r="E619" s="1">
        <v>85395</v>
      </c>
      <c r="F619" s="1" t="s">
        <v>31</v>
      </c>
      <c r="G619" s="1" t="s">
        <v>1723</v>
      </c>
      <c r="H619" s="19" t="s">
        <v>1833</v>
      </c>
      <c r="I619" s="5" t="s">
        <v>418</v>
      </c>
      <c r="J619" s="5" t="s">
        <v>37</v>
      </c>
      <c r="K619" s="5" t="s">
        <v>37</v>
      </c>
      <c r="L619" s="5" t="s">
        <v>389</v>
      </c>
      <c r="M619" s="5" t="s">
        <v>37</v>
      </c>
      <c r="N619" s="5" t="s">
        <v>37</v>
      </c>
      <c r="O619" s="5" t="s">
        <v>38</v>
      </c>
      <c r="P619" s="5" t="s">
        <v>39</v>
      </c>
      <c r="Q619" s="2">
        <v>45966</v>
      </c>
      <c r="V619" s="46">
        <f>IF(
  OR(
    ISNUMBER(SEARCH("unable to locate acct", tblDocketedComments[[#This Row],[Docketed Consumer Comments]])),
    ISNUMBER(SEARCH("unknown", tblDocketedComments[[#This Row],[Docketed Consumer Comments]])),
    ISNUMBER(SEARCH("inactive", tblDocketedComments[[#This Row],[Docketed Consumer Comments]]))
  ),
  0,
  1
)</f>
        <v>1</v>
      </c>
    </row>
    <row r="620" spans="1:22">
      <c r="A620" s="2">
        <v>45905</v>
      </c>
      <c r="B620" s="1" t="s">
        <v>1834</v>
      </c>
      <c r="C620" s="1" t="s">
        <v>780</v>
      </c>
      <c r="D620" s="1" t="s">
        <v>370</v>
      </c>
      <c r="E620" s="1">
        <v>85225</v>
      </c>
      <c r="F620" s="1" t="s">
        <v>310</v>
      </c>
      <c r="G620" s="1" t="s">
        <v>1723</v>
      </c>
      <c r="H620" s="4" t="s">
        <v>1835</v>
      </c>
      <c r="I620" s="5" t="s">
        <v>73</v>
      </c>
      <c r="J620" s="5" t="s">
        <v>37</v>
      </c>
      <c r="K620" s="5" t="s">
        <v>37</v>
      </c>
      <c r="L620" s="5" t="s">
        <v>38</v>
      </c>
      <c r="M620" s="5" t="s">
        <v>37</v>
      </c>
      <c r="N620" s="5" t="s">
        <v>37</v>
      </c>
      <c r="O620" s="5" t="s">
        <v>38</v>
      </c>
      <c r="P620" s="5" t="s">
        <v>39</v>
      </c>
      <c r="Q620" s="2">
        <v>45966</v>
      </c>
      <c r="V620" s="46">
        <f>IF(
  OR(
    ISNUMBER(SEARCH("unable to locate acct", tblDocketedComments[[#This Row],[Docketed Consumer Comments]])),
    ISNUMBER(SEARCH("unknown", tblDocketedComments[[#This Row],[Docketed Consumer Comments]])),
    ISNUMBER(SEARCH("inactive", tblDocketedComments[[#This Row],[Docketed Consumer Comments]]))
  ),
  0,
  1
)</f>
        <v>1</v>
      </c>
    </row>
    <row r="621" spans="1:22">
      <c r="A621" s="2">
        <v>45905</v>
      </c>
      <c r="B621" s="1" t="s">
        <v>1836</v>
      </c>
      <c r="C621" s="1" t="s">
        <v>75</v>
      </c>
      <c r="D621" s="1" t="s">
        <v>539</v>
      </c>
      <c r="E621" s="1">
        <v>85194</v>
      </c>
      <c r="F621" s="1" t="s">
        <v>25</v>
      </c>
      <c r="G621" s="1" t="s">
        <v>1723</v>
      </c>
      <c r="H621" s="4" t="s">
        <v>1837</v>
      </c>
      <c r="I621" s="5" t="s">
        <v>36</v>
      </c>
      <c r="J621" s="5" t="s">
        <v>37</v>
      </c>
      <c r="K621" s="5" t="s">
        <v>37</v>
      </c>
      <c r="L621" s="5" t="s">
        <v>38</v>
      </c>
      <c r="M621" s="5" t="s">
        <v>37</v>
      </c>
      <c r="N621" s="5" t="s">
        <v>37</v>
      </c>
      <c r="O621" s="5" t="s">
        <v>38</v>
      </c>
      <c r="P621" s="5" t="s">
        <v>39</v>
      </c>
      <c r="Q621" s="2">
        <v>45966</v>
      </c>
      <c r="V621" s="46">
        <f>IF(
  OR(
    ISNUMBER(SEARCH("unable to locate acct", tblDocketedComments[[#This Row],[Docketed Consumer Comments]])),
    ISNUMBER(SEARCH("unknown", tblDocketedComments[[#This Row],[Docketed Consumer Comments]])),
    ISNUMBER(SEARCH("inactive", tblDocketedComments[[#This Row],[Docketed Consumer Comments]]))
  ),
  0,
  1
)</f>
        <v>1</v>
      </c>
    </row>
    <row r="622" spans="1:22">
      <c r="A622" s="2">
        <v>45905</v>
      </c>
      <c r="B622" s="1" t="s">
        <v>1838</v>
      </c>
      <c r="C622" s="1" t="s">
        <v>346</v>
      </c>
      <c r="D622" s="1" t="s">
        <v>63</v>
      </c>
      <c r="E622" s="1">
        <v>85087</v>
      </c>
      <c r="F622" s="1" t="s">
        <v>310</v>
      </c>
      <c r="G622" s="1" t="s">
        <v>1723</v>
      </c>
      <c r="H622" s="4" t="s">
        <v>27</v>
      </c>
      <c r="V622" s="46">
        <f>IF(
  OR(
    ISNUMBER(SEARCH("unable to locate acct", tblDocketedComments[[#This Row],[Docketed Consumer Comments]])),
    ISNUMBER(SEARCH("unknown", tblDocketedComments[[#This Row],[Docketed Consumer Comments]])),
    ISNUMBER(SEARCH("inactive", tblDocketedComments[[#This Row],[Docketed Consumer Comments]]))
  ),
  0,
  1
)</f>
        <v>1</v>
      </c>
    </row>
    <row r="623" spans="1:22">
      <c r="A623" s="2">
        <v>45905</v>
      </c>
      <c r="B623" s="1" t="s">
        <v>1839</v>
      </c>
      <c r="C623" s="1" t="s">
        <v>1840</v>
      </c>
      <c r="D623" s="1" t="s">
        <v>63</v>
      </c>
      <c r="E623" s="1">
        <v>85024</v>
      </c>
      <c r="F623" s="1" t="s">
        <v>1841</v>
      </c>
      <c r="G623" s="1" t="s">
        <v>1723</v>
      </c>
      <c r="H623" s="4" t="s">
        <v>1842</v>
      </c>
      <c r="I623" s="5" t="s">
        <v>36</v>
      </c>
      <c r="J623" s="5" t="s">
        <v>37</v>
      </c>
      <c r="K623" s="5" t="s">
        <v>37</v>
      </c>
      <c r="L623" s="5" t="s">
        <v>38</v>
      </c>
      <c r="M623" s="5" t="s">
        <v>37</v>
      </c>
      <c r="N623" s="5" t="s">
        <v>37</v>
      </c>
      <c r="O623" s="5" t="s">
        <v>38</v>
      </c>
      <c r="P623" s="5" t="s">
        <v>39</v>
      </c>
      <c r="Q623" s="2">
        <v>45966</v>
      </c>
      <c r="V623" s="46">
        <f>IF(
  OR(
    ISNUMBER(SEARCH("unable to locate acct", tblDocketedComments[[#This Row],[Docketed Consumer Comments]])),
    ISNUMBER(SEARCH("unknown", tblDocketedComments[[#This Row],[Docketed Consumer Comments]])),
    ISNUMBER(SEARCH("inactive", tblDocketedComments[[#This Row],[Docketed Consumer Comments]]))
  ),
  0,
  1
)</f>
        <v>1</v>
      </c>
    </row>
    <row r="624" spans="1:22">
      <c r="A624" s="2">
        <v>45905</v>
      </c>
      <c r="B624" s="1" t="s">
        <v>1843</v>
      </c>
      <c r="C624" s="1" t="s">
        <v>1844</v>
      </c>
      <c r="D624" s="1" t="s">
        <v>63</v>
      </c>
      <c r="E624" s="1">
        <v>85028</v>
      </c>
      <c r="F624" s="1" t="s">
        <v>1845</v>
      </c>
      <c r="G624" s="1" t="s">
        <v>1723</v>
      </c>
      <c r="H624" s="4" t="s">
        <v>90</v>
      </c>
      <c r="V624" s="46">
        <f>IF(
  OR(
    ISNUMBER(SEARCH("unable to locate acct", tblDocketedComments[[#This Row],[Docketed Consumer Comments]])),
    ISNUMBER(SEARCH("unknown", tblDocketedComments[[#This Row],[Docketed Consumer Comments]])),
    ISNUMBER(SEARCH("inactive", tblDocketedComments[[#This Row],[Docketed Consumer Comments]]))
  ),
  0,
  1
)</f>
        <v>1</v>
      </c>
    </row>
    <row r="625" spans="1:22">
      <c r="A625" s="2">
        <v>45905</v>
      </c>
      <c r="B625" s="1" t="s">
        <v>1846</v>
      </c>
      <c r="C625" s="1" t="s">
        <v>1847</v>
      </c>
      <c r="D625" s="1" t="s">
        <v>63</v>
      </c>
      <c r="E625" s="1">
        <v>85022</v>
      </c>
      <c r="F625" s="1" t="s">
        <v>310</v>
      </c>
      <c r="G625" s="1" t="s">
        <v>1723</v>
      </c>
      <c r="H625" s="4" t="s">
        <v>1848</v>
      </c>
      <c r="I625" s="5" t="s">
        <v>36</v>
      </c>
      <c r="J625" s="5" t="s">
        <v>37</v>
      </c>
      <c r="K625" s="5" t="s">
        <v>37</v>
      </c>
      <c r="L625" s="5" t="s">
        <v>38</v>
      </c>
      <c r="M625" s="5" t="s">
        <v>37</v>
      </c>
      <c r="N625" s="5" t="s">
        <v>37</v>
      </c>
      <c r="O625" s="5" t="s">
        <v>38</v>
      </c>
      <c r="P625" s="5" t="s">
        <v>39</v>
      </c>
      <c r="Q625" s="2">
        <v>45966</v>
      </c>
      <c r="V625" s="46">
        <f>IF(
  OR(
    ISNUMBER(SEARCH("unable to locate acct", tblDocketedComments[[#This Row],[Docketed Consumer Comments]])),
    ISNUMBER(SEARCH("unknown", tblDocketedComments[[#This Row],[Docketed Consumer Comments]])),
    ISNUMBER(SEARCH("inactive", tblDocketedComments[[#This Row],[Docketed Consumer Comments]]))
  ),
  0,
  1
)</f>
        <v>1</v>
      </c>
    </row>
    <row r="626" spans="1:22">
      <c r="A626" s="2">
        <v>45905</v>
      </c>
      <c r="B626" s="1" t="s">
        <v>1849</v>
      </c>
      <c r="C626" s="1" t="s">
        <v>1850</v>
      </c>
      <c r="D626" s="1" t="s">
        <v>202</v>
      </c>
      <c r="E626" s="1">
        <v>85383</v>
      </c>
      <c r="F626" s="1" t="s">
        <v>310</v>
      </c>
      <c r="G626" s="1" t="s">
        <v>1723</v>
      </c>
      <c r="H626" s="4" t="s">
        <v>1851</v>
      </c>
      <c r="I626" s="5" t="s">
        <v>196</v>
      </c>
      <c r="J626" s="5" t="s">
        <v>37</v>
      </c>
      <c r="K626" s="5" t="s">
        <v>37</v>
      </c>
      <c r="L626" s="5" t="s">
        <v>38</v>
      </c>
      <c r="M626" s="5" t="s">
        <v>37</v>
      </c>
      <c r="N626" s="5" t="s">
        <v>37</v>
      </c>
      <c r="O626" s="5" t="s">
        <v>38</v>
      </c>
      <c r="P626" s="5" t="s">
        <v>39</v>
      </c>
      <c r="Q626" s="2">
        <v>45966</v>
      </c>
      <c r="V626" s="46">
        <f>IF(
  OR(
    ISNUMBER(SEARCH("unable to locate acct", tblDocketedComments[[#This Row],[Docketed Consumer Comments]])),
    ISNUMBER(SEARCH("unknown", tblDocketedComments[[#This Row],[Docketed Consumer Comments]])),
    ISNUMBER(SEARCH("inactive", tblDocketedComments[[#This Row],[Docketed Consumer Comments]]))
  ),
  0,
  1
)</f>
        <v>1</v>
      </c>
    </row>
    <row r="627" spans="1:22">
      <c r="A627" s="2">
        <v>45905</v>
      </c>
      <c r="B627" s="1" t="s">
        <v>1136</v>
      </c>
      <c r="C627" s="1" t="s">
        <v>1852</v>
      </c>
      <c r="D627" s="1" t="s">
        <v>63</v>
      </c>
      <c r="E627" s="1">
        <v>85007</v>
      </c>
      <c r="F627" s="1" t="s">
        <v>310</v>
      </c>
      <c r="G627" s="1" t="s">
        <v>1723</v>
      </c>
      <c r="H627" s="4" t="s">
        <v>1853</v>
      </c>
      <c r="I627" s="5" t="s">
        <v>36</v>
      </c>
      <c r="J627" s="5" t="s">
        <v>37</v>
      </c>
      <c r="K627" s="5" t="s">
        <v>37</v>
      </c>
      <c r="L627" s="5" t="s">
        <v>38</v>
      </c>
      <c r="M627" s="5" t="s">
        <v>37</v>
      </c>
      <c r="N627" s="5" t="s">
        <v>37</v>
      </c>
      <c r="O627" s="5" t="s">
        <v>38</v>
      </c>
      <c r="P627" s="5" t="s">
        <v>39</v>
      </c>
      <c r="Q627" s="2">
        <v>45966</v>
      </c>
      <c r="V627" s="46">
        <f>IF(
  OR(
    ISNUMBER(SEARCH("unable to locate acct", tblDocketedComments[[#This Row],[Docketed Consumer Comments]])),
    ISNUMBER(SEARCH("unknown", tblDocketedComments[[#This Row],[Docketed Consumer Comments]])),
    ISNUMBER(SEARCH("inactive", tblDocketedComments[[#This Row],[Docketed Consumer Comments]]))
  ),
  0,
  1
)</f>
        <v>1</v>
      </c>
    </row>
    <row r="628" spans="1:22">
      <c r="A628" s="2">
        <v>45905</v>
      </c>
      <c r="B628" s="1" t="s">
        <v>1854</v>
      </c>
      <c r="C628" s="1" t="s">
        <v>1855</v>
      </c>
      <c r="D628" s="1" t="s">
        <v>112</v>
      </c>
      <c r="E628" s="1">
        <v>85379</v>
      </c>
      <c r="F628" s="1" t="s">
        <v>310</v>
      </c>
      <c r="G628" s="1" t="s">
        <v>1723</v>
      </c>
      <c r="H628" s="4" t="s">
        <v>1856</v>
      </c>
      <c r="I628" s="5" t="s">
        <v>196</v>
      </c>
      <c r="J628" s="5" t="s">
        <v>37</v>
      </c>
      <c r="K628" s="5" t="s">
        <v>37</v>
      </c>
      <c r="L628" s="5" t="s">
        <v>38</v>
      </c>
      <c r="M628" s="5" t="s">
        <v>38</v>
      </c>
      <c r="N628" s="13">
        <v>436.03</v>
      </c>
      <c r="O628" s="5" t="s">
        <v>38</v>
      </c>
      <c r="P628" s="5" t="s">
        <v>39</v>
      </c>
      <c r="Q628" s="2">
        <v>45966</v>
      </c>
      <c r="V628" s="46">
        <f>IF(
  OR(
    ISNUMBER(SEARCH("unable to locate acct", tblDocketedComments[[#This Row],[Docketed Consumer Comments]])),
    ISNUMBER(SEARCH("unknown", tblDocketedComments[[#This Row],[Docketed Consumer Comments]])),
    ISNUMBER(SEARCH("inactive", tblDocketedComments[[#This Row],[Docketed Consumer Comments]]))
  ),
  0,
  1
)</f>
        <v>1</v>
      </c>
    </row>
    <row r="629" spans="1:22">
      <c r="A629" s="2">
        <v>45905</v>
      </c>
      <c r="B629" s="1" t="s">
        <v>1857</v>
      </c>
      <c r="C629" s="1" t="s">
        <v>211</v>
      </c>
      <c r="D629" s="1" t="s">
        <v>169</v>
      </c>
      <c r="E629" s="1">
        <v>85395</v>
      </c>
      <c r="F629" s="1" t="s">
        <v>31</v>
      </c>
      <c r="G629" s="1" t="s">
        <v>1723</v>
      </c>
      <c r="H629" s="4" t="s">
        <v>1858</v>
      </c>
      <c r="I629" s="5" t="s">
        <v>36</v>
      </c>
      <c r="J629" s="5" t="s">
        <v>37</v>
      </c>
      <c r="K629" s="5" t="s">
        <v>37</v>
      </c>
      <c r="L629" s="5" t="s">
        <v>38</v>
      </c>
      <c r="M629" s="5" t="s">
        <v>37</v>
      </c>
      <c r="N629" s="5" t="s">
        <v>37</v>
      </c>
      <c r="O629" s="5" t="s">
        <v>38</v>
      </c>
      <c r="P629" s="5" t="s">
        <v>39</v>
      </c>
      <c r="Q629" s="2">
        <v>45966</v>
      </c>
      <c r="V629" s="46">
        <f>IF(
  OR(
    ISNUMBER(SEARCH("unable to locate acct", tblDocketedComments[[#This Row],[Docketed Consumer Comments]])),
    ISNUMBER(SEARCH("unknown", tblDocketedComments[[#This Row],[Docketed Consumer Comments]])),
    ISNUMBER(SEARCH("inactive", tblDocketedComments[[#This Row],[Docketed Consumer Comments]]))
  ),
  0,
  1
)</f>
        <v>1</v>
      </c>
    </row>
    <row r="630" spans="1:22">
      <c r="A630" s="2">
        <v>45905</v>
      </c>
      <c r="B630" s="1" t="s">
        <v>1859</v>
      </c>
      <c r="C630" s="1" t="s">
        <v>550</v>
      </c>
      <c r="D630" s="1" t="s">
        <v>635</v>
      </c>
      <c r="E630" s="1">
        <v>85288</v>
      </c>
      <c r="F630" s="1" t="s">
        <v>310</v>
      </c>
      <c r="G630" s="1" t="s">
        <v>1723</v>
      </c>
      <c r="H630" s="4" t="s">
        <v>1860</v>
      </c>
      <c r="I630" s="5" t="s">
        <v>73</v>
      </c>
      <c r="J630" s="5" t="s">
        <v>37</v>
      </c>
      <c r="K630" s="5" t="s">
        <v>37</v>
      </c>
      <c r="L630" s="5" t="s">
        <v>38</v>
      </c>
      <c r="M630" s="5" t="s">
        <v>37</v>
      </c>
      <c r="N630" s="5" t="s">
        <v>37</v>
      </c>
      <c r="O630" s="5" t="s">
        <v>38</v>
      </c>
      <c r="P630" s="5" t="s">
        <v>39</v>
      </c>
      <c r="Q630" s="2">
        <v>45966</v>
      </c>
      <c r="V630" s="46">
        <f>IF(
  OR(
    ISNUMBER(SEARCH("unable to locate acct", tblDocketedComments[[#This Row],[Docketed Consumer Comments]])),
    ISNUMBER(SEARCH("unknown", tblDocketedComments[[#This Row],[Docketed Consumer Comments]])),
    ISNUMBER(SEARCH("inactive", tblDocketedComments[[#This Row],[Docketed Consumer Comments]]))
  ),
  0,
  1
)</f>
        <v>1</v>
      </c>
    </row>
    <row r="631" spans="1:22">
      <c r="A631" s="2">
        <v>45905</v>
      </c>
      <c r="B631" s="1" t="s">
        <v>1861</v>
      </c>
      <c r="C631" s="1" t="s">
        <v>1862</v>
      </c>
      <c r="D631" s="1" t="s">
        <v>63</v>
      </c>
      <c r="E631" s="1">
        <v>85053</v>
      </c>
      <c r="F631" s="1" t="s">
        <v>310</v>
      </c>
      <c r="G631" s="1" t="s">
        <v>1723</v>
      </c>
      <c r="H631" s="4" t="s">
        <v>1863</v>
      </c>
      <c r="I631" s="5" t="s">
        <v>73</v>
      </c>
      <c r="J631" s="5" t="s">
        <v>37</v>
      </c>
      <c r="K631" s="5" t="s">
        <v>37</v>
      </c>
      <c r="L631" s="5" t="s">
        <v>38</v>
      </c>
      <c r="M631" s="5" t="s">
        <v>37</v>
      </c>
      <c r="N631" s="5" t="s">
        <v>37</v>
      </c>
      <c r="O631" s="5" t="s">
        <v>38</v>
      </c>
      <c r="P631" s="5" t="s">
        <v>39</v>
      </c>
      <c r="Q631" s="2">
        <v>45966</v>
      </c>
      <c r="V631" s="46">
        <f>IF(
  OR(
    ISNUMBER(SEARCH("unable to locate acct", tblDocketedComments[[#This Row],[Docketed Consumer Comments]])),
    ISNUMBER(SEARCH("unknown", tblDocketedComments[[#This Row],[Docketed Consumer Comments]])),
    ISNUMBER(SEARCH("inactive", tblDocketedComments[[#This Row],[Docketed Consumer Comments]]))
  ),
  0,
  1
)</f>
        <v>1</v>
      </c>
    </row>
    <row r="632" spans="1:22">
      <c r="A632" s="2">
        <v>45905</v>
      </c>
      <c r="B632" s="1" t="s">
        <v>1864</v>
      </c>
      <c r="C632" s="1" t="s">
        <v>1865</v>
      </c>
      <c r="D632" s="1" t="s">
        <v>737</v>
      </c>
      <c r="E632" s="1">
        <v>86326</v>
      </c>
      <c r="F632" s="1" t="s">
        <v>1866</v>
      </c>
      <c r="G632" s="1" t="s">
        <v>1723</v>
      </c>
      <c r="H632" s="4" t="s">
        <v>1867</v>
      </c>
      <c r="I632" s="5" t="s">
        <v>73</v>
      </c>
      <c r="J632" s="5" t="s">
        <v>38</v>
      </c>
      <c r="K632" s="5" t="s">
        <v>37</v>
      </c>
      <c r="L632" s="5" t="s">
        <v>38</v>
      </c>
      <c r="M632" s="5" t="s">
        <v>37</v>
      </c>
      <c r="N632" s="5" t="s">
        <v>37</v>
      </c>
      <c r="O632" s="5" t="s">
        <v>38</v>
      </c>
      <c r="P632" s="5" t="s">
        <v>39</v>
      </c>
      <c r="Q632" s="2">
        <v>45966</v>
      </c>
      <c r="V632" s="46">
        <f>IF(
  OR(
    ISNUMBER(SEARCH("unable to locate acct", tblDocketedComments[[#This Row],[Docketed Consumer Comments]])),
    ISNUMBER(SEARCH("unknown", tblDocketedComments[[#This Row],[Docketed Consumer Comments]])),
    ISNUMBER(SEARCH("inactive", tblDocketedComments[[#This Row],[Docketed Consumer Comments]]))
  ),
  0,
  1
)</f>
        <v>1</v>
      </c>
    </row>
    <row r="633" spans="1:22">
      <c r="A633" s="2">
        <v>45905</v>
      </c>
      <c r="B633" s="1" t="s">
        <v>1182</v>
      </c>
      <c r="C633" s="1" t="s">
        <v>1868</v>
      </c>
      <c r="D633" s="1" t="s">
        <v>63</v>
      </c>
      <c r="E633" s="1">
        <v>85054</v>
      </c>
      <c r="F633" s="1" t="s">
        <v>31</v>
      </c>
      <c r="G633" s="1" t="s">
        <v>1723</v>
      </c>
      <c r="H633" s="4" t="s">
        <v>27</v>
      </c>
      <c r="V633" s="46">
        <f>IF(
  OR(
    ISNUMBER(SEARCH("unable to locate acct", tblDocketedComments[[#This Row],[Docketed Consumer Comments]])),
    ISNUMBER(SEARCH("unknown", tblDocketedComments[[#This Row],[Docketed Consumer Comments]])),
    ISNUMBER(SEARCH("inactive", tblDocketedComments[[#This Row],[Docketed Consumer Comments]]))
  ),
  0,
  1
)</f>
        <v>1</v>
      </c>
    </row>
    <row r="634" spans="1:22">
      <c r="A634" s="2">
        <v>45905</v>
      </c>
      <c r="B634" s="1" t="s">
        <v>1869</v>
      </c>
      <c r="C634" s="1" t="s">
        <v>1870</v>
      </c>
      <c r="D634" s="1" t="s">
        <v>619</v>
      </c>
      <c r="E634" s="1">
        <v>85365</v>
      </c>
      <c r="F634" s="1" t="s">
        <v>310</v>
      </c>
      <c r="G634" s="1" t="s">
        <v>1723</v>
      </c>
      <c r="H634" s="4" t="s">
        <v>27</v>
      </c>
      <c r="V634" s="46">
        <f>IF(
  OR(
    ISNUMBER(SEARCH("unable to locate acct", tblDocketedComments[[#This Row],[Docketed Consumer Comments]])),
    ISNUMBER(SEARCH("unknown", tblDocketedComments[[#This Row],[Docketed Consumer Comments]])),
    ISNUMBER(SEARCH("inactive", tblDocketedComments[[#This Row],[Docketed Consumer Comments]]))
  ),
  0,
  1
)</f>
        <v>1</v>
      </c>
    </row>
    <row r="635" spans="1:22">
      <c r="A635" s="2">
        <v>45905</v>
      </c>
      <c r="B635" s="1" t="s">
        <v>1583</v>
      </c>
      <c r="C635" s="1" t="s">
        <v>690</v>
      </c>
      <c r="D635" s="1" t="s">
        <v>169</v>
      </c>
      <c r="E635" s="1">
        <v>85338</v>
      </c>
      <c r="F635" s="1" t="s">
        <v>1871</v>
      </c>
      <c r="G635" s="1" t="s">
        <v>1723</v>
      </c>
      <c r="H635" s="4" t="s">
        <v>719</v>
      </c>
      <c r="I635" s="5" t="s">
        <v>1684</v>
      </c>
      <c r="J635" s="5" t="s">
        <v>37</v>
      </c>
      <c r="K635" s="5" t="s">
        <v>37</v>
      </c>
      <c r="L635" s="5" t="s">
        <v>389</v>
      </c>
      <c r="M635" s="5" t="s">
        <v>37</v>
      </c>
      <c r="N635" s="5" t="s">
        <v>37</v>
      </c>
      <c r="O635" s="5" t="s">
        <v>38</v>
      </c>
      <c r="P635" s="5" t="s">
        <v>39</v>
      </c>
      <c r="Q635" s="2">
        <v>45966</v>
      </c>
      <c r="V635" s="46">
        <f>IF(
  OR(
    ISNUMBER(SEARCH("unable to locate acct", tblDocketedComments[[#This Row],[Docketed Consumer Comments]])),
    ISNUMBER(SEARCH("unknown", tblDocketedComments[[#This Row],[Docketed Consumer Comments]])),
    ISNUMBER(SEARCH("inactive", tblDocketedComments[[#This Row],[Docketed Consumer Comments]]))
  ),
  0,
  1
)</f>
        <v>1</v>
      </c>
    </row>
    <row r="636" spans="1:22">
      <c r="A636" s="2">
        <v>45905</v>
      </c>
      <c r="B636" s="1" t="s">
        <v>1872</v>
      </c>
      <c r="C636" s="1" t="s">
        <v>1873</v>
      </c>
      <c r="D636" s="1" t="s">
        <v>63</v>
      </c>
      <c r="E636" s="1">
        <v>85083</v>
      </c>
      <c r="F636" s="1" t="s">
        <v>310</v>
      </c>
      <c r="G636" s="1" t="s">
        <v>1723</v>
      </c>
      <c r="H636" s="19">
        <v>6940323949</v>
      </c>
      <c r="I636" s="5" t="s">
        <v>196</v>
      </c>
      <c r="J636" s="5" t="s">
        <v>37</v>
      </c>
      <c r="K636" s="5" t="s">
        <v>37</v>
      </c>
      <c r="L636" s="5" t="s">
        <v>1874</v>
      </c>
      <c r="M636" s="5" t="s">
        <v>37</v>
      </c>
      <c r="N636" s="5" t="s">
        <v>37</v>
      </c>
      <c r="O636" s="5" t="s">
        <v>38</v>
      </c>
      <c r="P636" s="5" t="s">
        <v>39</v>
      </c>
      <c r="Q636" s="2">
        <v>45966</v>
      </c>
      <c r="V636" s="46">
        <f>IF(
  OR(
    ISNUMBER(SEARCH("unable to locate acct", tblDocketedComments[[#This Row],[Docketed Consumer Comments]])),
    ISNUMBER(SEARCH("unknown", tblDocketedComments[[#This Row],[Docketed Consumer Comments]])),
    ISNUMBER(SEARCH("inactive", tblDocketedComments[[#This Row],[Docketed Consumer Comments]]))
  ),
  0,
  1
)</f>
        <v>1</v>
      </c>
    </row>
    <row r="637" spans="1:22">
      <c r="A637" s="2">
        <v>45905</v>
      </c>
      <c r="B637" s="1" t="s">
        <v>1875</v>
      </c>
      <c r="C637" s="1" t="s">
        <v>1876</v>
      </c>
      <c r="D637" s="1" t="s">
        <v>169</v>
      </c>
      <c r="E637" s="1">
        <v>85395</v>
      </c>
      <c r="F637" s="1" t="s">
        <v>1877</v>
      </c>
      <c r="G637" s="1" t="s">
        <v>1723</v>
      </c>
      <c r="H637" s="4" t="s">
        <v>1878</v>
      </c>
      <c r="I637" s="5" t="s">
        <v>1684</v>
      </c>
      <c r="J637" s="5" t="s">
        <v>37</v>
      </c>
      <c r="K637" s="5" t="s">
        <v>37</v>
      </c>
      <c r="L637" s="5" t="s">
        <v>38</v>
      </c>
      <c r="M637" s="5" t="s">
        <v>37</v>
      </c>
      <c r="N637" s="5" t="s">
        <v>37</v>
      </c>
      <c r="O637" s="5" t="s">
        <v>38</v>
      </c>
      <c r="P637" s="5" t="s">
        <v>39</v>
      </c>
      <c r="Q637" s="2">
        <v>45966</v>
      </c>
      <c r="V637" s="46">
        <f>IF(
  OR(
    ISNUMBER(SEARCH("unable to locate acct", tblDocketedComments[[#This Row],[Docketed Consumer Comments]])),
    ISNUMBER(SEARCH("unknown", tblDocketedComments[[#This Row],[Docketed Consumer Comments]])),
    ISNUMBER(SEARCH("inactive", tblDocketedComments[[#This Row],[Docketed Consumer Comments]]))
  ),
  0,
  1
)</f>
        <v>1</v>
      </c>
    </row>
    <row r="638" spans="1:22">
      <c r="A638" s="2">
        <v>45905</v>
      </c>
      <c r="B638" s="1" t="s">
        <v>1879</v>
      </c>
      <c r="C638" s="1" t="s">
        <v>1310</v>
      </c>
      <c r="D638" s="1" t="s">
        <v>169</v>
      </c>
      <c r="E638" s="1">
        <v>85395</v>
      </c>
      <c r="F638" s="1" t="s">
        <v>31</v>
      </c>
      <c r="G638" s="1" t="s">
        <v>1723</v>
      </c>
      <c r="H638" s="4" t="s">
        <v>1880</v>
      </c>
      <c r="I638" s="5" t="s">
        <v>243</v>
      </c>
      <c r="J638" s="5" t="s">
        <v>37</v>
      </c>
      <c r="K638" s="5" t="s">
        <v>37</v>
      </c>
      <c r="L638" s="5" t="s">
        <v>389</v>
      </c>
      <c r="M638" s="5" t="s">
        <v>37</v>
      </c>
      <c r="N638" s="5" t="s">
        <v>37</v>
      </c>
      <c r="O638" s="5" t="s">
        <v>38</v>
      </c>
      <c r="P638" s="5" t="s">
        <v>39</v>
      </c>
      <c r="Q638" s="2">
        <v>45966</v>
      </c>
      <c r="V638" s="46">
        <f>IF(
  OR(
    ISNUMBER(SEARCH("unable to locate acct", tblDocketedComments[[#This Row],[Docketed Consumer Comments]])),
    ISNUMBER(SEARCH("unknown", tblDocketedComments[[#This Row],[Docketed Consumer Comments]])),
    ISNUMBER(SEARCH("inactive", tblDocketedComments[[#This Row],[Docketed Consumer Comments]]))
  ),
  0,
  1
)</f>
        <v>1</v>
      </c>
    </row>
    <row r="639" spans="1:22">
      <c r="A639" s="2">
        <v>45905</v>
      </c>
      <c r="B639" s="1" t="s">
        <v>1881</v>
      </c>
      <c r="C639" s="1" t="s">
        <v>1755</v>
      </c>
      <c r="D639" s="1" t="s">
        <v>24</v>
      </c>
      <c r="E639" s="1">
        <v>85308</v>
      </c>
      <c r="F639" s="1" t="s">
        <v>310</v>
      </c>
      <c r="G639" s="1" t="s">
        <v>1723</v>
      </c>
      <c r="H639" s="4" t="s">
        <v>1882</v>
      </c>
      <c r="I639" s="5" t="s">
        <v>196</v>
      </c>
      <c r="J639" s="5" t="s">
        <v>37</v>
      </c>
      <c r="K639" s="5" t="s">
        <v>37</v>
      </c>
      <c r="L639" s="5" t="s">
        <v>1883</v>
      </c>
      <c r="M639" s="5" t="s">
        <v>37</v>
      </c>
      <c r="N639" s="5" t="s">
        <v>37</v>
      </c>
      <c r="O639" s="5" t="s">
        <v>38</v>
      </c>
      <c r="P639" s="5" t="s">
        <v>39</v>
      </c>
      <c r="Q639" s="2">
        <v>45966</v>
      </c>
      <c r="V639" s="46">
        <f>IF(
  OR(
    ISNUMBER(SEARCH("unable to locate acct", tblDocketedComments[[#This Row],[Docketed Consumer Comments]])),
    ISNUMBER(SEARCH("unknown", tblDocketedComments[[#This Row],[Docketed Consumer Comments]])),
    ISNUMBER(SEARCH("inactive", tblDocketedComments[[#This Row],[Docketed Consumer Comments]]))
  ),
  0,
  1
)</f>
        <v>1</v>
      </c>
    </row>
    <row r="640" spans="1:22">
      <c r="A640" s="2">
        <v>45905</v>
      </c>
      <c r="B640" s="1" t="s">
        <v>1884</v>
      </c>
      <c r="C640" s="1" t="s">
        <v>1666</v>
      </c>
      <c r="D640" s="1" t="s">
        <v>619</v>
      </c>
      <c r="E640" s="1">
        <v>85365</v>
      </c>
      <c r="F640" s="1" t="s">
        <v>1556</v>
      </c>
      <c r="G640" s="1" t="s">
        <v>1723</v>
      </c>
      <c r="H640" s="4" t="s">
        <v>1885</v>
      </c>
      <c r="I640" s="5" t="s">
        <v>57</v>
      </c>
      <c r="J640" s="5" t="s">
        <v>37</v>
      </c>
      <c r="K640" s="5" t="s">
        <v>37</v>
      </c>
      <c r="L640" s="7" t="s">
        <v>1886</v>
      </c>
      <c r="M640" s="5" t="s">
        <v>37</v>
      </c>
      <c r="N640" s="5" t="s">
        <v>37</v>
      </c>
      <c r="O640" s="5" t="s">
        <v>38</v>
      </c>
      <c r="Q640" s="2">
        <v>45966</v>
      </c>
      <c r="R640" s="21" t="s">
        <v>1887</v>
      </c>
      <c r="V640" s="46">
        <f>IF(
  OR(
    ISNUMBER(SEARCH("unable to locate acct", tblDocketedComments[[#This Row],[Docketed Consumer Comments]])),
    ISNUMBER(SEARCH("unknown", tblDocketedComments[[#This Row],[Docketed Consumer Comments]])),
    ISNUMBER(SEARCH("inactive", tblDocketedComments[[#This Row],[Docketed Consumer Comments]]))
  ),
  0,
  1
)</f>
        <v>1</v>
      </c>
    </row>
    <row r="641" spans="1:22">
      <c r="A641" s="2">
        <v>45905</v>
      </c>
      <c r="B641" s="1" t="s">
        <v>1888</v>
      </c>
      <c r="C641" s="1" t="s">
        <v>1889</v>
      </c>
      <c r="D641" s="1" t="s">
        <v>125</v>
      </c>
      <c r="E641" s="1">
        <v>85254</v>
      </c>
      <c r="F641" s="1" t="s">
        <v>31</v>
      </c>
      <c r="G641" s="1" t="s">
        <v>1723</v>
      </c>
      <c r="H641" s="4" t="s">
        <v>27</v>
      </c>
      <c r="V641" s="46">
        <f>IF(
  OR(
    ISNUMBER(SEARCH("unable to locate acct", tblDocketedComments[[#This Row],[Docketed Consumer Comments]])),
    ISNUMBER(SEARCH("unknown", tblDocketedComments[[#This Row],[Docketed Consumer Comments]])),
    ISNUMBER(SEARCH("inactive", tblDocketedComments[[#This Row],[Docketed Consumer Comments]]))
  ),
  0,
  1
)</f>
        <v>1</v>
      </c>
    </row>
    <row r="642" spans="1:22">
      <c r="A642" s="2">
        <v>45905</v>
      </c>
      <c r="B642" s="1" t="s">
        <v>1890</v>
      </c>
      <c r="C642" s="1" t="s">
        <v>747</v>
      </c>
      <c r="D642" s="1" t="s">
        <v>202</v>
      </c>
      <c r="E642" s="1">
        <v>85383</v>
      </c>
      <c r="F642" s="1" t="s">
        <v>31</v>
      </c>
      <c r="G642" s="1" t="s">
        <v>1723</v>
      </c>
      <c r="H642" s="4" t="s">
        <v>1891</v>
      </c>
      <c r="I642" s="5" t="s">
        <v>1892</v>
      </c>
      <c r="J642" s="5" t="s">
        <v>37</v>
      </c>
      <c r="K642" s="5" t="s">
        <v>37</v>
      </c>
      <c r="L642" s="5" t="s">
        <v>38</v>
      </c>
      <c r="M642" s="5" t="s">
        <v>37</v>
      </c>
      <c r="N642" s="5" t="s">
        <v>37</v>
      </c>
      <c r="O642" s="5" t="s">
        <v>38</v>
      </c>
      <c r="P642" s="5" t="s">
        <v>39</v>
      </c>
      <c r="Q642" s="2">
        <v>45966</v>
      </c>
      <c r="V642" s="46">
        <f>IF(
  OR(
    ISNUMBER(SEARCH("unable to locate acct", tblDocketedComments[[#This Row],[Docketed Consumer Comments]])),
    ISNUMBER(SEARCH("unknown", tblDocketedComments[[#This Row],[Docketed Consumer Comments]])),
    ISNUMBER(SEARCH("inactive", tblDocketedComments[[#This Row],[Docketed Consumer Comments]]))
  ),
  0,
  1
)</f>
        <v>1</v>
      </c>
    </row>
    <row r="643" spans="1:22">
      <c r="A643" s="2">
        <v>45905</v>
      </c>
      <c r="B643" s="1" t="s">
        <v>1893</v>
      </c>
      <c r="C643" s="1" t="s">
        <v>1894</v>
      </c>
      <c r="D643" s="1" t="s">
        <v>63</v>
      </c>
      <c r="E643" s="1">
        <v>85024</v>
      </c>
      <c r="F643" s="1" t="s">
        <v>1895</v>
      </c>
      <c r="G643" s="1" t="s">
        <v>1723</v>
      </c>
      <c r="H643" s="4" t="s">
        <v>1896</v>
      </c>
      <c r="I643" s="5" t="s">
        <v>46</v>
      </c>
      <c r="J643" s="5" t="s">
        <v>37</v>
      </c>
      <c r="K643" s="5" t="s">
        <v>37</v>
      </c>
      <c r="L643" s="5" t="s">
        <v>38</v>
      </c>
      <c r="M643" s="5" t="s">
        <v>37</v>
      </c>
      <c r="N643" s="5" t="s">
        <v>37</v>
      </c>
      <c r="O643" s="5" t="s">
        <v>38</v>
      </c>
      <c r="P643" s="5" t="s">
        <v>39</v>
      </c>
      <c r="Q643" s="2">
        <v>45966</v>
      </c>
      <c r="V643" s="46">
        <f>IF(
  OR(
    ISNUMBER(SEARCH("unable to locate acct", tblDocketedComments[[#This Row],[Docketed Consumer Comments]])),
    ISNUMBER(SEARCH("unknown", tblDocketedComments[[#This Row],[Docketed Consumer Comments]])),
    ISNUMBER(SEARCH("inactive", tblDocketedComments[[#This Row],[Docketed Consumer Comments]]))
  ),
  0,
  1
)</f>
        <v>1</v>
      </c>
    </row>
    <row r="644" spans="1:22">
      <c r="A644" s="2">
        <v>45905</v>
      </c>
      <c r="B644" s="1" t="s">
        <v>1897</v>
      </c>
      <c r="C644" s="1" t="s">
        <v>1898</v>
      </c>
      <c r="D644" s="1" t="s">
        <v>169</v>
      </c>
      <c r="E644" s="1">
        <v>85395</v>
      </c>
      <c r="F644" s="1" t="s">
        <v>1899</v>
      </c>
      <c r="G644" s="1" t="s">
        <v>1723</v>
      </c>
      <c r="H644" s="4" t="s">
        <v>1900</v>
      </c>
      <c r="I644" s="5" t="s">
        <v>541</v>
      </c>
      <c r="J644" s="5" t="s">
        <v>37</v>
      </c>
      <c r="K644" s="5" t="s">
        <v>37</v>
      </c>
      <c r="L644" s="5" t="s">
        <v>389</v>
      </c>
      <c r="M644" s="5" t="s">
        <v>37</v>
      </c>
      <c r="N644" s="5" t="s">
        <v>37</v>
      </c>
      <c r="O644" s="5" t="s">
        <v>38</v>
      </c>
      <c r="P644" s="5" t="s">
        <v>39</v>
      </c>
      <c r="Q644" s="2">
        <v>45966</v>
      </c>
      <c r="V644" s="46">
        <f>IF(
  OR(
    ISNUMBER(SEARCH("unable to locate acct", tblDocketedComments[[#This Row],[Docketed Consumer Comments]])),
    ISNUMBER(SEARCH("unknown", tblDocketedComments[[#This Row],[Docketed Consumer Comments]])),
    ISNUMBER(SEARCH("inactive", tblDocketedComments[[#This Row],[Docketed Consumer Comments]]))
  ),
  0,
  1
)</f>
        <v>1</v>
      </c>
    </row>
    <row r="645" spans="1:22">
      <c r="A645" s="2">
        <v>45905</v>
      </c>
      <c r="B645" s="1" t="s">
        <v>1901</v>
      </c>
      <c r="C645" s="1" t="s">
        <v>790</v>
      </c>
      <c r="D645" s="1" t="s">
        <v>635</v>
      </c>
      <c r="E645" s="1">
        <v>85281</v>
      </c>
      <c r="F645" s="1" t="s">
        <v>310</v>
      </c>
      <c r="G645" s="1" t="s">
        <v>1723</v>
      </c>
      <c r="H645" s="4" t="s">
        <v>1902</v>
      </c>
      <c r="I645" s="5" t="s">
        <v>126</v>
      </c>
      <c r="J645" s="5" t="s">
        <v>37</v>
      </c>
      <c r="K645" s="5" t="s">
        <v>37</v>
      </c>
      <c r="L645" s="5" t="s">
        <v>1903</v>
      </c>
      <c r="M645" s="5" t="s">
        <v>37</v>
      </c>
      <c r="N645" s="5" t="s">
        <v>37</v>
      </c>
      <c r="O645" s="5" t="s">
        <v>38</v>
      </c>
      <c r="P645" s="5" t="s">
        <v>39</v>
      </c>
      <c r="Q645" s="2">
        <v>45966</v>
      </c>
      <c r="V645" s="46">
        <f>IF(
  OR(
    ISNUMBER(SEARCH("unable to locate acct", tblDocketedComments[[#This Row],[Docketed Consumer Comments]])),
    ISNUMBER(SEARCH("unknown", tblDocketedComments[[#This Row],[Docketed Consumer Comments]])),
    ISNUMBER(SEARCH("inactive", tblDocketedComments[[#This Row],[Docketed Consumer Comments]]))
  ),
  0,
  1
)</f>
        <v>1</v>
      </c>
    </row>
    <row r="646" spans="1:22">
      <c r="A646" s="2">
        <v>45905</v>
      </c>
      <c r="B646" s="1" t="s">
        <v>1904</v>
      </c>
      <c r="C646" s="1" t="s">
        <v>1905</v>
      </c>
      <c r="D646" s="1" t="s">
        <v>63</v>
      </c>
      <c r="E646" s="1">
        <v>85007</v>
      </c>
      <c r="F646" s="1" t="s">
        <v>31</v>
      </c>
      <c r="G646" s="1" t="s">
        <v>1723</v>
      </c>
      <c r="H646" s="4" t="s">
        <v>1906</v>
      </c>
      <c r="I646" s="5" t="s">
        <v>36</v>
      </c>
      <c r="J646" s="5" t="s">
        <v>37</v>
      </c>
      <c r="K646" s="5" t="s">
        <v>37</v>
      </c>
      <c r="L646" s="5" t="s">
        <v>38</v>
      </c>
      <c r="M646" s="5" t="s">
        <v>37</v>
      </c>
      <c r="N646" s="5" t="s">
        <v>37</v>
      </c>
      <c r="O646" s="5" t="s">
        <v>38</v>
      </c>
      <c r="P646" s="5" t="s">
        <v>39</v>
      </c>
      <c r="Q646" s="2">
        <v>45966</v>
      </c>
      <c r="V646" s="46">
        <f>IF(
  OR(
    ISNUMBER(SEARCH("unable to locate acct", tblDocketedComments[[#This Row],[Docketed Consumer Comments]])),
    ISNUMBER(SEARCH("unknown", tblDocketedComments[[#This Row],[Docketed Consumer Comments]])),
    ISNUMBER(SEARCH("inactive", tblDocketedComments[[#This Row],[Docketed Consumer Comments]]))
  ),
  0,
  1
)</f>
        <v>1</v>
      </c>
    </row>
    <row r="647" spans="1:22">
      <c r="A647" s="2">
        <v>45905</v>
      </c>
      <c r="B647" s="1" t="s">
        <v>1907</v>
      </c>
      <c r="C647" s="1" t="s">
        <v>131</v>
      </c>
      <c r="D647" s="1" t="s">
        <v>635</v>
      </c>
      <c r="E647" s="1">
        <v>85288</v>
      </c>
      <c r="F647" s="1" t="s">
        <v>31</v>
      </c>
      <c r="G647" s="1" t="s">
        <v>1723</v>
      </c>
      <c r="H647" s="4" t="s">
        <v>1908</v>
      </c>
      <c r="I647" s="5" t="s">
        <v>196</v>
      </c>
      <c r="J647" s="5" t="s">
        <v>37</v>
      </c>
      <c r="K647" s="5" t="s">
        <v>37</v>
      </c>
      <c r="L647" s="7" t="s">
        <v>1909</v>
      </c>
      <c r="M647" s="5" t="s">
        <v>37</v>
      </c>
      <c r="N647" s="5" t="s">
        <v>37</v>
      </c>
      <c r="O647" s="5" t="s">
        <v>38</v>
      </c>
      <c r="P647" s="2">
        <v>45936</v>
      </c>
      <c r="Q647" s="2">
        <v>45966</v>
      </c>
      <c r="R647" s="1" t="s">
        <v>1732</v>
      </c>
      <c r="V647" s="46">
        <f>IF(
  OR(
    ISNUMBER(SEARCH("unable to locate acct", tblDocketedComments[[#This Row],[Docketed Consumer Comments]])),
    ISNUMBER(SEARCH("unknown", tblDocketedComments[[#This Row],[Docketed Consumer Comments]])),
    ISNUMBER(SEARCH("inactive", tblDocketedComments[[#This Row],[Docketed Consumer Comments]]))
  ),
  0,
  1
)</f>
        <v>1</v>
      </c>
    </row>
    <row r="648" spans="1:22">
      <c r="A648" s="2">
        <v>45905</v>
      </c>
      <c r="B648" s="1" t="s">
        <v>1910</v>
      </c>
      <c r="C648" s="1" t="s">
        <v>139</v>
      </c>
      <c r="D648" s="1" t="s">
        <v>63</v>
      </c>
      <c r="E648" s="1">
        <v>85032</v>
      </c>
      <c r="F648" s="1" t="s">
        <v>1911</v>
      </c>
      <c r="G648" s="1" t="s">
        <v>1723</v>
      </c>
      <c r="H648" s="4" t="s">
        <v>1912</v>
      </c>
      <c r="I648" s="5" t="s">
        <v>73</v>
      </c>
      <c r="J648" s="5" t="s">
        <v>37</v>
      </c>
      <c r="K648" s="5" t="s">
        <v>37</v>
      </c>
      <c r="L648" s="5" t="s">
        <v>38</v>
      </c>
      <c r="M648" s="5" t="s">
        <v>37</v>
      </c>
      <c r="N648" s="5" t="s">
        <v>37</v>
      </c>
      <c r="O648" s="5" t="s">
        <v>38</v>
      </c>
      <c r="P648" s="5" t="s">
        <v>39</v>
      </c>
      <c r="Q648" s="2">
        <v>45966</v>
      </c>
      <c r="V648" s="46">
        <f>IF(
  OR(
    ISNUMBER(SEARCH("unable to locate acct", tblDocketedComments[[#This Row],[Docketed Consumer Comments]])),
    ISNUMBER(SEARCH("unknown", tblDocketedComments[[#This Row],[Docketed Consumer Comments]])),
    ISNUMBER(SEARCH("inactive", tblDocketedComments[[#This Row],[Docketed Consumer Comments]]))
  ),
  0,
  1
)</f>
        <v>1</v>
      </c>
    </row>
    <row r="649" spans="1:22">
      <c r="A649" s="2">
        <v>45905</v>
      </c>
      <c r="B649" s="1" t="s">
        <v>1913</v>
      </c>
      <c r="C649" s="1" t="s">
        <v>1914</v>
      </c>
      <c r="D649" s="1" t="s">
        <v>169</v>
      </c>
      <c r="E649" s="1">
        <v>85338</v>
      </c>
      <c r="F649" s="1" t="s">
        <v>310</v>
      </c>
      <c r="G649" s="1" t="s">
        <v>1723</v>
      </c>
      <c r="H649" s="4" t="s">
        <v>27</v>
      </c>
      <c r="V649" s="46">
        <f>IF(
  OR(
    ISNUMBER(SEARCH("unable to locate acct", tblDocketedComments[[#This Row],[Docketed Consumer Comments]])),
    ISNUMBER(SEARCH("unknown", tblDocketedComments[[#This Row],[Docketed Consumer Comments]])),
    ISNUMBER(SEARCH("inactive", tblDocketedComments[[#This Row],[Docketed Consumer Comments]]))
  ),
  0,
  1
)</f>
        <v>1</v>
      </c>
    </row>
    <row r="650" spans="1:22">
      <c r="A650" s="2">
        <v>45905</v>
      </c>
      <c r="B650" s="1" t="s">
        <v>391</v>
      </c>
      <c r="C650" s="1" t="s">
        <v>920</v>
      </c>
      <c r="D650" s="1" t="s">
        <v>85</v>
      </c>
      <c r="E650" s="1">
        <v>86323</v>
      </c>
      <c r="F650" s="1" t="s">
        <v>31</v>
      </c>
      <c r="G650" s="1" t="s">
        <v>1723</v>
      </c>
      <c r="H650" s="4" t="s">
        <v>1915</v>
      </c>
      <c r="I650" s="5" t="s">
        <v>36</v>
      </c>
      <c r="J650" s="5" t="s">
        <v>37</v>
      </c>
      <c r="K650" s="5" t="s">
        <v>37</v>
      </c>
      <c r="L650" s="5" t="s">
        <v>38</v>
      </c>
      <c r="M650" s="5" t="s">
        <v>37</v>
      </c>
      <c r="N650" s="5" t="s">
        <v>37</v>
      </c>
      <c r="O650" s="5" t="s">
        <v>38</v>
      </c>
      <c r="P650" s="5" t="s">
        <v>39</v>
      </c>
      <c r="Q650" s="2">
        <v>45966</v>
      </c>
      <c r="V650" s="46">
        <f>IF(
  OR(
    ISNUMBER(SEARCH("unable to locate acct", tblDocketedComments[[#This Row],[Docketed Consumer Comments]])),
    ISNUMBER(SEARCH("unknown", tblDocketedComments[[#This Row],[Docketed Consumer Comments]])),
    ISNUMBER(SEARCH("inactive", tblDocketedComments[[#This Row],[Docketed Consumer Comments]]))
  ),
  0,
  1
)</f>
        <v>1</v>
      </c>
    </row>
    <row r="651" spans="1:22">
      <c r="A651" s="2">
        <v>45905</v>
      </c>
      <c r="B651" s="1" t="s">
        <v>431</v>
      </c>
      <c r="C651" s="1" t="s">
        <v>329</v>
      </c>
      <c r="D651" s="1" t="s">
        <v>63</v>
      </c>
      <c r="E651" s="1">
        <v>85032</v>
      </c>
      <c r="F651" s="1" t="s">
        <v>310</v>
      </c>
      <c r="G651" s="1" t="s">
        <v>1723</v>
      </c>
      <c r="H651" s="4" t="s">
        <v>1916</v>
      </c>
      <c r="I651" s="5" t="s">
        <v>73</v>
      </c>
      <c r="J651" s="5" t="s">
        <v>37</v>
      </c>
      <c r="K651" s="5" t="s">
        <v>37</v>
      </c>
      <c r="L651" s="5" t="s">
        <v>38</v>
      </c>
      <c r="M651" s="5" t="s">
        <v>37</v>
      </c>
      <c r="N651" s="5" t="s">
        <v>37</v>
      </c>
      <c r="O651" s="5" t="s">
        <v>38</v>
      </c>
      <c r="P651" s="5" t="s">
        <v>39</v>
      </c>
      <c r="Q651" s="2">
        <v>45966</v>
      </c>
      <c r="V651" s="46">
        <f>IF(
  OR(
    ISNUMBER(SEARCH("unable to locate acct", tblDocketedComments[[#This Row],[Docketed Consumer Comments]])),
    ISNUMBER(SEARCH("unknown", tblDocketedComments[[#This Row],[Docketed Consumer Comments]])),
    ISNUMBER(SEARCH("inactive", tblDocketedComments[[#This Row],[Docketed Consumer Comments]]))
  ),
  0,
  1
)</f>
        <v>1</v>
      </c>
    </row>
    <row r="652" spans="1:22">
      <c r="A652" s="2">
        <v>45905</v>
      </c>
      <c r="B652" s="1" t="s">
        <v>1917</v>
      </c>
      <c r="C652" s="1" t="s">
        <v>1918</v>
      </c>
      <c r="D652" s="1" t="s">
        <v>1919</v>
      </c>
      <c r="E652" s="1">
        <v>85202</v>
      </c>
      <c r="F652" s="1" t="s">
        <v>31</v>
      </c>
      <c r="G652" s="1" t="s">
        <v>1723</v>
      </c>
      <c r="H652" s="4" t="s">
        <v>90</v>
      </c>
      <c r="V652" s="46">
        <f>IF(
  OR(
    ISNUMBER(SEARCH("unable to locate acct", tblDocketedComments[[#This Row],[Docketed Consumer Comments]])),
    ISNUMBER(SEARCH("unknown", tblDocketedComments[[#This Row],[Docketed Consumer Comments]])),
    ISNUMBER(SEARCH("inactive", tblDocketedComments[[#This Row],[Docketed Consumer Comments]]))
  ),
  0,
  1
)</f>
        <v>1</v>
      </c>
    </row>
    <row r="653" spans="1:22">
      <c r="A653" s="2">
        <v>45905</v>
      </c>
      <c r="B653" s="1" t="s">
        <v>1920</v>
      </c>
      <c r="C653" s="1" t="s">
        <v>1921</v>
      </c>
      <c r="D653" s="1" t="s">
        <v>63</v>
      </c>
      <c r="E653" s="1">
        <v>85012</v>
      </c>
      <c r="F653" s="1" t="s">
        <v>310</v>
      </c>
      <c r="G653" s="1" t="s">
        <v>1723</v>
      </c>
      <c r="H653" s="4" t="s">
        <v>1922</v>
      </c>
      <c r="I653" s="5" t="s">
        <v>73</v>
      </c>
      <c r="J653" s="5" t="s">
        <v>37</v>
      </c>
      <c r="K653" s="5" t="s">
        <v>37</v>
      </c>
      <c r="L653" s="5" t="s">
        <v>38</v>
      </c>
      <c r="M653" s="5" t="s">
        <v>37</v>
      </c>
      <c r="N653" s="5" t="s">
        <v>37</v>
      </c>
      <c r="O653" s="5" t="s">
        <v>38</v>
      </c>
      <c r="P653" s="5" t="s">
        <v>39</v>
      </c>
      <c r="Q653" s="2">
        <v>45966</v>
      </c>
      <c r="V653" s="46">
        <f>IF(
  OR(
    ISNUMBER(SEARCH("unable to locate acct", tblDocketedComments[[#This Row],[Docketed Consumer Comments]])),
    ISNUMBER(SEARCH("unknown", tblDocketedComments[[#This Row],[Docketed Consumer Comments]])),
    ISNUMBER(SEARCH("inactive", tblDocketedComments[[#This Row],[Docketed Consumer Comments]]))
  ),
  0,
  1
)</f>
        <v>1</v>
      </c>
    </row>
    <row r="654" spans="1:22">
      <c r="A654" s="2">
        <v>45905</v>
      </c>
      <c r="B654" s="1" t="s">
        <v>1923</v>
      </c>
      <c r="C654" s="1" t="s">
        <v>1924</v>
      </c>
      <c r="D654" s="1" t="s">
        <v>63</v>
      </c>
      <c r="E654" s="1">
        <v>85086</v>
      </c>
      <c r="F654" s="1" t="s">
        <v>31</v>
      </c>
      <c r="G654" s="1" t="s">
        <v>1723</v>
      </c>
      <c r="H654" s="4" t="s">
        <v>1925</v>
      </c>
      <c r="I654" s="5" t="s">
        <v>36</v>
      </c>
      <c r="J654" s="5" t="s">
        <v>37</v>
      </c>
      <c r="K654" s="5" t="s">
        <v>37</v>
      </c>
      <c r="L654" s="5" t="s">
        <v>38</v>
      </c>
      <c r="M654" s="5" t="s">
        <v>37</v>
      </c>
      <c r="N654" s="5" t="s">
        <v>37</v>
      </c>
      <c r="O654" s="5" t="s">
        <v>38</v>
      </c>
      <c r="P654" s="5" t="s">
        <v>39</v>
      </c>
      <c r="Q654" s="2">
        <v>45966</v>
      </c>
      <c r="V654" s="46">
        <f>IF(
  OR(
    ISNUMBER(SEARCH("unable to locate acct", tblDocketedComments[[#This Row],[Docketed Consumer Comments]])),
    ISNUMBER(SEARCH("unknown", tblDocketedComments[[#This Row],[Docketed Consumer Comments]])),
    ISNUMBER(SEARCH("inactive", tblDocketedComments[[#This Row],[Docketed Consumer Comments]]))
  ),
  0,
  1
)</f>
        <v>1</v>
      </c>
    </row>
    <row r="655" spans="1:22">
      <c r="A655" s="2">
        <v>45905</v>
      </c>
      <c r="B655" s="1" t="s">
        <v>1926</v>
      </c>
      <c r="C655" s="1" t="s">
        <v>399</v>
      </c>
      <c r="D655" s="1" t="s">
        <v>504</v>
      </c>
      <c r="E655" s="1">
        <v>86001</v>
      </c>
      <c r="F655" s="1" t="s">
        <v>31</v>
      </c>
      <c r="G655" s="1" t="s">
        <v>1723</v>
      </c>
      <c r="H655" s="4" t="s">
        <v>1927</v>
      </c>
      <c r="I655" s="5" t="s">
        <v>196</v>
      </c>
      <c r="J655" s="5" t="s">
        <v>37</v>
      </c>
      <c r="K655" s="5" t="s">
        <v>37</v>
      </c>
      <c r="L655" s="5" t="s">
        <v>1928</v>
      </c>
      <c r="M655" s="5" t="s">
        <v>37</v>
      </c>
      <c r="N655" s="5" t="s">
        <v>37</v>
      </c>
      <c r="O655" s="5" t="s">
        <v>38</v>
      </c>
      <c r="P655" s="5" t="s">
        <v>39</v>
      </c>
      <c r="Q655" s="2">
        <v>45966</v>
      </c>
      <c r="V655" s="46">
        <f>IF(
  OR(
    ISNUMBER(SEARCH("unable to locate acct", tblDocketedComments[[#This Row],[Docketed Consumer Comments]])),
    ISNUMBER(SEARCH("unknown", tblDocketedComments[[#This Row],[Docketed Consumer Comments]])),
    ISNUMBER(SEARCH("inactive", tblDocketedComments[[#This Row],[Docketed Consumer Comments]]))
  ),
  0,
  1
)</f>
        <v>1</v>
      </c>
    </row>
    <row r="656" spans="1:22">
      <c r="A656" s="2">
        <v>45905</v>
      </c>
      <c r="B656" s="1" t="s">
        <v>1929</v>
      </c>
      <c r="C656" s="1" t="s">
        <v>1930</v>
      </c>
      <c r="D656" s="1" t="s">
        <v>63</v>
      </c>
      <c r="E656" s="1">
        <v>85020</v>
      </c>
      <c r="F656" s="1" t="s">
        <v>310</v>
      </c>
      <c r="G656" s="1" t="s">
        <v>1723</v>
      </c>
      <c r="H656" s="4" t="s">
        <v>1931</v>
      </c>
      <c r="I656" s="5" t="s">
        <v>73</v>
      </c>
      <c r="J656" s="5" t="s">
        <v>37</v>
      </c>
      <c r="K656" s="5" t="s">
        <v>37</v>
      </c>
      <c r="L656" s="5" t="s">
        <v>38</v>
      </c>
      <c r="M656" s="5" t="s">
        <v>37</v>
      </c>
      <c r="N656" s="5" t="s">
        <v>37</v>
      </c>
      <c r="O656" s="5" t="s">
        <v>38</v>
      </c>
      <c r="P656" s="5" t="s">
        <v>39</v>
      </c>
      <c r="Q656" s="2">
        <v>45966</v>
      </c>
      <c r="V656" s="46">
        <f>IF(
  OR(
    ISNUMBER(SEARCH("unable to locate acct", tblDocketedComments[[#This Row],[Docketed Consumer Comments]])),
    ISNUMBER(SEARCH("unknown", tblDocketedComments[[#This Row],[Docketed Consumer Comments]])),
    ISNUMBER(SEARCH("inactive", tblDocketedComments[[#This Row],[Docketed Consumer Comments]]))
  ),
  0,
  1
)</f>
        <v>1</v>
      </c>
    </row>
    <row r="657" spans="1:22">
      <c r="A657" s="2">
        <v>45905</v>
      </c>
      <c r="B657" s="1" t="s">
        <v>1932</v>
      </c>
      <c r="C657" s="1" t="s">
        <v>1614</v>
      </c>
      <c r="D657" s="1" t="s">
        <v>63</v>
      </c>
      <c r="E657" s="1">
        <v>85020</v>
      </c>
      <c r="F657" s="1" t="s">
        <v>1933</v>
      </c>
      <c r="G657" s="1" t="s">
        <v>1723</v>
      </c>
      <c r="H657" s="4" t="s">
        <v>1934</v>
      </c>
      <c r="I657" s="5" t="s">
        <v>36</v>
      </c>
      <c r="J657" s="5" t="s">
        <v>37</v>
      </c>
      <c r="K657" s="5" t="s">
        <v>37</v>
      </c>
      <c r="L657" s="7" t="s">
        <v>1935</v>
      </c>
      <c r="M657" s="5" t="s">
        <v>37</v>
      </c>
      <c r="N657" s="5" t="s">
        <v>37</v>
      </c>
      <c r="O657" s="5" t="s">
        <v>38</v>
      </c>
      <c r="P657" s="5" t="s">
        <v>39</v>
      </c>
      <c r="Q657" s="2">
        <v>45966</v>
      </c>
      <c r="R657" s="1" t="s">
        <v>1936</v>
      </c>
      <c r="V657" s="46">
        <f>IF(
  OR(
    ISNUMBER(SEARCH("unable to locate acct", tblDocketedComments[[#This Row],[Docketed Consumer Comments]])),
    ISNUMBER(SEARCH("unknown", tblDocketedComments[[#This Row],[Docketed Consumer Comments]])),
    ISNUMBER(SEARCH("inactive", tblDocketedComments[[#This Row],[Docketed Consumer Comments]]))
  ),
  0,
  1
)</f>
        <v>1</v>
      </c>
    </row>
    <row r="658" spans="1:22">
      <c r="A658" s="2">
        <v>45905</v>
      </c>
      <c r="B658" s="1" t="s">
        <v>1937</v>
      </c>
      <c r="C658" s="1" t="s">
        <v>194</v>
      </c>
      <c r="D658" s="1" t="s">
        <v>63</v>
      </c>
      <c r="E658" s="1">
        <v>85023</v>
      </c>
      <c r="F658" s="1" t="s">
        <v>1938</v>
      </c>
      <c r="G658" s="1" t="s">
        <v>1723</v>
      </c>
      <c r="H658" s="4" t="s">
        <v>1939</v>
      </c>
      <c r="I658" s="5" t="s">
        <v>243</v>
      </c>
      <c r="J658" s="5" t="s">
        <v>37</v>
      </c>
      <c r="K658" s="5" t="s">
        <v>37</v>
      </c>
      <c r="L658" s="5" t="s">
        <v>389</v>
      </c>
      <c r="M658" s="5" t="s">
        <v>37</v>
      </c>
      <c r="N658" s="5" t="s">
        <v>37</v>
      </c>
      <c r="O658" s="5" t="s">
        <v>38</v>
      </c>
      <c r="P658" s="5" t="s">
        <v>39</v>
      </c>
      <c r="Q658" s="2">
        <v>45966</v>
      </c>
      <c r="V658" s="46">
        <f>IF(
  OR(
    ISNUMBER(SEARCH("unable to locate acct", tblDocketedComments[[#This Row],[Docketed Consumer Comments]])),
    ISNUMBER(SEARCH("unknown", tblDocketedComments[[#This Row],[Docketed Consumer Comments]])),
    ISNUMBER(SEARCH("inactive", tblDocketedComments[[#This Row],[Docketed Consumer Comments]]))
  ),
  0,
  1
)</f>
        <v>1</v>
      </c>
    </row>
    <row r="659" spans="1:22">
      <c r="A659" s="2">
        <v>45905</v>
      </c>
      <c r="B659" s="1" t="s">
        <v>1940</v>
      </c>
      <c r="C659" s="1" t="s">
        <v>1941</v>
      </c>
      <c r="D659" s="1" t="s">
        <v>63</v>
      </c>
      <c r="E659" s="1">
        <v>85020</v>
      </c>
      <c r="F659" s="1" t="s">
        <v>310</v>
      </c>
      <c r="G659" s="1" t="s">
        <v>1723</v>
      </c>
      <c r="H659" s="4" t="s">
        <v>1942</v>
      </c>
      <c r="I659" s="5" t="s">
        <v>196</v>
      </c>
      <c r="J659" s="5" t="s">
        <v>37</v>
      </c>
      <c r="K659" s="5" t="s">
        <v>37</v>
      </c>
      <c r="L659" s="7" t="s">
        <v>1943</v>
      </c>
      <c r="M659" s="5" t="s">
        <v>37</v>
      </c>
      <c r="N659" s="5" t="s">
        <v>37</v>
      </c>
      <c r="O659" s="5" t="s">
        <v>38</v>
      </c>
      <c r="P659" s="5" t="s">
        <v>39</v>
      </c>
      <c r="Q659" s="2">
        <v>45966</v>
      </c>
      <c r="R659" s="1" t="s">
        <v>1944</v>
      </c>
      <c r="V659" s="46">
        <f>IF(
  OR(
    ISNUMBER(SEARCH("unable to locate acct", tblDocketedComments[[#This Row],[Docketed Consumer Comments]])),
    ISNUMBER(SEARCH("unknown", tblDocketedComments[[#This Row],[Docketed Consumer Comments]])),
    ISNUMBER(SEARCH("inactive", tblDocketedComments[[#This Row],[Docketed Consumer Comments]]))
  ),
  0,
  1
)</f>
        <v>1</v>
      </c>
    </row>
    <row r="660" spans="1:22">
      <c r="A660" s="2">
        <v>45905</v>
      </c>
      <c r="B660" s="1" t="s">
        <v>1945</v>
      </c>
      <c r="C660" s="1" t="s">
        <v>284</v>
      </c>
      <c r="D660" s="1" t="s">
        <v>169</v>
      </c>
      <c r="E660" s="1">
        <v>85395</v>
      </c>
      <c r="F660" s="1" t="s">
        <v>31</v>
      </c>
      <c r="G660" s="1" t="s">
        <v>1723</v>
      </c>
      <c r="H660" s="4" t="s">
        <v>1946</v>
      </c>
      <c r="I660" s="5" t="s">
        <v>126</v>
      </c>
      <c r="J660" s="5" t="s">
        <v>37</v>
      </c>
      <c r="K660" s="5" t="s">
        <v>37</v>
      </c>
      <c r="L660" s="5" t="s">
        <v>38</v>
      </c>
      <c r="M660" s="5" t="s">
        <v>37</v>
      </c>
      <c r="N660" s="5" t="s">
        <v>37</v>
      </c>
      <c r="O660" s="5" t="s">
        <v>38</v>
      </c>
      <c r="P660" s="5" t="s">
        <v>39</v>
      </c>
      <c r="Q660" s="2">
        <v>45966</v>
      </c>
      <c r="V660" s="46">
        <f>IF(
  OR(
    ISNUMBER(SEARCH("unable to locate acct", tblDocketedComments[[#This Row],[Docketed Consumer Comments]])),
    ISNUMBER(SEARCH("unknown", tblDocketedComments[[#This Row],[Docketed Consumer Comments]])),
    ISNUMBER(SEARCH("inactive", tblDocketedComments[[#This Row],[Docketed Consumer Comments]]))
  ),
  0,
  1
)</f>
        <v>1</v>
      </c>
    </row>
    <row r="661" spans="1:22">
      <c r="A661" s="2">
        <v>45905</v>
      </c>
      <c r="B661" s="1" t="s">
        <v>1947</v>
      </c>
      <c r="C661" s="1" t="s">
        <v>145</v>
      </c>
      <c r="D661" s="1" t="s">
        <v>1615</v>
      </c>
      <c r="E661" s="1">
        <v>85131</v>
      </c>
      <c r="F661" s="1" t="s">
        <v>310</v>
      </c>
      <c r="G661" s="1" t="s">
        <v>1723</v>
      </c>
      <c r="H661" s="4" t="s">
        <v>1948</v>
      </c>
      <c r="I661" s="5" t="s">
        <v>541</v>
      </c>
      <c r="J661" s="5" t="s">
        <v>37</v>
      </c>
      <c r="K661" s="5" t="s">
        <v>37</v>
      </c>
      <c r="L661" s="5" t="s">
        <v>389</v>
      </c>
      <c r="M661" s="5" t="s">
        <v>37</v>
      </c>
      <c r="N661" s="5" t="s">
        <v>37</v>
      </c>
      <c r="O661" s="5" t="s">
        <v>38</v>
      </c>
      <c r="P661" s="5" t="s">
        <v>39</v>
      </c>
      <c r="Q661" s="2">
        <v>45966</v>
      </c>
      <c r="V661" s="46">
        <f>IF(
  OR(
    ISNUMBER(SEARCH("unable to locate acct", tblDocketedComments[[#This Row],[Docketed Consumer Comments]])),
    ISNUMBER(SEARCH("unknown", tblDocketedComments[[#This Row],[Docketed Consumer Comments]])),
    ISNUMBER(SEARCH("inactive", tblDocketedComments[[#This Row],[Docketed Consumer Comments]]))
  ),
  0,
  1
)</f>
        <v>1</v>
      </c>
    </row>
    <row r="662" spans="1:22">
      <c r="A662" s="2">
        <v>45905</v>
      </c>
      <c r="B662" s="1" t="s">
        <v>1949</v>
      </c>
      <c r="C662" s="1" t="s">
        <v>1950</v>
      </c>
      <c r="D662" s="1" t="s">
        <v>125</v>
      </c>
      <c r="E662" s="1">
        <v>85254</v>
      </c>
      <c r="F662" s="1" t="s">
        <v>310</v>
      </c>
      <c r="G662" s="1" t="s">
        <v>1723</v>
      </c>
      <c r="H662" s="4" t="s">
        <v>1951</v>
      </c>
      <c r="I662" s="5" t="s">
        <v>36</v>
      </c>
      <c r="J662" s="5" t="s">
        <v>37</v>
      </c>
      <c r="K662" s="5" t="s">
        <v>37</v>
      </c>
      <c r="L662" s="5" t="s">
        <v>38</v>
      </c>
      <c r="M662" s="5" t="s">
        <v>37</v>
      </c>
      <c r="N662" s="5" t="s">
        <v>37</v>
      </c>
      <c r="O662" s="5" t="s">
        <v>38</v>
      </c>
      <c r="P662" s="5" t="s">
        <v>39</v>
      </c>
      <c r="Q662" s="2">
        <v>45966</v>
      </c>
      <c r="V662" s="46">
        <f>IF(
  OR(
    ISNUMBER(SEARCH("unable to locate acct", tblDocketedComments[[#This Row],[Docketed Consumer Comments]])),
    ISNUMBER(SEARCH("unknown", tblDocketedComments[[#This Row],[Docketed Consumer Comments]])),
    ISNUMBER(SEARCH("inactive", tblDocketedComments[[#This Row],[Docketed Consumer Comments]]))
  ),
  0,
  1
)</f>
        <v>1</v>
      </c>
    </row>
    <row r="663" spans="1:22">
      <c r="A663" s="2">
        <v>45905</v>
      </c>
      <c r="B663" s="1" t="s">
        <v>1952</v>
      </c>
      <c r="C663" s="1" t="s">
        <v>1953</v>
      </c>
      <c r="D663" s="1" t="s">
        <v>63</v>
      </c>
      <c r="E663" s="1">
        <v>85022</v>
      </c>
      <c r="F663" s="1" t="s">
        <v>31</v>
      </c>
      <c r="G663" s="1" t="s">
        <v>1723</v>
      </c>
      <c r="H663" s="4" t="s">
        <v>1954</v>
      </c>
      <c r="I663" s="5" t="s">
        <v>36</v>
      </c>
      <c r="J663" s="5" t="s">
        <v>37</v>
      </c>
      <c r="K663" s="5" t="s">
        <v>37</v>
      </c>
      <c r="L663" s="5" t="s">
        <v>38</v>
      </c>
      <c r="M663" s="5" t="s">
        <v>37</v>
      </c>
      <c r="N663" s="5" t="s">
        <v>37</v>
      </c>
      <c r="O663" s="5" t="s">
        <v>38</v>
      </c>
      <c r="P663" s="5" t="s">
        <v>39</v>
      </c>
      <c r="Q663" s="2">
        <v>45966</v>
      </c>
      <c r="V663" s="46">
        <f>IF(
  OR(
    ISNUMBER(SEARCH("unable to locate acct", tblDocketedComments[[#This Row],[Docketed Consumer Comments]])),
    ISNUMBER(SEARCH("unknown", tblDocketedComments[[#This Row],[Docketed Consumer Comments]])),
    ISNUMBER(SEARCH("inactive", tblDocketedComments[[#This Row],[Docketed Consumer Comments]]))
  ),
  0,
  1
)</f>
        <v>1</v>
      </c>
    </row>
    <row r="664" spans="1:22">
      <c r="A664" s="2">
        <v>45905</v>
      </c>
      <c r="B664" s="1" t="s">
        <v>1955</v>
      </c>
      <c r="C664" s="1" t="s">
        <v>1956</v>
      </c>
      <c r="D664" s="1" t="s">
        <v>169</v>
      </c>
      <c r="E664" s="1">
        <v>85338</v>
      </c>
      <c r="F664" s="1" t="s">
        <v>1957</v>
      </c>
      <c r="G664" s="1" t="s">
        <v>1723</v>
      </c>
      <c r="H664" s="4" t="s">
        <v>1958</v>
      </c>
      <c r="I664" s="5" t="s">
        <v>36</v>
      </c>
      <c r="J664" s="5" t="s">
        <v>37</v>
      </c>
      <c r="K664" s="5" t="s">
        <v>37</v>
      </c>
      <c r="L664" s="5" t="s">
        <v>38</v>
      </c>
      <c r="M664" s="5" t="s">
        <v>37</v>
      </c>
      <c r="N664" s="5" t="s">
        <v>37</v>
      </c>
      <c r="O664" s="5" t="s">
        <v>38</v>
      </c>
      <c r="P664" s="5" t="s">
        <v>39</v>
      </c>
      <c r="Q664" s="2">
        <v>45966</v>
      </c>
      <c r="V664" s="46">
        <f>IF(
  OR(
    ISNUMBER(SEARCH("unable to locate acct", tblDocketedComments[[#This Row],[Docketed Consumer Comments]])),
    ISNUMBER(SEARCH("unknown", tblDocketedComments[[#This Row],[Docketed Consumer Comments]])),
    ISNUMBER(SEARCH("inactive", tblDocketedComments[[#This Row],[Docketed Consumer Comments]]))
  ),
  0,
  1
)</f>
        <v>1</v>
      </c>
    </row>
    <row r="665" spans="1:22">
      <c r="A665" s="2">
        <v>45905</v>
      </c>
      <c r="B665" s="1" t="s">
        <v>1959</v>
      </c>
      <c r="C665" s="1" t="s">
        <v>206</v>
      </c>
      <c r="D665" s="1" t="s">
        <v>169</v>
      </c>
      <c r="E665" s="1">
        <v>85395</v>
      </c>
      <c r="F665" s="1" t="s">
        <v>1960</v>
      </c>
      <c r="G665" s="1" t="s">
        <v>1723</v>
      </c>
      <c r="H665" s="4" t="s">
        <v>1961</v>
      </c>
      <c r="I665" s="5" t="s">
        <v>36</v>
      </c>
      <c r="J665" s="5" t="s">
        <v>37</v>
      </c>
      <c r="K665" s="5" t="s">
        <v>37</v>
      </c>
      <c r="L665" s="5" t="s">
        <v>38</v>
      </c>
      <c r="M665" s="5" t="s">
        <v>37</v>
      </c>
      <c r="N665" s="5" t="s">
        <v>37</v>
      </c>
      <c r="O665" s="5" t="s">
        <v>38</v>
      </c>
      <c r="P665" s="5" t="s">
        <v>39</v>
      </c>
      <c r="Q665" s="2">
        <v>45966</v>
      </c>
      <c r="V665" s="46">
        <f>IF(
  OR(
    ISNUMBER(SEARCH("unable to locate acct", tblDocketedComments[[#This Row],[Docketed Consumer Comments]])),
    ISNUMBER(SEARCH("unknown", tblDocketedComments[[#This Row],[Docketed Consumer Comments]])),
    ISNUMBER(SEARCH("inactive", tblDocketedComments[[#This Row],[Docketed Consumer Comments]]))
  ),
  0,
  1
)</f>
        <v>1</v>
      </c>
    </row>
    <row r="666" spans="1:22">
      <c r="A666" s="2">
        <v>45905</v>
      </c>
      <c r="B666" s="1" t="s">
        <v>747</v>
      </c>
      <c r="C666" s="1" t="s">
        <v>1962</v>
      </c>
      <c r="D666" s="1" t="s">
        <v>63</v>
      </c>
      <c r="E666" s="1">
        <v>85027</v>
      </c>
      <c r="F666" s="1" t="s">
        <v>1957</v>
      </c>
      <c r="G666" s="1" t="s">
        <v>1723</v>
      </c>
      <c r="H666" s="4" t="s">
        <v>1963</v>
      </c>
      <c r="I666" s="5" t="s">
        <v>126</v>
      </c>
      <c r="J666" s="5" t="s">
        <v>38</v>
      </c>
      <c r="K666" s="5" t="s">
        <v>37</v>
      </c>
      <c r="L666" s="5" t="s">
        <v>38</v>
      </c>
      <c r="M666" s="5" t="s">
        <v>38</v>
      </c>
      <c r="N666" s="15">
        <v>349.29</v>
      </c>
      <c r="O666" s="5" t="s">
        <v>38</v>
      </c>
      <c r="P666" s="5" t="s">
        <v>39</v>
      </c>
      <c r="Q666" s="2">
        <v>45966</v>
      </c>
      <c r="R666" s="1" t="s">
        <v>495</v>
      </c>
      <c r="V666" s="46">
        <f>IF(
  OR(
    ISNUMBER(SEARCH("unable to locate acct", tblDocketedComments[[#This Row],[Docketed Consumer Comments]])),
    ISNUMBER(SEARCH("unknown", tblDocketedComments[[#This Row],[Docketed Consumer Comments]])),
    ISNUMBER(SEARCH("inactive", tblDocketedComments[[#This Row],[Docketed Consumer Comments]]))
  ),
  0,
  1
)</f>
        <v>1</v>
      </c>
    </row>
    <row r="667" spans="1:22">
      <c r="A667" s="2">
        <v>45905</v>
      </c>
      <c r="B667" s="1" t="s">
        <v>49</v>
      </c>
      <c r="C667" s="1" t="s">
        <v>624</v>
      </c>
      <c r="D667" s="1" t="s">
        <v>63</v>
      </c>
      <c r="E667" s="1">
        <v>85027</v>
      </c>
      <c r="F667" s="1" t="s">
        <v>31</v>
      </c>
      <c r="G667" s="1" t="s">
        <v>1723</v>
      </c>
      <c r="H667" s="4" t="s">
        <v>1964</v>
      </c>
      <c r="I667" s="5" t="s">
        <v>73</v>
      </c>
      <c r="J667" s="5" t="s">
        <v>37</v>
      </c>
      <c r="K667" s="5" t="s">
        <v>37</v>
      </c>
      <c r="L667" s="5" t="s">
        <v>38</v>
      </c>
      <c r="M667" s="5" t="s">
        <v>37</v>
      </c>
      <c r="N667" s="5" t="s">
        <v>37</v>
      </c>
      <c r="O667" s="5" t="s">
        <v>38</v>
      </c>
      <c r="P667" s="5" t="s">
        <v>39</v>
      </c>
      <c r="Q667" s="2">
        <v>45966</v>
      </c>
      <c r="V667" s="46">
        <f>IF(
  OR(
    ISNUMBER(SEARCH("unable to locate acct", tblDocketedComments[[#This Row],[Docketed Consumer Comments]])),
    ISNUMBER(SEARCH("unknown", tblDocketedComments[[#This Row],[Docketed Consumer Comments]])),
    ISNUMBER(SEARCH("inactive", tblDocketedComments[[#This Row],[Docketed Consumer Comments]]))
  ),
  0,
  1
)</f>
        <v>1</v>
      </c>
    </row>
    <row r="668" spans="1:22">
      <c r="A668" s="2">
        <v>45905</v>
      </c>
      <c r="B668" s="1" t="s">
        <v>1134</v>
      </c>
      <c r="C668" s="1" t="s">
        <v>1013</v>
      </c>
      <c r="D668" s="1" t="s">
        <v>202</v>
      </c>
      <c r="E668" s="1">
        <v>85383</v>
      </c>
      <c r="F668" s="1" t="s">
        <v>1965</v>
      </c>
      <c r="G668" s="1" t="s">
        <v>1723</v>
      </c>
      <c r="H668" s="4" t="s">
        <v>209</v>
      </c>
      <c r="V668" s="46">
        <f>IF(
  OR(
    ISNUMBER(SEARCH("unable to locate acct", tblDocketedComments[[#This Row],[Docketed Consumer Comments]])),
    ISNUMBER(SEARCH("unknown", tblDocketedComments[[#This Row],[Docketed Consumer Comments]])),
    ISNUMBER(SEARCH("inactive", tblDocketedComments[[#This Row],[Docketed Consumer Comments]]))
  ),
  0,
  1
)</f>
        <v>1</v>
      </c>
    </row>
    <row r="669" spans="1:22">
      <c r="A669" s="2">
        <v>45905</v>
      </c>
      <c r="B669" s="1" t="s">
        <v>1208</v>
      </c>
      <c r="C669" s="1" t="s">
        <v>1209</v>
      </c>
      <c r="D669" s="1" t="s">
        <v>202</v>
      </c>
      <c r="E669" s="1">
        <v>85383</v>
      </c>
      <c r="F669" s="1" t="s">
        <v>1966</v>
      </c>
      <c r="G669" s="1" t="s">
        <v>1723</v>
      </c>
      <c r="H669" s="4" t="s">
        <v>90</v>
      </c>
      <c r="V669" s="46">
        <f>IF(
  OR(
    ISNUMBER(SEARCH("unable to locate acct", tblDocketedComments[[#This Row],[Docketed Consumer Comments]])),
    ISNUMBER(SEARCH("unknown", tblDocketedComments[[#This Row],[Docketed Consumer Comments]])),
    ISNUMBER(SEARCH("inactive", tblDocketedComments[[#This Row],[Docketed Consumer Comments]]))
  ),
  0,
  1
)</f>
        <v>1</v>
      </c>
    </row>
    <row r="670" spans="1:22">
      <c r="A670" s="2">
        <v>45905</v>
      </c>
      <c r="B670" s="1" t="s">
        <v>1967</v>
      </c>
      <c r="C670" s="1" t="s">
        <v>1968</v>
      </c>
      <c r="D670" s="1" t="s">
        <v>174</v>
      </c>
      <c r="E670" s="1">
        <v>85396</v>
      </c>
      <c r="F670" s="1" t="s">
        <v>31</v>
      </c>
      <c r="G670" s="1" t="s">
        <v>1723</v>
      </c>
      <c r="H670" s="4" t="s">
        <v>1969</v>
      </c>
      <c r="I670" s="5" t="s">
        <v>196</v>
      </c>
      <c r="J670" s="5" t="s">
        <v>37</v>
      </c>
      <c r="K670" s="5" t="s">
        <v>37</v>
      </c>
      <c r="L670" s="5" t="s">
        <v>38</v>
      </c>
      <c r="M670" s="5" t="s">
        <v>37</v>
      </c>
      <c r="N670" s="5" t="s">
        <v>37</v>
      </c>
      <c r="O670" s="5" t="s">
        <v>38</v>
      </c>
      <c r="P670" s="5" t="s">
        <v>39</v>
      </c>
      <c r="Q670" s="2">
        <v>45966</v>
      </c>
      <c r="V670" s="46">
        <f>IF(
  OR(
    ISNUMBER(SEARCH("unable to locate acct", tblDocketedComments[[#This Row],[Docketed Consumer Comments]])),
    ISNUMBER(SEARCH("unknown", tblDocketedComments[[#This Row],[Docketed Consumer Comments]])),
    ISNUMBER(SEARCH("inactive", tblDocketedComments[[#This Row],[Docketed Consumer Comments]]))
  ),
  0,
  1
)</f>
        <v>1</v>
      </c>
    </row>
    <row r="671" spans="1:22">
      <c r="A671" s="2">
        <v>45905</v>
      </c>
      <c r="B671" s="1" t="s">
        <v>1970</v>
      </c>
      <c r="C671" s="1" t="s">
        <v>1971</v>
      </c>
      <c r="D671" s="1" t="s">
        <v>63</v>
      </c>
      <c r="E671" s="1">
        <v>85083</v>
      </c>
      <c r="F671" s="1" t="s">
        <v>310</v>
      </c>
      <c r="G671" s="1" t="s">
        <v>1723</v>
      </c>
      <c r="H671" s="4" t="s">
        <v>1972</v>
      </c>
      <c r="I671" s="5" t="s">
        <v>46</v>
      </c>
      <c r="J671" s="5" t="s">
        <v>37</v>
      </c>
      <c r="K671" s="5" t="s">
        <v>37</v>
      </c>
      <c r="L671" s="5" t="s">
        <v>38</v>
      </c>
      <c r="M671" s="5" t="s">
        <v>37</v>
      </c>
      <c r="N671" s="5" t="s">
        <v>37</v>
      </c>
      <c r="O671" s="5" t="s">
        <v>38</v>
      </c>
      <c r="P671" s="5" t="s">
        <v>39</v>
      </c>
      <c r="Q671" s="2">
        <v>45966</v>
      </c>
      <c r="V671" s="46">
        <f>IF(
  OR(
    ISNUMBER(SEARCH("unable to locate acct", tblDocketedComments[[#This Row],[Docketed Consumer Comments]])),
    ISNUMBER(SEARCH("unknown", tblDocketedComments[[#This Row],[Docketed Consumer Comments]])),
    ISNUMBER(SEARCH("inactive", tblDocketedComments[[#This Row],[Docketed Consumer Comments]]))
  ),
  0,
  1
)</f>
        <v>1</v>
      </c>
    </row>
    <row r="672" spans="1:22">
      <c r="A672" s="2">
        <v>45905</v>
      </c>
      <c r="B672" s="1" t="s">
        <v>1973</v>
      </c>
      <c r="C672" s="1" t="s">
        <v>597</v>
      </c>
      <c r="D672" s="1" t="s">
        <v>63</v>
      </c>
      <c r="E672" s="1">
        <v>85083</v>
      </c>
      <c r="F672" s="1" t="s">
        <v>31</v>
      </c>
      <c r="G672" s="1" t="s">
        <v>1723</v>
      </c>
      <c r="H672" s="4" t="s">
        <v>1974</v>
      </c>
      <c r="I672" s="5" t="s">
        <v>36</v>
      </c>
      <c r="J672" s="5" t="s">
        <v>37</v>
      </c>
      <c r="K672" s="5" t="s">
        <v>37</v>
      </c>
      <c r="L672" s="7" t="s">
        <v>1975</v>
      </c>
      <c r="M672" s="5" t="s">
        <v>37</v>
      </c>
      <c r="N672" s="5" t="s">
        <v>37</v>
      </c>
      <c r="O672" s="5" t="s">
        <v>38</v>
      </c>
      <c r="P672" s="5" t="s">
        <v>39</v>
      </c>
      <c r="Q672" s="2">
        <v>45966</v>
      </c>
      <c r="R672" s="1" t="s">
        <v>1976</v>
      </c>
      <c r="V672" s="46">
        <f>IF(
  OR(
    ISNUMBER(SEARCH("unable to locate acct", tblDocketedComments[[#This Row],[Docketed Consumer Comments]])),
    ISNUMBER(SEARCH("unknown", tblDocketedComments[[#This Row],[Docketed Consumer Comments]])),
    ISNUMBER(SEARCH("inactive", tblDocketedComments[[#This Row],[Docketed Consumer Comments]]))
  ),
  0,
  1
)</f>
        <v>1</v>
      </c>
    </row>
    <row r="673" spans="1:22">
      <c r="A673" s="2">
        <v>45905</v>
      </c>
      <c r="B673" s="1" t="s">
        <v>1977</v>
      </c>
      <c r="C673" s="1" t="s">
        <v>1824</v>
      </c>
      <c r="D673" s="1" t="s">
        <v>63</v>
      </c>
      <c r="E673" s="1">
        <v>85028</v>
      </c>
      <c r="F673" s="1" t="s">
        <v>1978</v>
      </c>
      <c r="G673" s="1" t="s">
        <v>1723</v>
      </c>
      <c r="H673" s="4" t="s">
        <v>1979</v>
      </c>
      <c r="I673" s="5" t="s">
        <v>126</v>
      </c>
      <c r="J673" s="5" t="s">
        <v>37</v>
      </c>
      <c r="K673" s="5" t="s">
        <v>37</v>
      </c>
      <c r="L673" s="5" t="s">
        <v>38</v>
      </c>
      <c r="M673" s="5" t="s">
        <v>37</v>
      </c>
      <c r="N673" s="5" t="s">
        <v>37</v>
      </c>
      <c r="O673" s="5" t="s">
        <v>38</v>
      </c>
      <c r="P673" s="5" t="s">
        <v>39</v>
      </c>
      <c r="Q673" s="2">
        <v>45966</v>
      </c>
      <c r="V673" s="46">
        <f>IF(
  OR(
    ISNUMBER(SEARCH("unable to locate acct", tblDocketedComments[[#This Row],[Docketed Consumer Comments]])),
    ISNUMBER(SEARCH("unknown", tblDocketedComments[[#This Row],[Docketed Consumer Comments]])),
    ISNUMBER(SEARCH("inactive", tblDocketedComments[[#This Row],[Docketed Consumer Comments]]))
  ),
  0,
  1
)</f>
        <v>1</v>
      </c>
    </row>
    <row r="674" spans="1:22">
      <c r="A674" s="2">
        <v>45905</v>
      </c>
      <c r="B674" s="1" t="s">
        <v>424</v>
      </c>
      <c r="C674" s="1" t="s">
        <v>497</v>
      </c>
      <c r="D674" s="1" t="s">
        <v>63</v>
      </c>
      <c r="E674" s="1">
        <v>85022</v>
      </c>
      <c r="F674" s="1" t="s">
        <v>1980</v>
      </c>
      <c r="G674" s="1" t="s">
        <v>1723</v>
      </c>
      <c r="H674" s="4" t="s">
        <v>1981</v>
      </c>
      <c r="I674" s="5" t="s">
        <v>196</v>
      </c>
      <c r="J674" s="5" t="s">
        <v>37</v>
      </c>
      <c r="K674" s="5" t="s">
        <v>37</v>
      </c>
      <c r="L674" s="7" t="s">
        <v>1982</v>
      </c>
      <c r="M674" s="5" t="s">
        <v>37</v>
      </c>
      <c r="N674" s="5" t="s">
        <v>37</v>
      </c>
      <c r="O674" s="5" t="s">
        <v>38</v>
      </c>
      <c r="P674" s="2">
        <v>45936</v>
      </c>
      <c r="Q674" s="2">
        <v>45966</v>
      </c>
      <c r="R674" s="1" t="s">
        <v>1983</v>
      </c>
      <c r="V674" s="46">
        <f>IF(
  OR(
    ISNUMBER(SEARCH("unable to locate acct", tblDocketedComments[[#This Row],[Docketed Consumer Comments]])),
    ISNUMBER(SEARCH("unknown", tblDocketedComments[[#This Row],[Docketed Consumer Comments]])),
    ISNUMBER(SEARCH("inactive", tblDocketedComments[[#This Row],[Docketed Consumer Comments]]))
  ),
  0,
  1
)</f>
        <v>1</v>
      </c>
    </row>
    <row r="675" spans="1:22">
      <c r="A675" s="2">
        <v>45905</v>
      </c>
      <c r="B675" s="1" t="s">
        <v>1984</v>
      </c>
      <c r="C675" s="1" t="s">
        <v>1985</v>
      </c>
      <c r="D675" s="1" t="s">
        <v>202</v>
      </c>
      <c r="E675" s="1">
        <v>85383</v>
      </c>
      <c r="F675" s="1" t="s">
        <v>310</v>
      </c>
      <c r="G675" s="1" t="s">
        <v>1723</v>
      </c>
      <c r="H675" s="4" t="s">
        <v>27</v>
      </c>
      <c r="V675" s="46">
        <f>IF(
  OR(
    ISNUMBER(SEARCH("unable to locate acct", tblDocketedComments[[#This Row],[Docketed Consumer Comments]])),
    ISNUMBER(SEARCH("unknown", tblDocketedComments[[#This Row],[Docketed Consumer Comments]])),
    ISNUMBER(SEARCH("inactive", tblDocketedComments[[#This Row],[Docketed Consumer Comments]]))
  ),
  0,
  1
)</f>
        <v>1</v>
      </c>
    </row>
    <row r="676" spans="1:22">
      <c r="A676" s="2">
        <v>45905</v>
      </c>
      <c r="B676" s="1" t="s">
        <v>1986</v>
      </c>
      <c r="C676" s="1" t="s">
        <v>1987</v>
      </c>
      <c r="D676" s="1" t="s">
        <v>202</v>
      </c>
      <c r="E676" s="1">
        <v>85383</v>
      </c>
      <c r="F676" s="1" t="s">
        <v>310</v>
      </c>
      <c r="G676" s="1" t="s">
        <v>1723</v>
      </c>
      <c r="H676" s="4" t="s">
        <v>1988</v>
      </c>
      <c r="I676" s="5" t="s">
        <v>418</v>
      </c>
      <c r="J676" s="5" t="s">
        <v>37</v>
      </c>
      <c r="K676" s="5" t="s">
        <v>37</v>
      </c>
      <c r="L676" s="5" t="s">
        <v>389</v>
      </c>
      <c r="M676" s="5" t="s">
        <v>37</v>
      </c>
      <c r="N676" s="5" t="s">
        <v>37</v>
      </c>
      <c r="O676" s="5" t="s">
        <v>38</v>
      </c>
      <c r="P676" s="5" t="s">
        <v>39</v>
      </c>
      <c r="Q676" s="2">
        <v>45966</v>
      </c>
      <c r="V676" s="46">
        <f>IF(
  OR(
    ISNUMBER(SEARCH("unable to locate acct", tblDocketedComments[[#This Row],[Docketed Consumer Comments]])),
    ISNUMBER(SEARCH("unknown", tblDocketedComments[[#This Row],[Docketed Consumer Comments]])),
    ISNUMBER(SEARCH("inactive", tblDocketedComments[[#This Row],[Docketed Consumer Comments]]))
  ),
  0,
  1
)</f>
        <v>1</v>
      </c>
    </row>
    <row r="677" spans="1:22">
      <c r="A677" s="2">
        <v>45905</v>
      </c>
      <c r="B677" s="1" t="s">
        <v>1989</v>
      </c>
      <c r="C677" s="1" t="s">
        <v>1127</v>
      </c>
      <c r="D677" s="1" t="s">
        <v>112</v>
      </c>
      <c r="E677" s="1">
        <v>85388</v>
      </c>
      <c r="F677" s="1" t="s">
        <v>1990</v>
      </c>
      <c r="G677" s="1" t="s">
        <v>1723</v>
      </c>
      <c r="H677" s="4" t="s">
        <v>1991</v>
      </c>
      <c r="I677" s="5" t="s">
        <v>196</v>
      </c>
      <c r="J677" s="5" t="s">
        <v>37</v>
      </c>
      <c r="K677" s="5" t="s">
        <v>37</v>
      </c>
      <c r="L677" s="7" t="s">
        <v>1992</v>
      </c>
      <c r="M677" s="5" t="s">
        <v>37</v>
      </c>
      <c r="N677" s="5" t="s">
        <v>37</v>
      </c>
      <c r="O677" s="5" t="s">
        <v>38</v>
      </c>
      <c r="P677" s="2">
        <v>45936</v>
      </c>
      <c r="Q677" s="2">
        <v>45966</v>
      </c>
      <c r="R677" s="23" t="s">
        <v>1993</v>
      </c>
      <c r="V677" s="46">
        <f>IF(
  OR(
    ISNUMBER(SEARCH("unable to locate acct", tblDocketedComments[[#This Row],[Docketed Consumer Comments]])),
    ISNUMBER(SEARCH("unknown", tblDocketedComments[[#This Row],[Docketed Consumer Comments]])),
    ISNUMBER(SEARCH("inactive", tblDocketedComments[[#This Row],[Docketed Consumer Comments]]))
  ),
  0,
  1
)</f>
        <v>1</v>
      </c>
    </row>
    <row r="678" spans="1:22">
      <c r="A678" s="2">
        <v>45905</v>
      </c>
      <c r="B678" s="1" t="s">
        <v>1994</v>
      </c>
      <c r="C678" s="1" t="s">
        <v>1995</v>
      </c>
      <c r="D678" s="1" t="s">
        <v>63</v>
      </c>
      <c r="E678" s="1">
        <v>85021</v>
      </c>
      <c r="F678" s="1" t="s">
        <v>1996</v>
      </c>
      <c r="G678" s="1" t="s">
        <v>1723</v>
      </c>
      <c r="H678" s="4" t="s">
        <v>1997</v>
      </c>
      <c r="I678" s="5" t="s">
        <v>46</v>
      </c>
      <c r="J678" s="5" t="s">
        <v>37</v>
      </c>
      <c r="K678" s="5" t="s">
        <v>37</v>
      </c>
      <c r="L678" s="5" t="s">
        <v>38</v>
      </c>
      <c r="M678" s="5" t="s">
        <v>37</v>
      </c>
      <c r="N678" s="5" t="s">
        <v>37</v>
      </c>
      <c r="O678" s="5" t="s">
        <v>38</v>
      </c>
      <c r="P678" s="5" t="s">
        <v>39</v>
      </c>
      <c r="Q678" s="2">
        <v>45966</v>
      </c>
      <c r="V678" s="46">
        <f>IF(
  OR(
    ISNUMBER(SEARCH("unable to locate acct", tblDocketedComments[[#This Row],[Docketed Consumer Comments]])),
    ISNUMBER(SEARCH("unknown", tblDocketedComments[[#This Row],[Docketed Consumer Comments]])),
    ISNUMBER(SEARCH("inactive", tblDocketedComments[[#This Row],[Docketed Consumer Comments]]))
  ),
  0,
  1
)</f>
        <v>1</v>
      </c>
    </row>
    <row r="679" spans="1:22">
      <c r="A679" s="2">
        <v>45905</v>
      </c>
      <c r="B679" s="1" t="s">
        <v>1998</v>
      </c>
      <c r="C679" s="1" t="s">
        <v>312</v>
      </c>
      <c r="D679" s="1" t="s">
        <v>125</v>
      </c>
      <c r="E679" s="1">
        <v>85255</v>
      </c>
      <c r="F679" s="1" t="s">
        <v>310</v>
      </c>
      <c r="G679" s="1" t="s">
        <v>1723</v>
      </c>
      <c r="H679" s="4" t="s">
        <v>1999</v>
      </c>
      <c r="I679" s="5" t="s">
        <v>196</v>
      </c>
      <c r="J679" s="5" t="s">
        <v>37</v>
      </c>
      <c r="K679" s="5" t="s">
        <v>37</v>
      </c>
      <c r="L679" s="7" t="s">
        <v>2000</v>
      </c>
      <c r="M679" s="5" t="s">
        <v>37</v>
      </c>
      <c r="N679" s="5" t="s">
        <v>37</v>
      </c>
      <c r="O679" s="5" t="s">
        <v>38</v>
      </c>
      <c r="P679" s="2">
        <v>45936</v>
      </c>
      <c r="Q679" s="2">
        <v>45966</v>
      </c>
      <c r="R679" s="1" t="s">
        <v>2001</v>
      </c>
      <c r="V679" s="46">
        <f>IF(
  OR(
    ISNUMBER(SEARCH("unable to locate acct", tblDocketedComments[[#This Row],[Docketed Consumer Comments]])),
    ISNUMBER(SEARCH("unknown", tblDocketedComments[[#This Row],[Docketed Consumer Comments]])),
    ISNUMBER(SEARCH("inactive", tblDocketedComments[[#This Row],[Docketed Consumer Comments]]))
  ),
  0,
  1
)</f>
        <v>1</v>
      </c>
    </row>
    <row r="680" spans="1:22">
      <c r="A680" s="2">
        <v>45905</v>
      </c>
      <c r="B680" s="1" t="s">
        <v>2002</v>
      </c>
      <c r="C680" s="1" t="s">
        <v>899</v>
      </c>
      <c r="D680" s="1" t="s">
        <v>63</v>
      </c>
      <c r="E680" s="1">
        <v>85016</v>
      </c>
      <c r="F680" s="1" t="s">
        <v>2003</v>
      </c>
      <c r="G680" s="1" t="s">
        <v>1723</v>
      </c>
      <c r="H680" s="4" t="s">
        <v>2004</v>
      </c>
      <c r="I680" s="5" t="s">
        <v>36</v>
      </c>
      <c r="J680" s="5" t="s">
        <v>37</v>
      </c>
      <c r="K680" s="5" t="s">
        <v>37</v>
      </c>
      <c r="L680" s="5" t="s">
        <v>38</v>
      </c>
      <c r="M680" s="5" t="s">
        <v>37</v>
      </c>
      <c r="N680" s="5" t="s">
        <v>37</v>
      </c>
      <c r="O680" s="5" t="s">
        <v>38</v>
      </c>
      <c r="P680" s="5" t="s">
        <v>39</v>
      </c>
      <c r="Q680" s="2">
        <v>45966</v>
      </c>
      <c r="V680" s="46">
        <f>IF(
  OR(
    ISNUMBER(SEARCH("unable to locate acct", tblDocketedComments[[#This Row],[Docketed Consumer Comments]])),
    ISNUMBER(SEARCH("unknown", tblDocketedComments[[#This Row],[Docketed Consumer Comments]])),
    ISNUMBER(SEARCH("inactive", tblDocketedComments[[#This Row],[Docketed Consumer Comments]]))
  ),
  0,
  1
)</f>
        <v>1</v>
      </c>
    </row>
    <row r="681" spans="1:22">
      <c r="A681" s="2">
        <v>45905</v>
      </c>
      <c r="B681" s="1" t="s">
        <v>2005</v>
      </c>
      <c r="C681" s="1" t="s">
        <v>2006</v>
      </c>
      <c r="D681" s="1" t="s">
        <v>202</v>
      </c>
      <c r="E681" s="1">
        <v>85383</v>
      </c>
      <c r="F681" s="1" t="s">
        <v>31</v>
      </c>
      <c r="G681" s="1" t="s">
        <v>1723</v>
      </c>
      <c r="H681" s="4" t="s">
        <v>2007</v>
      </c>
      <c r="I681" s="5" t="s">
        <v>196</v>
      </c>
      <c r="J681" s="5" t="s">
        <v>37</v>
      </c>
      <c r="K681" s="5" t="s">
        <v>37</v>
      </c>
      <c r="L681" s="7" t="s">
        <v>2008</v>
      </c>
      <c r="M681" s="5" t="s">
        <v>37</v>
      </c>
      <c r="N681" s="5" t="s">
        <v>37</v>
      </c>
      <c r="O681" s="5" t="s">
        <v>38</v>
      </c>
      <c r="P681" s="2">
        <v>45936</v>
      </c>
      <c r="Q681" s="2">
        <v>45966</v>
      </c>
      <c r="R681" s="1" t="s">
        <v>2009</v>
      </c>
      <c r="V681" s="46">
        <f>IF(
  OR(
    ISNUMBER(SEARCH("unable to locate acct", tblDocketedComments[[#This Row],[Docketed Consumer Comments]])),
    ISNUMBER(SEARCH("unknown", tblDocketedComments[[#This Row],[Docketed Consumer Comments]])),
    ISNUMBER(SEARCH("inactive", tblDocketedComments[[#This Row],[Docketed Consumer Comments]]))
  ),
  0,
  1
)</f>
        <v>1</v>
      </c>
    </row>
    <row r="682" spans="1:22">
      <c r="A682" s="2">
        <v>45905</v>
      </c>
      <c r="B682" s="1" t="s">
        <v>2010</v>
      </c>
      <c r="C682" s="1" t="s">
        <v>324</v>
      </c>
      <c r="D682" s="1" t="s">
        <v>63</v>
      </c>
      <c r="E682" s="1">
        <v>85003</v>
      </c>
      <c r="F682" s="1" t="s">
        <v>2011</v>
      </c>
      <c r="G682" s="1" t="s">
        <v>1723</v>
      </c>
      <c r="H682" s="4" t="s">
        <v>2012</v>
      </c>
      <c r="I682" s="5" t="s">
        <v>196</v>
      </c>
      <c r="J682" s="5" t="s">
        <v>38</v>
      </c>
      <c r="K682" s="5" t="s">
        <v>37</v>
      </c>
      <c r="L682" s="5" t="s">
        <v>2013</v>
      </c>
      <c r="M682" s="5" t="s">
        <v>37</v>
      </c>
      <c r="N682" s="5" t="s">
        <v>37</v>
      </c>
      <c r="O682" s="5" t="s">
        <v>38</v>
      </c>
      <c r="P682" s="5" t="s">
        <v>39</v>
      </c>
      <c r="Q682" s="2">
        <v>45966</v>
      </c>
      <c r="V682" s="46">
        <f>IF(
  OR(
    ISNUMBER(SEARCH("unable to locate acct", tblDocketedComments[[#This Row],[Docketed Consumer Comments]])),
    ISNUMBER(SEARCH("unknown", tblDocketedComments[[#This Row],[Docketed Consumer Comments]])),
    ISNUMBER(SEARCH("inactive", tblDocketedComments[[#This Row],[Docketed Consumer Comments]]))
  ),
  0,
  1
)</f>
        <v>1</v>
      </c>
    </row>
    <row r="683" spans="1:22">
      <c r="A683" s="2">
        <v>45905</v>
      </c>
      <c r="B683" s="1" t="s">
        <v>2014</v>
      </c>
      <c r="C683" s="1" t="s">
        <v>747</v>
      </c>
      <c r="D683" s="1" t="s">
        <v>202</v>
      </c>
      <c r="E683" s="1">
        <v>85383</v>
      </c>
      <c r="F683" s="1" t="s">
        <v>310</v>
      </c>
      <c r="G683" s="1" t="s">
        <v>1723</v>
      </c>
      <c r="H683" s="19" t="s">
        <v>2015</v>
      </c>
      <c r="I683" s="5" t="s">
        <v>46</v>
      </c>
      <c r="J683" s="5" t="s">
        <v>37</v>
      </c>
      <c r="K683" s="5" t="s">
        <v>37</v>
      </c>
      <c r="L683" s="5" t="s">
        <v>38</v>
      </c>
      <c r="M683" s="5" t="s">
        <v>37</v>
      </c>
      <c r="N683" s="5" t="s">
        <v>37</v>
      </c>
      <c r="O683" s="5" t="s">
        <v>38</v>
      </c>
      <c r="P683" s="5" t="s">
        <v>39</v>
      </c>
      <c r="Q683" s="2">
        <v>45966</v>
      </c>
      <c r="V683" s="46">
        <f>IF(
  OR(
    ISNUMBER(SEARCH("unable to locate acct", tblDocketedComments[[#This Row],[Docketed Consumer Comments]])),
    ISNUMBER(SEARCH("unknown", tblDocketedComments[[#This Row],[Docketed Consumer Comments]])),
    ISNUMBER(SEARCH("inactive", tblDocketedComments[[#This Row],[Docketed Consumer Comments]]))
  ),
  0,
  1
)</f>
        <v>1</v>
      </c>
    </row>
    <row r="684" spans="1:22">
      <c r="A684" s="2">
        <v>45905</v>
      </c>
      <c r="B684" s="1" t="s">
        <v>1686</v>
      </c>
      <c r="C684" s="1" t="s">
        <v>548</v>
      </c>
      <c r="D684" s="1" t="s">
        <v>63</v>
      </c>
      <c r="E684" s="1">
        <v>85007</v>
      </c>
      <c r="F684" s="1" t="s">
        <v>310</v>
      </c>
      <c r="G684" s="1" t="s">
        <v>1723</v>
      </c>
      <c r="H684" s="4" t="s">
        <v>27</v>
      </c>
      <c r="V684" s="46">
        <f>IF(
  OR(
    ISNUMBER(SEARCH("unable to locate acct", tblDocketedComments[[#This Row],[Docketed Consumer Comments]])),
    ISNUMBER(SEARCH("unknown", tblDocketedComments[[#This Row],[Docketed Consumer Comments]])),
    ISNUMBER(SEARCH("inactive", tblDocketedComments[[#This Row],[Docketed Consumer Comments]]))
  ),
  0,
  1
)</f>
        <v>1</v>
      </c>
    </row>
    <row r="685" spans="1:22">
      <c r="A685" s="2">
        <v>45905</v>
      </c>
      <c r="B685" s="1" t="s">
        <v>2016</v>
      </c>
      <c r="C685" s="1" t="s">
        <v>911</v>
      </c>
      <c r="D685" s="1" t="s">
        <v>125</v>
      </c>
      <c r="E685" s="1">
        <v>85255</v>
      </c>
      <c r="F685" s="1" t="s">
        <v>31</v>
      </c>
      <c r="G685" s="1" t="s">
        <v>1723</v>
      </c>
      <c r="H685" s="4" t="s">
        <v>2017</v>
      </c>
      <c r="I685" s="5" t="s">
        <v>250</v>
      </c>
      <c r="J685" s="5" t="s">
        <v>37</v>
      </c>
      <c r="K685" s="5" t="s">
        <v>37</v>
      </c>
      <c r="L685" s="5" t="s">
        <v>38</v>
      </c>
      <c r="M685" s="5" t="s">
        <v>37</v>
      </c>
      <c r="N685" s="5" t="s">
        <v>37</v>
      </c>
      <c r="O685" s="5" t="s">
        <v>38</v>
      </c>
      <c r="P685" s="5" t="s">
        <v>39</v>
      </c>
      <c r="Q685" s="2">
        <v>45966</v>
      </c>
      <c r="V685" s="46">
        <f>IF(
  OR(
    ISNUMBER(SEARCH("unable to locate acct", tblDocketedComments[[#This Row],[Docketed Consumer Comments]])),
    ISNUMBER(SEARCH("unknown", tblDocketedComments[[#This Row],[Docketed Consumer Comments]])),
    ISNUMBER(SEARCH("inactive", tblDocketedComments[[#This Row],[Docketed Consumer Comments]]))
  ),
  0,
  1
)</f>
        <v>1</v>
      </c>
    </row>
    <row r="686" spans="1:22">
      <c r="A686" s="2">
        <v>45905</v>
      </c>
      <c r="B686" s="1" t="s">
        <v>2018</v>
      </c>
      <c r="C686" s="1" t="s">
        <v>2019</v>
      </c>
      <c r="D686" s="1" t="s">
        <v>635</v>
      </c>
      <c r="E686" s="1">
        <v>85288</v>
      </c>
      <c r="F686" s="1" t="s">
        <v>310</v>
      </c>
      <c r="G686" s="1" t="s">
        <v>1723</v>
      </c>
      <c r="H686" s="4" t="s">
        <v>2020</v>
      </c>
      <c r="I686" s="5" t="s">
        <v>196</v>
      </c>
      <c r="J686" s="5" t="s">
        <v>37</v>
      </c>
      <c r="K686" s="5" t="s">
        <v>37</v>
      </c>
      <c r="L686" s="7" t="s">
        <v>2021</v>
      </c>
      <c r="M686" s="5" t="s">
        <v>37</v>
      </c>
      <c r="N686" s="5" t="s">
        <v>37</v>
      </c>
      <c r="O686" s="5" t="s">
        <v>38</v>
      </c>
      <c r="P686" s="2">
        <v>45936</v>
      </c>
      <c r="Q686" s="2">
        <v>45966</v>
      </c>
      <c r="R686" s="1" t="s">
        <v>2022</v>
      </c>
      <c r="V686" s="46">
        <f>IF(
  OR(
    ISNUMBER(SEARCH("unable to locate acct", tblDocketedComments[[#This Row],[Docketed Consumer Comments]])),
    ISNUMBER(SEARCH("unknown", tblDocketedComments[[#This Row],[Docketed Consumer Comments]])),
    ISNUMBER(SEARCH("inactive", tblDocketedComments[[#This Row],[Docketed Consumer Comments]]))
  ),
  0,
  1
)</f>
        <v>1</v>
      </c>
    </row>
    <row r="687" spans="1:22">
      <c r="A687" s="2">
        <v>45905</v>
      </c>
      <c r="B687" s="1" t="s">
        <v>2023</v>
      </c>
      <c r="C687" s="1" t="s">
        <v>333</v>
      </c>
      <c r="D687" s="1" t="s">
        <v>63</v>
      </c>
      <c r="E687" s="1">
        <v>85024</v>
      </c>
      <c r="F687" s="1" t="s">
        <v>310</v>
      </c>
      <c r="G687" s="1" t="s">
        <v>1723</v>
      </c>
      <c r="H687" s="4" t="s">
        <v>2024</v>
      </c>
      <c r="I687" s="5" t="s">
        <v>196</v>
      </c>
      <c r="J687" s="5" t="s">
        <v>37</v>
      </c>
      <c r="K687" s="5" t="s">
        <v>37</v>
      </c>
      <c r="L687" s="5" t="s">
        <v>38</v>
      </c>
      <c r="M687" s="5" t="s">
        <v>37</v>
      </c>
      <c r="N687" s="5" t="s">
        <v>37</v>
      </c>
      <c r="O687" s="5" t="s">
        <v>38</v>
      </c>
      <c r="P687" s="5" t="s">
        <v>39</v>
      </c>
      <c r="Q687" s="2">
        <v>45966</v>
      </c>
      <c r="V687" s="46">
        <f>IF(
  OR(
    ISNUMBER(SEARCH("unable to locate acct", tblDocketedComments[[#This Row],[Docketed Consumer Comments]])),
    ISNUMBER(SEARCH("unknown", tblDocketedComments[[#This Row],[Docketed Consumer Comments]])),
    ISNUMBER(SEARCH("inactive", tblDocketedComments[[#This Row],[Docketed Consumer Comments]]))
  ),
  0,
  1
)</f>
        <v>1</v>
      </c>
    </row>
    <row r="688" spans="1:22">
      <c r="A688" s="2">
        <v>45905</v>
      </c>
      <c r="B688" s="1" t="s">
        <v>2025</v>
      </c>
      <c r="C688" s="1" t="s">
        <v>225</v>
      </c>
      <c r="D688" s="1" t="s">
        <v>428</v>
      </c>
      <c r="E688" s="1">
        <v>85335</v>
      </c>
      <c r="F688" s="1" t="s">
        <v>2026</v>
      </c>
      <c r="G688" s="1" t="s">
        <v>1723</v>
      </c>
      <c r="H688" s="4" t="s">
        <v>2027</v>
      </c>
      <c r="I688" s="5" t="s">
        <v>46</v>
      </c>
      <c r="J688" s="5" t="s">
        <v>37</v>
      </c>
      <c r="K688" s="5" t="s">
        <v>37</v>
      </c>
      <c r="L688" s="5" t="s">
        <v>38</v>
      </c>
      <c r="M688" s="5" t="s">
        <v>37</v>
      </c>
      <c r="N688" s="5" t="s">
        <v>37</v>
      </c>
      <c r="O688" s="5" t="s">
        <v>38</v>
      </c>
      <c r="P688" s="5" t="s">
        <v>39</v>
      </c>
      <c r="Q688" s="2">
        <v>45966</v>
      </c>
      <c r="V688" s="46">
        <f>IF(
  OR(
    ISNUMBER(SEARCH("unable to locate acct", tblDocketedComments[[#This Row],[Docketed Consumer Comments]])),
    ISNUMBER(SEARCH("unknown", tblDocketedComments[[#This Row],[Docketed Consumer Comments]])),
    ISNUMBER(SEARCH("inactive", tblDocketedComments[[#This Row],[Docketed Consumer Comments]]))
  ),
  0,
  1
)</f>
        <v>1</v>
      </c>
    </row>
    <row r="689" spans="1:22">
      <c r="A689" s="2">
        <v>45905</v>
      </c>
      <c r="B689" s="1" t="s">
        <v>2028</v>
      </c>
      <c r="C689" s="1" t="s">
        <v>705</v>
      </c>
      <c r="D689" s="1" t="s">
        <v>169</v>
      </c>
      <c r="E689" s="1">
        <v>85338</v>
      </c>
      <c r="F689" s="1" t="s">
        <v>31</v>
      </c>
      <c r="G689" s="1" t="s">
        <v>1723</v>
      </c>
      <c r="H689" s="4" t="s">
        <v>2029</v>
      </c>
      <c r="I689" s="5" t="s">
        <v>36</v>
      </c>
      <c r="J689" s="5" t="s">
        <v>38</v>
      </c>
      <c r="K689" s="5" t="s">
        <v>37</v>
      </c>
      <c r="L689" s="5" t="s">
        <v>38</v>
      </c>
      <c r="M689" s="5" t="s">
        <v>37</v>
      </c>
      <c r="N689" s="5" t="s">
        <v>37</v>
      </c>
      <c r="O689" s="5" t="s">
        <v>38</v>
      </c>
      <c r="P689" s="5" t="s">
        <v>39</v>
      </c>
      <c r="Q689" s="2">
        <v>45966</v>
      </c>
      <c r="V689" s="46">
        <f>IF(
  OR(
    ISNUMBER(SEARCH("unable to locate acct", tblDocketedComments[[#This Row],[Docketed Consumer Comments]])),
    ISNUMBER(SEARCH("unknown", tblDocketedComments[[#This Row],[Docketed Consumer Comments]])),
    ISNUMBER(SEARCH("inactive", tblDocketedComments[[#This Row],[Docketed Consumer Comments]]))
  ),
  0,
  1
)</f>
        <v>1</v>
      </c>
    </row>
    <row r="690" spans="1:22">
      <c r="A690" s="2">
        <v>45905</v>
      </c>
      <c r="B690" s="1" t="s">
        <v>2030</v>
      </c>
      <c r="C690" s="1" t="s">
        <v>548</v>
      </c>
      <c r="D690" s="1" t="s">
        <v>202</v>
      </c>
      <c r="E690" s="1">
        <v>85383</v>
      </c>
      <c r="F690" s="1" t="s">
        <v>310</v>
      </c>
      <c r="G690" s="1" t="s">
        <v>1723</v>
      </c>
      <c r="H690" s="4" t="s">
        <v>2031</v>
      </c>
      <c r="I690" s="5" t="s">
        <v>196</v>
      </c>
      <c r="J690" s="5" t="s">
        <v>37</v>
      </c>
      <c r="K690" s="5" t="s">
        <v>37</v>
      </c>
      <c r="L690" s="7" t="s">
        <v>2032</v>
      </c>
      <c r="M690" s="5" t="s">
        <v>37</v>
      </c>
      <c r="N690" s="5" t="s">
        <v>37</v>
      </c>
      <c r="O690" s="5" t="s">
        <v>38</v>
      </c>
      <c r="P690" s="2">
        <v>45936</v>
      </c>
      <c r="Q690" s="2">
        <v>45966</v>
      </c>
      <c r="R690" s="1" t="s">
        <v>1732</v>
      </c>
      <c r="V690" s="46">
        <f>IF(
  OR(
    ISNUMBER(SEARCH("unable to locate acct", tblDocketedComments[[#This Row],[Docketed Consumer Comments]])),
    ISNUMBER(SEARCH("unknown", tblDocketedComments[[#This Row],[Docketed Consumer Comments]])),
    ISNUMBER(SEARCH("inactive", tblDocketedComments[[#This Row],[Docketed Consumer Comments]]))
  ),
  0,
  1
)</f>
        <v>1</v>
      </c>
    </row>
    <row r="691" spans="1:22">
      <c r="A691" s="2">
        <v>45905</v>
      </c>
      <c r="B691" s="1" t="s">
        <v>2033</v>
      </c>
      <c r="C691" s="1" t="s">
        <v>2034</v>
      </c>
      <c r="D691" s="1" t="s">
        <v>112</v>
      </c>
      <c r="E691" s="1">
        <v>85374</v>
      </c>
      <c r="F691" s="1" t="s">
        <v>310</v>
      </c>
      <c r="G691" s="1" t="s">
        <v>1723</v>
      </c>
      <c r="H691" s="4" t="s">
        <v>90</v>
      </c>
      <c r="V691" s="46">
        <f>IF(
  OR(
    ISNUMBER(SEARCH("unable to locate acct", tblDocketedComments[[#This Row],[Docketed Consumer Comments]])),
    ISNUMBER(SEARCH("unknown", tblDocketedComments[[#This Row],[Docketed Consumer Comments]])),
    ISNUMBER(SEARCH("inactive", tblDocketedComments[[#This Row],[Docketed Consumer Comments]]))
  ),
  0,
  1
)</f>
        <v>1</v>
      </c>
    </row>
    <row r="692" spans="1:22">
      <c r="A692" s="2">
        <v>45905</v>
      </c>
      <c r="B692" s="1" t="s">
        <v>1202</v>
      </c>
      <c r="C692" s="1" t="s">
        <v>1711</v>
      </c>
      <c r="D692" s="1" t="s">
        <v>112</v>
      </c>
      <c r="E692" s="1">
        <v>85379</v>
      </c>
      <c r="F692" s="1" t="s">
        <v>310</v>
      </c>
      <c r="G692" s="1" t="s">
        <v>1723</v>
      </c>
      <c r="H692" s="4" t="s">
        <v>2035</v>
      </c>
      <c r="I692" s="5" t="s">
        <v>250</v>
      </c>
      <c r="J692" s="5" t="s">
        <v>37</v>
      </c>
      <c r="K692" s="5" t="s">
        <v>37</v>
      </c>
      <c r="L692" s="5" t="s">
        <v>38</v>
      </c>
      <c r="M692" s="5" t="s">
        <v>37</v>
      </c>
      <c r="N692" s="5" t="s">
        <v>37</v>
      </c>
      <c r="O692" s="5" t="s">
        <v>38</v>
      </c>
      <c r="P692" s="5" t="s">
        <v>39</v>
      </c>
      <c r="Q692" s="2">
        <v>45966</v>
      </c>
      <c r="V692" s="46">
        <f>IF(
  OR(
    ISNUMBER(SEARCH("unable to locate acct", tblDocketedComments[[#This Row],[Docketed Consumer Comments]])),
    ISNUMBER(SEARCH("unknown", tblDocketedComments[[#This Row],[Docketed Consumer Comments]])),
    ISNUMBER(SEARCH("inactive", tblDocketedComments[[#This Row],[Docketed Consumer Comments]]))
  ),
  0,
  1
)</f>
        <v>1</v>
      </c>
    </row>
    <row r="693" spans="1:22">
      <c r="A693" s="2">
        <v>45905</v>
      </c>
      <c r="B693" s="1" t="s">
        <v>2030</v>
      </c>
      <c r="C693" s="1" t="s">
        <v>1894</v>
      </c>
      <c r="D693" s="1" t="s">
        <v>202</v>
      </c>
      <c r="E693" s="1">
        <v>85383</v>
      </c>
      <c r="F693" s="1" t="s">
        <v>310</v>
      </c>
      <c r="G693" s="1" t="s">
        <v>1723</v>
      </c>
      <c r="H693" s="4" t="s">
        <v>2031</v>
      </c>
      <c r="I693" s="5" t="s">
        <v>196</v>
      </c>
      <c r="J693" s="5" t="s">
        <v>37</v>
      </c>
      <c r="K693" s="5" t="s">
        <v>37</v>
      </c>
      <c r="L693" s="7" t="s">
        <v>2032</v>
      </c>
      <c r="M693" s="5" t="s">
        <v>37</v>
      </c>
      <c r="N693" s="5" t="s">
        <v>37</v>
      </c>
      <c r="O693" s="5" t="s">
        <v>38</v>
      </c>
      <c r="P693" s="2">
        <v>45936</v>
      </c>
      <c r="Q693" s="2">
        <v>45966</v>
      </c>
      <c r="R693" s="1" t="s">
        <v>1732</v>
      </c>
      <c r="V693" s="46">
        <f>IF(
  OR(
    ISNUMBER(SEARCH("unable to locate acct", tblDocketedComments[[#This Row],[Docketed Consumer Comments]])),
    ISNUMBER(SEARCH("unknown", tblDocketedComments[[#This Row],[Docketed Consumer Comments]])),
    ISNUMBER(SEARCH("inactive", tblDocketedComments[[#This Row],[Docketed Consumer Comments]]))
  ),
  0,
  1
)</f>
        <v>1</v>
      </c>
    </row>
    <row r="694" spans="1:22">
      <c r="A694" s="2">
        <v>45905</v>
      </c>
      <c r="B694" s="1" t="s">
        <v>2036</v>
      </c>
      <c r="C694" s="1" t="s">
        <v>680</v>
      </c>
      <c r="D694" s="1" t="s">
        <v>63</v>
      </c>
      <c r="E694" s="1">
        <v>85020</v>
      </c>
      <c r="F694" s="1" t="s">
        <v>31</v>
      </c>
      <c r="G694" s="1" t="s">
        <v>1723</v>
      </c>
      <c r="H694" s="4" t="s">
        <v>1934</v>
      </c>
      <c r="I694" s="5" t="s">
        <v>36</v>
      </c>
      <c r="J694" s="5" t="s">
        <v>37</v>
      </c>
      <c r="K694" s="5" t="s">
        <v>37</v>
      </c>
      <c r="L694" s="7" t="s">
        <v>2037</v>
      </c>
      <c r="M694" s="5" t="s">
        <v>37</v>
      </c>
      <c r="N694" s="5" t="s">
        <v>37</v>
      </c>
      <c r="O694" s="5" t="s">
        <v>38</v>
      </c>
      <c r="P694" s="2">
        <v>45936</v>
      </c>
      <c r="Q694" s="2">
        <v>45966</v>
      </c>
      <c r="R694" s="1" t="s">
        <v>2038</v>
      </c>
      <c r="V694" s="46">
        <f>IF(
  OR(
    ISNUMBER(SEARCH("unable to locate acct", tblDocketedComments[[#This Row],[Docketed Consumer Comments]])),
    ISNUMBER(SEARCH("unknown", tblDocketedComments[[#This Row],[Docketed Consumer Comments]])),
    ISNUMBER(SEARCH("inactive", tblDocketedComments[[#This Row],[Docketed Consumer Comments]]))
  ),
  0,
  1
)</f>
        <v>1</v>
      </c>
    </row>
    <row r="695" spans="1:22">
      <c r="A695" s="2">
        <v>45905</v>
      </c>
      <c r="B695" s="1" t="s">
        <v>2039</v>
      </c>
      <c r="C695" s="1" t="s">
        <v>2040</v>
      </c>
      <c r="D695" s="1" t="s">
        <v>125</v>
      </c>
      <c r="E695" s="1">
        <v>85254</v>
      </c>
      <c r="F695" s="1" t="s">
        <v>310</v>
      </c>
      <c r="G695" s="1" t="s">
        <v>1723</v>
      </c>
      <c r="H695" s="4" t="s">
        <v>27</v>
      </c>
      <c r="V695" s="46">
        <f>IF(
  OR(
    ISNUMBER(SEARCH("unable to locate acct", tblDocketedComments[[#This Row],[Docketed Consumer Comments]])),
    ISNUMBER(SEARCH("unknown", tblDocketedComments[[#This Row],[Docketed Consumer Comments]])),
    ISNUMBER(SEARCH("inactive", tblDocketedComments[[#This Row],[Docketed Consumer Comments]]))
  ),
  0,
  1
)</f>
        <v>1</v>
      </c>
    </row>
    <row r="696" spans="1:22">
      <c r="A696" s="2">
        <v>45905</v>
      </c>
      <c r="B696" s="1" t="s">
        <v>2041</v>
      </c>
      <c r="C696" s="1" t="s">
        <v>821</v>
      </c>
      <c r="D696" s="1" t="s">
        <v>125</v>
      </c>
      <c r="E696" s="1">
        <v>85258</v>
      </c>
      <c r="F696" s="1" t="s">
        <v>31</v>
      </c>
      <c r="G696" s="1" t="s">
        <v>1723</v>
      </c>
      <c r="H696" s="19" t="s">
        <v>2042</v>
      </c>
      <c r="I696" s="5" t="s">
        <v>541</v>
      </c>
      <c r="J696" s="5" t="s">
        <v>37</v>
      </c>
      <c r="K696" s="5" t="s">
        <v>37</v>
      </c>
      <c r="L696" s="5" t="s">
        <v>389</v>
      </c>
      <c r="M696" s="5" t="s">
        <v>37</v>
      </c>
      <c r="N696" s="5" t="s">
        <v>37</v>
      </c>
      <c r="O696" s="5" t="s">
        <v>38</v>
      </c>
      <c r="P696" s="5" t="s">
        <v>39</v>
      </c>
      <c r="Q696" s="2">
        <v>45966</v>
      </c>
      <c r="V696" s="46">
        <f>IF(
  OR(
    ISNUMBER(SEARCH("unable to locate acct", tblDocketedComments[[#This Row],[Docketed Consumer Comments]])),
    ISNUMBER(SEARCH("unknown", tblDocketedComments[[#This Row],[Docketed Consumer Comments]])),
    ISNUMBER(SEARCH("inactive", tblDocketedComments[[#This Row],[Docketed Consumer Comments]]))
  ),
  0,
  1
)</f>
        <v>1</v>
      </c>
    </row>
    <row r="697" spans="1:22">
      <c r="A697" s="2">
        <v>45905</v>
      </c>
      <c r="B697" s="1" t="s">
        <v>358</v>
      </c>
      <c r="C697" s="1" t="s">
        <v>117</v>
      </c>
      <c r="D697" s="1" t="s">
        <v>174</v>
      </c>
      <c r="E697" s="1">
        <v>85326</v>
      </c>
      <c r="F697" s="1" t="s">
        <v>310</v>
      </c>
      <c r="G697" s="1" t="s">
        <v>1723</v>
      </c>
      <c r="H697" s="4" t="s">
        <v>209</v>
      </c>
      <c r="V697" s="46">
        <f>IF(
  OR(
    ISNUMBER(SEARCH("unable to locate acct", tblDocketedComments[[#This Row],[Docketed Consumer Comments]])),
    ISNUMBER(SEARCH("unknown", tblDocketedComments[[#This Row],[Docketed Consumer Comments]])),
    ISNUMBER(SEARCH("inactive", tblDocketedComments[[#This Row],[Docketed Consumer Comments]]))
  ),
  0,
  1
)</f>
        <v>1</v>
      </c>
    </row>
    <row r="698" spans="1:22">
      <c r="A698" s="2">
        <v>45905</v>
      </c>
      <c r="B698" s="1" t="s">
        <v>2043</v>
      </c>
      <c r="C698" s="1" t="s">
        <v>328</v>
      </c>
      <c r="D698" s="1" t="s">
        <v>112</v>
      </c>
      <c r="E698" s="1">
        <v>85388</v>
      </c>
      <c r="F698" s="1" t="s">
        <v>310</v>
      </c>
      <c r="G698" s="1" t="s">
        <v>1723</v>
      </c>
      <c r="H698" s="4" t="s">
        <v>2044</v>
      </c>
      <c r="I698" s="5" t="s">
        <v>36</v>
      </c>
      <c r="J698" s="5" t="s">
        <v>37</v>
      </c>
      <c r="K698" s="5" t="s">
        <v>37</v>
      </c>
      <c r="L698" s="5" t="s">
        <v>38</v>
      </c>
      <c r="M698" s="5" t="s">
        <v>37</v>
      </c>
      <c r="N698" s="5" t="s">
        <v>37</v>
      </c>
      <c r="O698" s="5" t="s">
        <v>38</v>
      </c>
      <c r="P698" s="5" t="s">
        <v>39</v>
      </c>
      <c r="Q698" s="2">
        <v>45966</v>
      </c>
      <c r="V698" s="46">
        <f>IF(
  OR(
    ISNUMBER(SEARCH("unable to locate acct", tblDocketedComments[[#This Row],[Docketed Consumer Comments]])),
    ISNUMBER(SEARCH("unknown", tblDocketedComments[[#This Row],[Docketed Consumer Comments]])),
    ISNUMBER(SEARCH("inactive", tblDocketedComments[[#This Row],[Docketed Consumer Comments]]))
  ),
  0,
  1
)</f>
        <v>1</v>
      </c>
    </row>
    <row r="699" spans="1:22">
      <c r="A699" s="2">
        <v>45905</v>
      </c>
      <c r="B699" s="1" t="s">
        <v>2045</v>
      </c>
      <c r="C699" s="1" t="s">
        <v>2046</v>
      </c>
      <c r="D699" s="1" t="s">
        <v>63</v>
      </c>
      <c r="E699" s="1">
        <v>85014</v>
      </c>
      <c r="F699" s="1" t="s">
        <v>31</v>
      </c>
      <c r="G699" s="1" t="s">
        <v>1723</v>
      </c>
      <c r="H699" s="4" t="s">
        <v>2047</v>
      </c>
      <c r="I699" s="5" t="s">
        <v>36</v>
      </c>
      <c r="J699" s="5" t="s">
        <v>37</v>
      </c>
      <c r="K699" s="5" t="s">
        <v>37</v>
      </c>
      <c r="L699" s="7" t="s">
        <v>2048</v>
      </c>
      <c r="M699" s="5" t="s">
        <v>37</v>
      </c>
      <c r="N699" s="5" t="s">
        <v>37</v>
      </c>
      <c r="O699" s="5" t="s">
        <v>38</v>
      </c>
      <c r="P699" s="2">
        <v>45936</v>
      </c>
      <c r="Q699" s="2">
        <v>45966</v>
      </c>
      <c r="R699" s="1" t="s">
        <v>2022</v>
      </c>
      <c r="V699" s="46">
        <f>IF(
  OR(
    ISNUMBER(SEARCH("unable to locate acct", tblDocketedComments[[#This Row],[Docketed Consumer Comments]])),
    ISNUMBER(SEARCH("unknown", tblDocketedComments[[#This Row],[Docketed Consumer Comments]])),
    ISNUMBER(SEARCH("inactive", tblDocketedComments[[#This Row],[Docketed Consumer Comments]]))
  ),
  0,
  1
)</f>
        <v>1</v>
      </c>
    </row>
    <row r="700" spans="1:22">
      <c r="A700" s="2">
        <v>45905</v>
      </c>
      <c r="B700" s="1" t="s">
        <v>2049</v>
      </c>
      <c r="C700" s="1" t="s">
        <v>2050</v>
      </c>
      <c r="D700" s="1" t="s">
        <v>2051</v>
      </c>
      <c r="E700" s="1">
        <v>86333</v>
      </c>
      <c r="F700" s="1" t="s">
        <v>31</v>
      </c>
      <c r="G700" s="1" t="s">
        <v>1723</v>
      </c>
      <c r="H700" s="4" t="s">
        <v>2052</v>
      </c>
      <c r="I700" s="5" t="s">
        <v>36</v>
      </c>
      <c r="J700" s="5" t="s">
        <v>37</v>
      </c>
      <c r="K700" s="5" t="s">
        <v>37</v>
      </c>
      <c r="L700" s="5" t="s">
        <v>38</v>
      </c>
      <c r="M700" s="5" t="s">
        <v>37</v>
      </c>
      <c r="N700" s="5" t="s">
        <v>37</v>
      </c>
      <c r="O700" s="5" t="s">
        <v>38</v>
      </c>
      <c r="P700" s="5" t="s">
        <v>39</v>
      </c>
      <c r="Q700" s="2">
        <v>45966</v>
      </c>
      <c r="U700" s="1" t="s">
        <v>724</v>
      </c>
      <c r="V700" s="46">
        <f>IF(
  OR(
    ISNUMBER(SEARCH("unable to locate acct", tblDocketedComments[[#This Row],[Docketed Consumer Comments]])),
    ISNUMBER(SEARCH("unknown", tblDocketedComments[[#This Row],[Docketed Consumer Comments]])),
    ISNUMBER(SEARCH("inactive", tblDocketedComments[[#This Row],[Docketed Consumer Comments]]))
  ),
  0,
  1
)</f>
        <v>1</v>
      </c>
    </row>
    <row r="701" spans="1:22">
      <c r="A701" s="2">
        <v>45905</v>
      </c>
      <c r="B701" s="1" t="s">
        <v>2053</v>
      </c>
      <c r="C701" s="1" t="s">
        <v>117</v>
      </c>
      <c r="D701" s="1" t="s">
        <v>539</v>
      </c>
      <c r="E701" s="1">
        <v>85122</v>
      </c>
      <c r="F701" s="1" t="s">
        <v>2054</v>
      </c>
      <c r="G701" s="1" t="s">
        <v>1723</v>
      </c>
      <c r="H701" s="4" t="s">
        <v>2055</v>
      </c>
      <c r="I701" s="5" t="s">
        <v>196</v>
      </c>
      <c r="J701" s="5" t="s">
        <v>38</v>
      </c>
      <c r="K701" s="5" t="s">
        <v>37</v>
      </c>
      <c r="L701" s="5" t="s">
        <v>2056</v>
      </c>
      <c r="M701" s="5" t="s">
        <v>37</v>
      </c>
      <c r="N701" s="5" t="s">
        <v>37</v>
      </c>
      <c r="O701" s="5" t="s">
        <v>38</v>
      </c>
      <c r="P701" s="5" t="s">
        <v>39</v>
      </c>
      <c r="Q701" s="2">
        <v>45966</v>
      </c>
      <c r="V701" s="46">
        <f>IF(
  OR(
    ISNUMBER(SEARCH("unable to locate acct", tblDocketedComments[[#This Row],[Docketed Consumer Comments]])),
    ISNUMBER(SEARCH("unknown", tblDocketedComments[[#This Row],[Docketed Consumer Comments]])),
    ISNUMBER(SEARCH("inactive", tblDocketedComments[[#This Row],[Docketed Consumer Comments]]))
  ),
  0,
  1
)</f>
        <v>1</v>
      </c>
    </row>
    <row r="702" spans="1:22">
      <c r="A702" s="2">
        <v>45905</v>
      </c>
      <c r="B702" s="1" t="s">
        <v>1917</v>
      </c>
      <c r="C702" s="1" t="s">
        <v>2057</v>
      </c>
      <c r="D702" s="1" t="s">
        <v>63</v>
      </c>
      <c r="E702" s="1">
        <v>85012</v>
      </c>
      <c r="F702" s="1" t="s">
        <v>310</v>
      </c>
      <c r="G702" s="1" t="s">
        <v>1723</v>
      </c>
      <c r="H702" s="4" t="s">
        <v>719</v>
      </c>
      <c r="I702" s="5" t="s">
        <v>73</v>
      </c>
      <c r="J702" s="5" t="s">
        <v>37</v>
      </c>
      <c r="L702" s="5" t="s">
        <v>38</v>
      </c>
      <c r="O702" s="5" t="s">
        <v>38</v>
      </c>
      <c r="P702" s="5" t="s">
        <v>39</v>
      </c>
      <c r="V702" s="46">
        <f>IF(
  OR(
    ISNUMBER(SEARCH("unable to locate acct", tblDocketedComments[[#This Row],[Docketed Consumer Comments]])),
    ISNUMBER(SEARCH("unknown", tblDocketedComments[[#This Row],[Docketed Consumer Comments]])),
    ISNUMBER(SEARCH("inactive", tblDocketedComments[[#This Row],[Docketed Consumer Comments]]))
  ),
  0,
  1
)</f>
        <v>1</v>
      </c>
    </row>
    <row r="703" spans="1:22">
      <c r="A703" s="2">
        <v>45905</v>
      </c>
      <c r="B703" s="1" t="s">
        <v>2058</v>
      </c>
      <c r="C703" s="1" t="s">
        <v>2059</v>
      </c>
      <c r="D703" s="1" t="s">
        <v>63</v>
      </c>
      <c r="E703" s="1">
        <v>85032</v>
      </c>
      <c r="F703" s="1" t="s">
        <v>310</v>
      </c>
      <c r="G703" s="1" t="s">
        <v>1723</v>
      </c>
      <c r="H703" s="4" t="s">
        <v>2060</v>
      </c>
      <c r="I703" s="5" t="s">
        <v>541</v>
      </c>
      <c r="J703" s="5" t="s">
        <v>37</v>
      </c>
      <c r="K703" s="5" t="s">
        <v>37</v>
      </c>
      <c r="L703" s="5" t="s">
        <v>389</v>
      </c>
      <c r="M703" s="5" t="s">
        <v>37</v>
      </c>
      <c r="N703" s="5" t="s">
        <v>37</v>
      </c>
      <c r="O703" s="5" t="s">
        <v>38</v>
      </c>
      <c r="P703" s="5" t="s">
        <v>39</v>
      </c>
      <c r="Q703" s="2">
        <v>45966</v>
      </c>
      <c r="V703" s="46">
        <f>IF(
  OR(
    ISNUMBER(SEARCH("unable to locate acct", tblDocketedComments[[#This Row],[Docketed Consumer Comments]])),
    ISNUMBER(SEARCH("unknown", tblDocketedComments[[#This Row],[Docketed Consumer Comments]])),
    ISNUMBER(SEARCH("inactive", tblDocketedComments[[#This Row],[Docketed Consumer Comments]]))
  ),
  0,
  1
)</f>
        <v>1</v>
      </c>
    </row>
    <row r="704" spans="1:22">
      <c r="A704" s="2">
        <v>45905</v>
      </c>
      <c r="B704" s="1" t="s">
        <v>2061</v>
      </c>
      <c r="C704" s="1" t="s">
        <v>755</v>
      </c>
      <c r="D704" s="1" t="s">
        <v>619</v>
      </c>
      <c r="E704" s="1">
        <v>85365</v>
      </c>
      <c r="F704" s="1" t="s">
        <v>310</v>
      </c>
      <c r="G704" s="1" t="s">
        <v>1723</v>
      </c>
      <c r="H704" s="4" t="s">
        <v>27</v>
      </c>
      <c r="V704" s="46">
        <f>IF(
  OR(
    ISNUMBER(SEARCH("unable to locate acct", tblDocketedComments[[#This Row],[Docketed Consumer Comments]])),
    ISNUMBER(SEARCH("unknown", tblDocketedComments[[#This Row],[Docketed Consumer Comments]])),
    ISNUMBER(SEARCH("inactive", tblDocketedComments[[#This Row],[Docketed Consumer Comments]]))
  ),
  0,
  1
)</f>
        <v>1</v>
      </c>
    </row>
    <row r="705" spans="1:22">
      <c r="A705" s="2">
        <v>45905</v>
      </c>
      <c r="B705" s="1" t="s">
        <v>2062</v>
      </c>
      <c r="C705" s="1" t="s">
        <v>2063</v>
      </c>
      <c r="D705" s="1" t="s">
        <v>539</v>
      </c>
      <c r="E705" s="1">
        <v>85122</v>
      </c>
      <c r="F705" s="1" t="s">
        <v>31</v>
      </c>
      <c r="G705" s="1" t="s">
        <v>1723</v>
      </c>
      <c r="H705" s="4" t="s">
        <v>27</v>
      </c>
      <c r="V705" s="46">
        <f>IF(
  OR(
    ISNUMBER(SEARCH("unable to locate acct", tblDocketedComments[[#This Row],[Docketed Consumer Comments]])),
    ISNUMBER(SEARCH("unknown", tblDocketedComments[[#This Row],[Docketed Consumer Comments]])),
    ISNUMBER(SEARCH("inactive", tblDocketedComments[[#This Row],[Docketed Consumer Comments]]))
  ),
  0,
  1
)</f>
        <v>1</v>
      </c>
    </row>
    <row r="706" spans="1:22">
      <c r="A706" s="2">
        <v>45905</v>
      </c>
      <c r="B706" s="1" t="s">
        <v>2064</v>
      </c>
      <c r="C706" s="1" t="s">
        <v>2065</v>
      </c>
      <c r="D706" s="1" t="s">
        <v>63</v>
      </c>
      <c r="E706" s="1">
        <v>85007</v>
      </c>
      <c r="F706" s="1" t="s">
        <v>2066</v>
      </c>
      <c r="G706" s="1" t="s">
        <v>1723</v>
      </c>
      <c r="H706" s="19" t="s">
        <v>2067</v>
      </c>
      <c r="I706" s="5" t="s">
        <v>196</v>
      </c>
      <c r="J706" s="5" t="s">
        <v>37</v>
      </c>
      <c r="K706" s="5" t="s">
        <v>37</v>
      </c>
      <c r="L706" s="7" t="s">
        <v>2068</v>
      </c>
      <c r="M706" s="5" t="s">
        <v>37</v>
      </c>
      <c r="N706" s="5" t="s">
        <v>37</v>
      </c>
      <c r="O706" s="5" t="s">
        <v>38</v>
      </c>
      <c r="P706" s="2">
        <v>45936</v>
      </c>
      <c r="Q706" s="2">
        <v>45966</v>
      </c>
      <c r="R706" s="1" t="s">
        <v>2069</v>
      </c>
      <c r="V706" s="46">
        <f>IF(
  OR(
    ISNUMBER(SEARCH("unable to locate acct", tblDocketedComments[[#This Row],[Docketed Consumer Comments]])),
    ISNUMBER(SEARCH("unknown", tblDocketedComments[[#This Row],[Docketed Consumer Comments]])),
    ISNUMBER(SEARCH("inactive", tblDocketedComments[[#This Row],[Docketed Consumer Comments]]))
  ),
  0,
  1
)</f>
        <v>1</v>
      </c>
    </row>
    <row r="707" spans="1:22">
      <c r="A707" s="2">
        <v>45905</v>
      </c>
      <c r="B707" s="1" t="s">
        <v>2033</v>
      </c>
      <c r="C707" s="1" t="s">
        <v>2070</v>
      </c>
      <c r="D707" s="1" t="s">
        <v>112</v>
      </c>
      <c r="E707" s="1">
        <v>85374</v>
      </c>
      <c r="F707" s="1" t="s">
        <v>310</v>
      </c>
      <c r="G707" s="1" t="s">
        <v>1723</v>
      </c>
      <c r="H707" s="4" t="s">
        <v>27</v>
      </c>
      <c r="V707" s="46">
        <f>IF(
  OR(
    ISNUMBER(SEARCH("unable to locate acct", tblDocketedComments[[#This Row],[Docketed Consumer Comments]])),
    ISNUMBER(SEARCH("unknown", tblDocketedComments[[#This Row],[Docketed Consumer Comments]])),
    ISNUMBER(SEARCH("inactive", tblDocketedComments[[#This Row],[Docketed Consumer Comments]]))
  ),
  0,
  1
)</f>
        <v>1</v>
      </c>
    </row>
    <row r="708" spans="1:22">
      <c r="A708" s="2">
        <v>45905</v>
      </c>
      <c r="B708" s="1" t="s">
        <v>2071</v>
      </c>
      <c r="C708" s="1" t="s">
        <v>597</v>
      </c>
      <c r="D708" s="1" t="s">
        <v>169</v>
      </c>
      <c r="E708" s="1">
        <v>85395</v>
      </c>
      <c r="F708" s="1" t="s">
        <v>2072</v>
      </c>
      <c r="G708" s="1" t="s">
        <v>1723</v>
      </c>
      <c r="H708" s="19" t="s">
        <v>2073</v>
      </c>
      <c r="I708" s="5" t="s">
        <v>36</v>
      </c>
      <c r="J708" s="5" t="s">
        <v>37</v>
      </c>
      <c r="K708" s="5" t="s">
        <v>37</v>
      </c>
      <c r="L708" s="5" t="s">
        <v>38</v>
      </c>
      <c r="M708" s="5" t="s">
        <v>37</v>
      </c>
      <c r="N708" s="5" t="s">
        <v>37</v>
      </c>
      <c r="O708" s="5" t="s">
        <v>38</v>
      </c>
      <c r="P708" s="5" t="s">
        <v>39</v>
      </c>
      <c r="Q708" s="2">
        <v>45966</v>
      </c>
      <c r="V708" s="46">
        <f>IF(
  OR(
    ISNUMBER(SEARCH("unable to locate acct", tblDocketedComments[[#This Row],[Docketed Consumer Comments]])),
    ISNUMBER(SEARCH("unknown", tblDocketedComments[[#This Row],[Docketed Consumer Comments]])),
    ISNUMBER(SEARCH("inactive", tblDocketedComments[[#This Row],[Docketed Consumer Comments]]))
  ),
  0,
  1
)</f>
        <v>1</v>
      </c>
    </row>
    <row r="709" spans="1:22">
      <c r="A709" s="2">
        <v>45905</v>
      </c>
      <c r="B709" s="1" t="s">
        <v>2074</v>
      </c>
      <c r="C709" s="1" t="s">
        <v>2075</v>
      </c>
      <c r="D709" s="1" t="s">
        <v>202</v>
      </c>
      <c r="E709" s="1">
        <v>85383</v>
      </c>
      <c r="F709" s="1" t="s">
        <v>310</v>
      </c>
      <c r="G709" s="1" t="s">
        <v>1723</v>
      </c>
      <c r="H709" s="4" t="s">
        <v>2076</v>
      </c>
      <c r="I709" s="5" t="s">
        <v>243</v>
      </c>
      <c r="J709" s="5" t="s">
        <v>37</v>
      </c>
      <c r="K709" s="5" t="s">
        <v>37</v>
      </c>
      <c r="L709" s="5" t="s">
        <v>389</v>
      </c>
      <c r="M709" s="5" t="s">
        <v>37</v>
      </c>
      <c r="N709" s="5" t="s">
        <v>37</v>
      </c>
      <c r="O709" s="5" t="s">
        <v>38</v>
      </c>
      <c r="P709" s="5" t="s">
        <v>39</v>
      </c>
      <c r="Q709" s="2">
        <v>45966</v>
      </c>
      <c r="V709" s="46">
        <f>IF(
  OR(
    ISNUMBER(SEARCH("unable to locate acct", tblDocketedComments[[#This Row],[Docketed Consumer Comments]])),
    ISNUMBER(SEARCH("unknown", tblDocketedComments[[#This Row],[Docketed Consumer Comments]])),
    ISNUMBER(SEARCH("inactive", tblDocketedComments[[#This Row],[Docketed Consumer Comments]]))
  ),
  0,
  1
)</f>
        <v>1</v>
      </c>
    </row>
    <row r="710" spans="1:22">
      <c r="A710" s="2">
        <v>45905</v>
      </c>
      <c r="B710" s="1" t="s">
        <v>2077</v>
      </c>
      <c r="C710" s="1" t="s">
        <v>2078</v>
      </c>
      <c r="D710" s="1" t="s">
        <v>63</v>
      </c>
      <c r="E710" s="1">
        <v>85012</v>
      </c>
      <c r="F710" s="1" t="s">
        <v>2079</v>
      </c>
      <c r="G710" s="1" t="s">
        <v>1723</v>
      </c>
      <c r="H710" s="4" t="s">
        <v>2080</v>
      </c>
      <c r="I710" s="5" t="s">
        <v>73</v>
      </c>
      <c r="J710" s="5" t="s">
        <v>37</v>
      </c>
      <c r="K710" s="5" t="s">
        <v>37</v>
      </c>
      <c r="L710" s="5" t="s">
        <v>38</v>
      </c>
      <c r="M710" s="5" t="s">
        <v>37</v>
      </c>
      <c r="N710" s="5" t="s">
        <v>37</v>
      </c>
      <c r="O710" s="5" t="s">
        <v>38</v>
      </c>
      <c r="P710" s="5" t="s">
        <v>39</v>
      </c>
      <c r="Q710" s="2">
        <v>45966</v>
      </c>
      <c r="V710" s="46">
        <f>IF(
  OR(
    ISNUMBER(SEARCH("unable to locate acct", tblDocketedComments[[#This Row],[Docketed Consumer Comments]])),
    ISNUMBER(SEARCH("unknown", tblDocketedComments[[#This Row],[Docketed Consumer Comments]])),
    ISNUMBER(SEARCH("inactive", tblDocketedComments[[#This Row],[Docketed Consumer Comments]]))
  ),
  0,
  1
)</f>
        <v>1</v>
      </c>
    </row>
    <row r="711" spans="1:22">
      <c r="A711" s="2">
        <v>45905</v>
      </c>
      <c r="B711" s="1" t="s">
        <v>2081</v>
      </c>
      <c r="C711" s="1" t="s">
        <v>835</v>
      </c>
      <c r="D711" s="1" t="s">
        <v>125</v>
      </c>
      <c r="E711" s="1">
        <v>85259</v>
      </c>
      <c r="F711" s="1" t="s">
        <v>31</v>
      </c>
      <c r="G711" s="1" t="s">
        <v>1723</v>
      </c>
      <c r="H711" s="4" t="s">
        <v>2082</v>
      </c>
      <c r="I711" s="5" t="s">
        <v>36</v>
      </c>
      <c r="J711" s="5" t="s">
        <v>37</v>
      </c>
      <c r="K711" s="5" t="s">
        <v>37</v>
      </c>
      <c r="L711" s="5" t="s">
        <v>38</v>
      </c>
      <c r="M711" s="5" t="s">
        <v>37</v>
      </c>
      <c r="N711" s="5" t="s">
        <v>37</v>
      </c>
      <c r="O711" s="5" t="s">
        <v>38</v>
      </c>
      <c r="P711" s="5" t="s">
        <v>39</v>
      </c>
      <c r="Q711" s="2">
        <v>45966</v>
      </c>
      <c r="R711" s="1" t="s">
        <v>2083</v>
      </c>
      <c r="V711" s="46">
        <f>IF(
  OR(
    ISNUMBER(SEARCH("unable to locate acct", tblDocketedComments[[#This Row],[Docketed Consumer Comments]])),
    ISNUMBER(SEARCH("unknown", tblDocketedComments[[#This Row],[Docketed Consumer Comments]])),
    ISNUMBER(SEARCH("inactive", tblDocketedComments[[#This Row],[Docketed Consumer Comments]]))
  ),
  0,
  1
)</f>
        <v>1</v>
      </c>
    </row>
    <row r="712" spans="1:22">
      <c r="A712" s="2">
        <v>45905</v>
      </c>
      <c r="B712" s="1" t="s">
        <v>1134</v>
      </c>
      <c r="C712" s="1" t="s">
        <v>2084</v>
      </c>
      <c r="D712" s="1" t="s">
        <v>63</v>
      </c>
      <c r="E712" s="1">
        <v>85028</v>
      </c>
      <c r="F712" s="1" t="s">
        <v>31</v>
      </c>
      <c r="G712" s="1" t="s">
        <v>1723</v>
      </c>
      <c r="H712" s="4" t="s">
        <v>2085</v>
      </c>
      <c r="I712" s="5" t="s">
        <v>57</v>
      </c>
      <c r="J712" s="5" t="s">
        <v>37</v>
      </c>
      <c r="K712" s="5" t="s">
        <v>37</v>
      </c>
      <c r="L712" s="7" t="s">
        <v>2086</v>
      </c>
      <c r="M712" s="5" t="s">
        <v>37</v>
      </c>
      <c r="N712" s="5" t="s">
        <v>37</v>
      </c>
      <c r="O712" s="5" t="s">
        <v>38</v>
      </c>
      <c r="P712" s="2">
        <v>45936</v>
      </c>
      <c r="Q712" s="2">
        <v>45966</v>
      </c>
      <c r="R712" s="1" t="s">
        <v>2022</v>
      </c>
      <c r="V712" s="46">
        <f>IF(
  OR(
    ISNUMBER(SEARCH("unable to locate acct", tblDocketedComments[[#This Row],[Docketed Consumer Comments]])),
    ISNUMBER(SEARCH("unknown", tblDocketedComments[[#This Row],[Docketed Consumer Comments]])),
    ISNUMBER(SEARCH("inactive", tblDocketedComments[[#This Row],[Docketed Consumer Comments]]))
  ),
  0,
  1
)</f>
        <v>1</v>
      </c>
    </row>
    <row r="713" spans="1:22">
      <c r="A713" s="2">
        <v>45905</v>
      </c>
      <c r="B713" s="1" t="s">
        <v>2087</v>
      </c>
      <c r="C713" s="1" t="s">
        <v>225</v>
      </c>
      <c r="D713" s="1" t="s">
        <v>24</v>
      </c>
      <c r="E713" s="1">
        <v>85308</v>
      </c>
      <c r="F713" s="1" t="s">
        <v>2088</v>
      </c>
      <c r="G713" s="1" t="s">
        <v>1723</v>
      </c>
      <c r="H713" s="4" t="s">
        <v>209</v>
      </c>
      <c r="V713" s="46">
        <f>IF(
  OR(
    ISNUMBER(SEARCH("unable to locate acct", tblDocketedComments[[#This Row],[Docketed Consumer Comments]])),
    ISNUMBER(SEARCH("unknown", tblDocketedComments[[#This Row],[Docketed Consumer Comments]])),
    ISNUMBER(SEARCH("inactive", tblDocketedComments[[#This Row],[Docketed Consumer Comments]]))
  ),
  0,
  1
)</f>
        <v>1</v>
      </c>
    </row>
    <row r="714" spans="1:22">
      <c r="A714" s="2">
        <v>45905</v>
      </c>
      <c r="B714" s="1" t="s">
        <v>2089</v>
      </c>
      <c r="C714" s="1" t="s">
        <v>2090</v>
      </c>
      <c r="D714" s="1" t="s">
        <v>63</v>
      </c>
      <c r="E714" s="1">
        <v>85027</v>
      </c>
      <c r="F714" s="1" t="s">
        <v>310</v>
      </c>
      <c r="G714" s="1" t="s">
        <v>1723</v>
      </c>
      <c r="H714" s="4" t="s">
        <v>2091</v>
      </c>
      <c r="I714" s="5" t="s">
        <v>126</v>
      </c>
      <c r="J714" s="5" t="s">
        <v>37</v>
      </c>
      <c r="K714" s="5" t="s">
        <v>37</v>
      </c>
      <c r="L714" s="5" t="s">
        <v>38</v>
      </c>
      <c r="M714" s="5" t="s">
        <v>37</v>
      </c>
      <c r="N714" s="5" t="s">
        <v>37</v>
      </c>
      <c r="O714" s="5" t="s">
        <v>38</v>
      </c>
      <c r="P714" s="5" t="s">
        <v>39</v>
      </c>
      <c r="Q714" s="2">
        <v>45966</v>
      </c>
      <c r="V714" s="46">
        <f>IF(
  OR(
    ISNUMBER(SEARCH("unable to locate acct", tblDocketedComments[[#This Row],[Docketed Consumer Comments]])),
    ISNUMBER(SEARCH("unknown", tblDocketedComments[[#This Row],[Docketed Consumer Comments]])),
    ISNUMBER(SEARCH("inactive", tblDocketedComments[[#This Row],[Docketed Consumer Comments]]))
  ),
  0,
  1
)</f>
        <v>1</v>
      </c>
    </row>
    <row r="715" spans="1:22">
      <c r="A715" s="2">
        <v>45905</v>
      </c>
      <c r="B715" s="1" t="s">
        <v>316</v>
      </c>
      <c r="C715" s="1" t="s">
        <v>317</v>
      </c>
      <c r="D715" s="1" t="s">
        <v>174</v>
      </c>
      <c r="E715" s="1">
        <v>85326</v>
      </c>
      <c r="F715" s="1" t="s">
        <v>1957</v>
      </c>
      <c r="G715" s="1" t="s">
        <v>1723</v>
      </c>
      <c r="H715" s="4" t="s">
        <v>2092</v>
      </c>
      <c r="I715" s="5" t="s">
        <v>36</v>
      </c>
      <c r="J715" s="5" t="s">
        <v>37</v>
      </c>
      <c r="K715" s="5" t="s">
        <v>37</v>
      </c>
      <c r="L715" s="5" t="s">
        <v>38</v>
      </c>
      <c r="M715" s="5" t="s">
        <v>37</v>
      </c>
      <c r="N715" s="5" t="s">
        <v>37</v>
      </c>
      <c r="O715" s="5" t="s">
        <v>38</v>
      </c>
      <c r="P715" s="5" t="s">
        <v>39</v>
      </c>
      <c r="Q715" s="2">
        <v>45966</v>
      </c>
      <c r="V715" s="46">
        <f>IF(
  OR(
    ISNUMBER(SEARCH("unable to locate acct", tblDocketedComments[[#This Row],[Docketed Consumer Comments]])),
    ISNUMBER(SEARCH("unknown", tblDocketedComments[[#This Row],[Docketed Consumer Comments]])),
    ISNUMBER(SEARCH("inactive", tblDocketedComments[[#This Row],[Docketed Consumer Comments]]))
  ),
  0,
  1
)</f>
        <v>1</v>
      </c>
    </row>
    <row r="716" spans="1:22">
      <c r="A716" s="2">
        <v>45905</v>
      </c>
      <c r="B716" s="1" t="s">
        <v>2093</v>
      </c>
      <c r="C716" s="1" t="s">
        <v>550</v>
      </c>
      <c r="D716" s="1" t="s">
        <v>63</v>
      </c>
      <c r="E716" s="1">
        <v>85029</v>
      </c>
      <c r="F716" s="1" t="s">
        <v>310</v>
      </c>
      <c r="G716" s="1" t="s">
        <v>1723</v>
      </c>
      <c r="H716" s="4" t="s">
        <v>2094</v>
      </c>
      <c r="I716" s="5" t="s">
        <v>196</v>
      </c>
      <c r="J716" s="5" t="s">
        <v>37</v>
      </c>
      <c r="K716" s="5" t="s">
        <v>37</v>
      </c>
      <c r="L716" s="5" t="s">
        <v>38</v>
      </c>
      <c r="M716" s="5" t="s">
        <v>37</v>
      </c>
      <c r="N716" s="5" t="s">
        <v>37</v>
      </c>
      <c r="O716" s="5" t="s">
        <v>38</v>
      </c>
      <c r="P716" s="5" t="s">
        <v>39</v>
      </c>
      <c r="Q716" s="2">
        <v>45966</v>
      </c>
      <c r="R716" s="1" t="s">
        <v>2095</v>
      </c>
      <c r="V716" s="46">
        <f>IF(
  OR(
    ISNUMBER(SEARCH("unable to locate acct", tblDocketedComments[[#This Row],[Docketed Consumer Comments]])),
    ISNUMBER(SEARCH("unknown", tblDocketedComments[[#This Row],[Docketed Consumer Comments]])),
    ISNUMBER(SEARCH("inactive", tblDocketedComments[[#This Row],[Docketed Consumer Comments]]))
  ),
  0,
  1
)</f>
        <v>1</v>
      </c>
    </row>
    <row r="717" spans="1:22">
      <c r="A717" s="2">
        <v>45905</v>
      </c>
      <c r="B717" s="1" t="s">
        <v>2096</v>
      </c>
      <c r="C717" s="1" t="s">
        <v>2097</v>
      </c>
      <c r="D717" s="1" t="s">
        <v>125</v>
      </c>
      <c r="E717" s="1">
        <v>85251</v>
      </c>
      <c r="F717" s="1" t="s">
        <v>2098</v>
      </c>
      <c r="G717" s="1" t="s">
        <v>1723</v>
      </c>
      <c r="H717" s="4" t="s">
        <v>2099</v>
      </c>
      <c r="I717" s="5" t="s">
        <v>126</v>
      </c>
      <c r="J717" s="5" t="s">
        <v>37</v>
      </c>
      <c r="K717" s="5" t="s">
        <v>37</v>
      </c>
      <c r="L717" s="7" t="s">
        <v>2100</v>
      </c>
      <c r="M717" s="5" t="s">
        <v>37</v>
      </c>
      <c r="N717" s="5" t="s">
        <v>37</v>
      </c>
      <c r="O717" s="5" t="s">
        <v>38</v>
      </c>
      <c r="P717" s="5" t="s">
        <v>39</v>
      </c>
      <c r="Q717" s="2">
        <v>45966</v>
      </c>
      <c r="V717" s="46">
        <f>IF(
  OR(
    ISNUMBER(SEARCH("unable to locate acct", tblDocketedComments[[#This Row],[Docketed Consumer Comments]])),
    ISNUMBER(SEARCH("unknown", tblDocketedComments[[#This Row],[Docketed Consumer Comments]])),
    ISNUMBER(SEARCH("inactive", tblDocketedComments[[#This Row],[Docketed Consumer Comments]]))
  ),
  0,
  1
)</f>
        <v>1</v>
      </c>
    </row>
    <row r="718" spans="1:22">
      <c r="A718" s="2">
        <v>45905</v>
      </c>
      <c r="B718" s="1" t="s">
        <v>1959</v>
      </c>
      <c r="C718" s="1" t="s">
        <v>1647</v>
      </c>
      <c r="D718" s="1" t="s">
        <v>169</v>
      </c>
      <c r="E718" s="1">
        <v>85395</v>
      </c>
      <c r="F718" s="1" t="s">
        <v>31</v>
      </c>
      <c r="G718" s="1" t="s">
        <v>1723</v>
      </c>
      <c r="H718" s="4" t="s">
        <v>27</v>
      </c>
      <c r="V718" s="46">
        <f>IF(
  OR(
    ISNUMBER(SEARCH("unable to locate acct", tblDocketedComments[[#This Row],[Docketed Consumer Comments]])),
    ISNUMBER(SEARCH("unknown", tblDocketedComments[[#This Row],[Docketed Consumer Comments]])),
    ISNUMBER(SEARCH("inactive", tblDocketedComments[[#This Row],[Docketed Consumer Comments]]))
  ),
  0,
  1
)</f>
        <v>1</v>
      </c>
    </row>
    <row r="719" spans="1:22">
      <c r="A719" s="2">
        <v>45905</v>
      </c>
      <c r="B719" s="1" t="s">
        <v>323</v>
      </c>
      <c r="C719" s="1" t="s">
        <v>705</v>
      </c>
      <c r="D719" s="1" t="s">
        <v>63</v>
      </c>
      <c r="E719" s="1">
        <v>85085</v>
      </c>
      <c r="F719" s="1" t="s">
        <v>2101</v>
      </c>
      <c r="G719" s="1" t="s">
        <v>1723</v>
      </c>
      <c r="H719" s="4" t="s">
        <v>2102</v>
      </c>
      <c r="I719" s="5" t="s">
        <v>36</v>
      </c>
      <c r="J719" s="5" t="s">
        <v>37</v>
      </c>
      <c r="K719" s="5" t="s">
        <v>37</v>
      </c>
      <c r="L719" s="5" t="s">
        <v>38</v>
      </c>
      <c r="M719" s="5" t="s">
        <v>37</v>
      </c>
      <c r="N719" s="5" t="s">
        <v>37</v>
      </c>
      <c r="O719" s="5" t="s">
        <v>38</v>
      </c>
      <c r="P719" s="5" t="s">
        <v>39</v>
      </c>
      <c r="Q719" s="2">
        <v>45966</v>
      </c>
      <c r="V719" s="46">
        <f>IF(
  OR(
    ISNUMBER(SEARCH("unable to locate acct", tblDocketedComments[[#This Row],[Docketed Consumer Comments]])),
    ISNUMBER(SEARCH("unknown", tblDocketedComments[[#This Row],[Docketed Consumer Comments]])),
    ISNUMBER(SEARCH("inactive", tblDocketedComments[[#This Row],[Docketed Consumer Comments]]))
  ),
  0,
  1
)</f>
        <v>1</v>
      </c>
    </row>
    <row r="720" spans="1:22">
      <c r="A720" s="2">
        <v>45905</v>
      </c>
      <c r="B720" s="1" t="s">
        <v>2103</v>
      </c>
      <c r="C720" s="1" t="s">
        <v>2104</v>
      </c>
      <c r="D720" s="1" t="s">
        <v>2105</v>
      </c>
      <c r="E720" s="1">
        <v>85128</v>
      </c>
      <c r="F720" s="1" t="s">
        <v>2106</v>
      </c>
      <c r="G720" s="1" t="s">
        <v>1723</v>
      </c>
      <c r="H720" s="4" t="s">
        <v>2107</v>
      </c>
      <c r="I720" s="5" t="s">
        <v>46</v>
      </c>
      <c r="J720" s="5" t="s">
        <v>37</v>
      </c>
      <c r="K720" s="5" t="s">
        <v>37</v>
      </c>
      <c r="L720" s="5" t="s">
        <v>38</v>
      </c>
      <c r="M720" s="5" t="s">
        <v>37</v>
      </c>
      <c r="N720" s="5" t="s">
        <v>37</v>
      </c>
      <c r="O720" s="5" t="s">
        <v>38</v>
      </c>
      <c r="P720" s="5" t="s">
        <v>39</v>
      </c>
      <c r="Q720" s="2">
        <v>45966</v>
      </c>
      <c r="V720" s="46">
        <f>IF(
  OR(
    ISNUMBER(SEARCH("unable to locate acct", tblDocketedComments[[#This Row],[Docketed Consumer Comments]])),
    ISNUMBER(SEARCH("unknown", tblDocketedComments[[#This Row],[Docketed Consumer Comments]])),
    ISNUMBER(SEARCH("inactive", tblDocketedComments[[#This Row],[Docketed Consumer Comments]]))
  ),
  0,
  1
)</f>
        <v>1</v>
      </c>
    </row>
    <row r="721" spans="1:22">
      <c r="A721" s="2">
        <v>45905</v>
      </c>
      <c r="B721" s="1" t="s">
        <v>2108</v>
      </c>
      <c r="C721" s="1" t="s">
        <v>747</v>
      </c>
      <c r="D721" s="1" t="s">
        <v>2109</v>
      </c>
      <c r="E721" s="1">
        <v>86327</v>
      </c>
      <c r="F721" s="1" t="s">
        <v>31</v>
      </c>
      <c r="G721" s="1" t="s">
        <v>1723</v>
      </c>
      <c r="H721" s="4" t="s">
        <v>2110</v>
      </c>
      <c r="I721" s="5" t="s">
        <v>126</v>
      </c>
      <c r="J721" s="5" t="s">
        <v>37</v>
      </c>
      <c r="K721" s="5" t="s">
        <v>37</v>
      </c>
      <c r="L721" s="5" t="s">
        <v>38</v>
      </c>
      <c r="M721" s="5" t="s">
        <v>37</v>
      </c>
      <c r="N721" s="5" t="s">
        <v>37</v>
      </c>
      <c r="O721" s="5" t="s">
        <v>38</v>
      </c>
      <c r="P721" s="5" t="s">
        <v>39</v>
      </c>
      <c r="Q721" s="2">
        <v>45966</v>
      </c>
      <c r="V721" s="46">
        <f>IF(
  OR(
    ISNUMBER(SEARCH("unable to locate acct", tblDocketedComments[[#This Row],[Docketed Consumer Comments]])),
    ISNUMBER(SEARCH("unknown", tblDocketedComments[[#This Row],[Docketed Consumer Comments]])),
    ISNUMBER(SEARCH("inactive", tblDocketedComments[[#This Row],[Docketed Consumer Comments]]))
  ),
  0,
  1
)</f>
        <v>1</v>
      </c>
    </row>
    <row r="722" spans="1:22">
      <c r="A722" s="2">
        <v>45905</v>
      </c>
      <c r="B722" s="1" t="s">
        <v>1952</v>
      </c>
      <c r="C722" s="1" t="s">
        <v>780</v>
      </c>
      <c r="D722" s="1" t="s">
        <v>112</v>
      </c>
      <c r="E722" s="1">
        <v>85388</v>
      </c>
      <c r="F722" s="1" t="s">
        <v>2111</v>
      </c>
      <c r="G722" s="1" t="s">
        <v>1723</v>
      </c>
      <c r="H722" s="4" t="s">
        <v>2112</v>
      </c>
      <c r="I722" s="5" t="s">
        <v>196</v>
      </c>
      <c r="J722" s="5" t="s">
        <v>37</v>
      </c>
      <c r="K722" s="5" t="s">
        <v>37</v>
      </c>
      <c r="L722" s="7" t="s">
        <v>2113</v>
      </c>
      <c r="M722" s="5" t="s">
        <v>37</v>
      </c>
      <c r="N722" s="5" t="s">
        <v>37</v>
      </c>
      <c r="O722" s="5" t="s">
        <v>38</v>
      </c>
      <c r="P722" s="2">
        <v>45936</v>
      </c>
      <c r="Q722" s="2">
        <v>45966</v>
      </c>
      <c r="R722" s="1" t="s">
        <v>2114</v>
      </c>
      <c r="V722" s="46">
        <f>IF(
  OR(
    ISNUMBER(SEARCH("unable to locate acct", tblDocketedComments[[#This Row],[Docketed Consumer Comments]])),
    ISNUMBER(SEARCH("unknown", tblDocketedComments[[#This Row],[Docketed Consumer Comments]])),
    ISNUMBER(SEARCH("inactive", tblDocketedComments[[#This Row],[Docketed Consumer Comments]]))
  ),
  0,
  1
)</f>
        <v>1</v>
      </c>
    </row>
    <row r="723" spans="1:22">
      <c r="A723" s="2">
        <v>45905</v>
      </c>
      <c r="B723" s="1" t="s">
        <v>2115</v>
      </c>
      <c r="C723" s="1" t="s">
        <v>2116</v>
      </c>
      <c r="D723" s="1" t="s">
        <v>112</v>
      </c>
      <c r="E723" s="1">
        <v>85387</v>
      </c>
      <c r="F723" s="1" t="s">
        <v>2117</v>
      </c>
      <c r="G723" s="1" t="s">
        <v>1723</v>
      </c>
      <c r="H723" s="4" t="s">
        <v>27</v>
      </c>
      <c r="V723" s="46">
        <f>IF(
  OR(
    ISNUMBER(SEARCH("unable to locate acct", tblDocketedComments[[#This Row],[Docketed Consumer Comments]])),
    ISNUMBER(SEARCH("unknown", tblDocketedComments[[#This Row],[Docketed Consumer Comments]])),
    ISNUMBER(SEARCH("inactive", tblDocketedComments[[#This Row],[Docketed Consumer Comments]]))
  ),
  0,
  1
)</f>
        <v>1</v>
      </c>
    </row>
    <row r="724" spans="1:22">
      <c r="A724" s="2">
        <v>45905</v>
      </c>
      <c r="B724" s="1" t="s">
        <v>2118</v>
      </c>
      <c r="C724" s="1" t="s">
        <v>2019</v>
      </c>
      <c r="D724" s="1" t="s">
        <v>539</v>
      </c>
      <c r="E724" s="1">
        <v>85122</v>
      </c>
      <c r="F724" s="1" t="s">
        <v>31</v>
      </c>
      <c r="G724" s="1" t="s">
        <v>1723</v>
      </c>
      <c r="H724" s="4" t="s">
        <v>2119</v>
      </c>
      <c r="I724" s="5" t="s">
        <v>73</v>
      </c>
      <c r="J724" s="5" t="s">
        <v>37</v>
      </c>
      <c r="K724" s="5" t="s">
        <v>37</v>
      </c>
      <c r="L724" s="5" t="s">
        <v>38</v>
      </c>
      <c r="M724" s="5" t="s">
        <v>37</v>
      </c>
      <c r="N724" s="5" t="s">
        <v>37</v>
      </c>
      <c r="O724" s="5" t="s">
        <v>38</v>
      </c>
      <c r="P724" s="5" t="s">
        <v>39</v>
      </c>
      <c r="Q724" s="2">
        <v>45966</v>
      </c>
      <c r="V724" s="46">
        <f>IF(
  OR(
    ISNUMBER(SEARCH("unable to locate acct", tblDocketedComments[[#This Row],[Docketed Consumer Comments]])),
    ISNUMBER(SEARCH("unknown", tblDocketedComments[[#This Row],[Docketed Consumer Comments]])),
    ISNUMBER(SEARCH("inactive", tblDocketedComments[[#This Row],[Docketed Consumer Comments]]))
  ),
  0,
  1
)</f>
        <v>1</v>
      </c>
    </row>
    <row r="725" spans="1:22">
      <c r="A725" s="2">
        <v>45905</v>
      </c>
      <c r="B725" s="1" t="s">
        <v>2120</v>
      </c>
      <c r="C725" s="1" t="s">
        <v>479</v>
      </c>
      <c r="D725" s="1" t="s">
        <v>202</v>
      </c>
      <c r="E725" s="1">
        <v>85383</v>
      </c>
      <c r="F725" s="1" t="s">
        <v>2121</v>
      </c>
      <c r="G725" s="1" t="s">
        <v>1723</v>
      </c>
      <c r="H725" s="4" t="s">
        <v>2122</v>
      </c>
      <c r="I725" s="5" t="s">
        <v>57</v>
      </c>
      <c r="J725" s="5" t="s">
        <v>38</v>
      </c>
      <c r="K725" s="5" t="s">
        <v>37</v>
      </c>
      <c r="L725" s="5" t="s">
        <v>2123</v>
      </c>
      <c r="M725" s="5" t="s">
        <v>37</v>
      </c>
      <c r="N725" s="5" t="s">
        <v>37</v>
      </c>
      <c r="O725" s="5" t="s">
        <v>38</v>
      </c>
      <c r="P725" s="5" t="s">
        <v>39</v>
      </c>
      <c r="Q725" s="2">
        <v>45966</v>
      </c>
      <c r="R725" s="1" t="s">
        <v>2124</v>
      </c>
      <c r="V725" s="46">
        <f>IF(
  OR(
    ISNUMBER(SEARCH("unable to locate acct", tblDocketedComments[[#This Row],[Docketed Consumer Comments]])),
    ISNUMBER(SEARCH("unknown", tblDocketedComments[[#This Row],[Docketed Consumer Comments]])),
    ISNUMBER(SEARCH("inactive", tblDocketedComments[[#This Row],[Docketed Consumer Comments]]))
  ),
  0,
  1
)</f>
        <v>1</v>
      </c>
    </row>
    <row r="726" spans="1:22">
      <c r="A726" s="2">
        <v>45905</v>
      </c>
      <c r="B726" s="1" t="s">
        <v>1361</v>
      </c>
      <c r="C726" s="1" t="s">
        <v>2125</v>
      </c>
      <c r="D726" s="1" t="s">
        <v>24</v>
      </c>
      <c r="E726" s="1">
        <v>85308</v>
      </c>
      <c r="F726" s="1" t="s">
        <v>310</v>
      </c>
      <c r="G726" s="1" t="s">
        <v>1723</v>
      </c>
      <c r="H726" s="4" t="s">
        <v>2126</v>
      </c>
      <c r="I726" s="5" t="s">
        <v>196</v>
      </c>
      <c r="J726" s="5" t="s">
        <v>38</v>
      </c>
      <c r="K726" s="5" t="s">
        <v>37</v>
      </c>
      <c r="L726" s="5" t="s">
        <v>2127</v>
      </c>
      <c r="M726" s="5" t="s">
        <v>37</v>
      </c>
      <c r="N726" s="5" t="s">
        <v>37</v>
      </c>
      <c r="O726" s="5" t="s">
        <v>38</v>
      </c>
      <c r="P726" s="5" t="s">
        <v>39</v>
      </c>
      <c r="Q726" s="2">
        <v>45966</v>
      </c>
      <c r="V726" s="46">
        <f>IF(
  OR(
    ISNUMBER(SEARCH("unable to locate acct", tblDocketedComments[[#This Row],[Docketed Consumer Comments]])),
    ISNUMBER(SEARCH("unknown", tblDocketedComments[[#This Row],[Docketed Consumer Comments]])),
    ISNUMBER(SEARCH("inactive", tblDocketedComments[[#This Row],[Docketed Consumer Comments]]))
  ),
  0,
  1
)</f>
        <v>1</v>
      </c>
    </row>
    <row r="727" spans="1:22">
      <c r="A727" s="2">
        <v>45905</v>
      </c>
      <c r="B727" s="1" t="s">
        <v>49</v>
      </c>
      <c r="C727" s="1" t="s">
        <v>2128</v>
      </c>
      <c r="D727" s="1" t="s">
        <v>539</v>
      </c>
      <c r="E727" s="1">
        <v>85122</v>
      </c>
      <c r="F727" s="1" t="s">
        <v>2129</v>
      </c>
      <c r="G727" s="1" t="s">
        <v>2130</v>
      </c>
      <c r="H727" s="4" t="s">
        <v>2131</v>
      </c>
      <c r="I727" s="5" t="s">
        <v>541</v>
      </c>
      <c r="J727" s="5" t="s">
        <v>37</v>
      </c>
      <c r="K727" s="5" t="s">
        <v>37</v>
      </c>
      <c r="L727" s="5" t="s">
        <v>389</v>
      </c>
      <c r="M727" s="5" t="s">
        <v>37</v>
      </c>
      <c r="N727" s="5" t="s">
        <v>37</v>
      </c>
      <c r="O727" s="5" t="s">
        <v>38</v>
      </c>
      <c r="P727" s="5" t="s">
        <v>39</v>
      </c>
      <c r="Q727" s="2">
        <v>45966</v>
      </c>
      <c r="V727" s="46">
        <f>IF(
  OR(
    ISNUMBER(SEARCH("unable to locate acct", tblDocketedComments[[#This Row],[Docketed Consumer Comments]])),
    ISNUMBER(SEARCH("unknown", tblDocketedComments[[#This Row],[Docketed Consumer Comments]])),
    ISNUMBER(SEARCH("inactive", tblDocketedComments[[#This Row],[Docketed Consumer Comments]]))
  ),
  0,
  1
)</f>
        <v>1</v>
      </c>
    </row>
    <row r="728" spans="1:22">
      <c r="A728" s="2">
        <v>45905</v>
      </c>
      <c r="B728" s="1" t="s">
        <v>2132</v>
      </c>
      <c r="C728" s="1" t="s">
        <v>133</v>
      </c>
      <c r="D728" s="1" t="s">
        <v>125</v>
      </c>
      <c r="E728" s="1">
        <v>85255</v>
      </c>
      <c r="F728" s="1" t="s">
        <v>310</v>
      </c>
      <c r="G728" s="1" t="s">
        <v>2130</v>
      </c>
      <c r="H728" s="4" t="s">
        <v>2133</v>
      </c>
      <c r="I728" s="5" t="s">
        <v>541</v>
      </c>
      <c r="J728" s="5" t="s">
        <v>37</v>
      </c>
      <c r="K728" s="5" t="s">
        <v>37</v>
      </c>
      <c r="L728" s="5" t="s">
        <v>389</v>
      </c>
      <c r="M728" s="5" t="s">
        <v>37</v>
      </c>
      <c r="N728" s="5" t="s">
        <v>37</v>
      </c>
      <c r="O728" s="5" t="s">
        <v>38</v>
      </c>
      <c r="P728" s="5" t="s">
        <v>39</v>
      </c>
      <c r="Q728" s="2">
        <v>45966</v>
      </c>
      <c r="V728" s="46">
        <f>IF(
  OR(
    ISNUMBER(SEARCH("unable to locate acct", tblDocketedComments[[#This Row],[Docketed Consumer Comments]])),
    ISNUMBER(SEARCH("unknown", tblDocketedComments[[#This Row],[Docketed Consumer Comments]])),
    ISNUMBER(SEARCH("inactive", tblDocketedComments[[#This Row],[Docketed Consumer Comments]]))
  ),
  0,
  1
)</f>
        <v>1</v>
      </c>
    </row>
    <row r="729" spans="1:22">
      <c r="A729" s="2">
        <v>45905</v>
      </c>
      <c r="B729" s="1" t="s">
        <v>2134</v>
      </c>
      <c r="C729" s="1" t="s">
        <v>2135</v>
      </c>
      <c r="D729" s="1" t="s">
        <v>240</v>
      </c>
      <c r="E729" s="1">
        <v>85340</v>
      </c>
      <c r="F729" s="1" t="s">
        <v>31</v>
      </c>
      <c r="G729" s="1" t="s">
        <v>2130</v>
      </c>
      <c r="H729" s="4" t="s">
        <v>2136</v>
      </c>
      <c r="I729" s="5" t="s">
        <v>243</v>
      </c>
      <c r="J729" s="5" t="s">
        <v>37</v>
      </c>
      <c r="K729" s="5" t="s">
        <v>37</v>
      </c>
      <c r="L729" s="5" t="s">
        <v>389</v>
      </c>
      <c r="M729" s="5" t="s">
        <v>37</v>
      </c>
      <c r="N729" s="5" t="s">
        <v>37</v>
      </c>
      <c r="O729" s="5" t="s">
        <v>38</v>
      </c>
      <c r="P729" s="5" t="s">
        <v>39</v>
      </c>
      <c r="Q729" s="2">
        <v>45966</v>
      </c>
      <c r="V729" s="46">
        <f>IF(
  OR(
    ISNUMBER(SEARCH("unable to locate acct", tblDocketedComments[[#This Row],[Docketed Consumer Comments]])),
    ISNUMBER(SEARCH("unknown", tblDocketedComments[[#This Row],[Docketed Consumer Comments]])),
    ISNUMBER(SEARCH("inactive", tblDocketedComments[[#This Row],[Docketed Consumer Comments]]))
  ),
  0,
  1
)</f>
        <v>1</v>
      </c>
    </row>
    <row r="730" spans="1:22">
      <c r="A730" s="2">
        <v>45905</v>
      </c>
      <c r="B730" s="1" t="s">
        <v>1876</v>
      </c>
      <c r="C730" s="1" t="s">
        <v>145</v>
      </c>
      <c r="D730" s="1" t="s">
        <v>129</v>
      </c>
      <c r="E730" s="1">
        <v>85296</v>
      </c>
      <c r="F730" s="1" t="s">
        <v>310</v>
      </c>
      <c r="G730" s="1" t="s">
        <v>2130</v>
      </c>
      <c r="H730" s="4" t="s">
        <v>2137</v>
      </c>
      <c r="I730" s="5" t="s">
        <v>126</v>
      </c>
      <c r="J730" s="5" t="s">
        <v>37</v>
      </c>
      <c r="K730" s="5" t="s">
        <v>37</v>
      </c>
      <c r="L730" s="5" t="s">
        <v>38</v>
      </c>
      <c r="M730" s="5" t="s">
        <v>37</v>
      </c>
      <c r="N730" s="5" t="s">
        <v>37</v>
      </c>
      <c r="O730" s="5" t="s">
        <v>38</v>
      </c>
      <c r="P730" s="5" t="s">
        <v>39</v>
      </c>
      <c r="Q730" s="2">
        <v>45966</v>
      </c>
      <c r="V730" s="46">
        <f>IF(
  OR(
    ISNUMBER(SEARCH("unable to locate acct", tblDocketedComments[[#This Row],[Docketed Consumer Comments]])),
    ISNUMBER(SEARCH("unknown", tblDocketedComments[[#This Row],[Docketed Consumer Comments]])),
    ISNUMBER(SEARCH("inactive", tblDocketedComments[[#This Row],[Docketed Consumer Comments]]))
  ),
  0,
  1
)</f>
        <v>1</v>
      </c>
    </row>
    <row r="731" spans="1:22">
      <c r="A731" s="2">
        <v>45905</v>
      </c>
      <c r="B731" s="1" t="s">
        <v>2138</v>
      </c>
      <c r="C731" s="1" t="s">
        <v>2139</v>
      </c>
      <c r="D731" s="1" t="s">
        <v>635</v>
      </c>
      <c r="E731" s="1">
        <v>85281</v>
      </c>
      <c r="F731" s="1" t="s">
        <v>310</v>
      </c>
      <c r="G731" s="1" t="s">
        <v>2130</v>
      </c>
      <c r="H731" s="4" t="s">
        <v>2140</v>
      </c>
      <c r="I731" s="5" t="s">
        <v>196</v>
      </c>
      <c r="J731" s="5" t="s">
        <v>37</v>
      </c>
      <c r="K731" s="5" t="s">
        <v>37</v>
      </c>
      <c r="L731" s="5" t="s">
        <v>38</v>
      </c>
      <c r="M731" s="5" t="s">
        <v>38</v>
      </c>
      <c r="N731" s="13">
        <v>422.52</v>
      </c>
      <c r="O731" s="5" t="s">
        <v>38</v>
      </c>
      <c r="P731" s="5" t="s">
        <v>39</v>
      </c>
      <c r="Q731" s="2">
        <v>45966</v>
      </c>
      <c r="V731" s="46">
        <f>IF(
  OR(
    ISNUMBER(SEARCH("unable to locate acct", tblDocketedComments[[#This Row],[Docketed Consumer Comments]])),
    ISNUMBER(SEARCH("unknown", tblDocketedComments[[#This Row],[Docketed Consumer Comments]])),
    ISNUMBER(SEARCH("inactive", tblDocketedComments[[#This Row],[Docketed Consumer Comments]]))
  ),
  0,
  1
)</f>
        <v>1</v>
      </c>
    </row>
    <row r="732" spans="1:22">
      <c r="A732" s="2">
        <v>45905</v>
      </c>
      <c r="B732" s="1" t="s">
        <v>2141</v>
      </c>
      <c r="C732" s="1" t="s">
        <v>1444</v>
      </c>
      <c r="D732" s="1" t="s">
        <v>370</v>
      </c>
      <c r="E732" s="1">
        <v>85225</v>
      </c>
      <c r="F732" s="1" t="s">
        <v>310</v>
      </c>
      <c r="G732" s="1" t="s">
        <v>2130</v>
      </c>
      <c r="H732" s="4" t="s">
        <v>2142</v>
      </c>
      <c r="I732" s="5" t="s">
        <v>36</v>
      </c>
      <c r="J732" s="5" t="s">
        <v>37</v>
      </c>
      <c r="K732" s="5" t="s">
        <v>37</v>
      </c>
      <c r="L732" s="5" t="s">
        <v>38</v>
      </c>
      <c r="M732" s="5" t="s">
        <v>37</v>
      </c>
      <c r="N732" s="5" t="s">
        <v>37</v>
      </c>
      <c r="O732" s="5" t="s">
        <v>38</v>
      </c>
      <c r="P732" s="5" t="s">
        <v>39</v>
      </c>
      <c r="Q732" s="2">
        <v>45966</v>
      </c>
      <c r="V732" s="46">
        <f>IF(
  OR(
    ISNUMBER(SEARCH("unable to locate acct", tblDocketedComments[[#This Row],[Docketed Consumer Comments]])),
    ISNUMBER(SEARCH("unknown", tblDocketedComments[[#This Row],[Docketed Consumer Comments]])),
    ISNUMBER(SEARCH("inactive", tblDocketedComments[[#This Row],[Docketed Consumer Comments]]))
  ),
  0,
  1
)</f>
        <v>1</v>
      </c>
    </row>
    <row r="733" spans="1:22">
      <c r="A733" s="2">
        <v>45905</v>
      </c>
      <c r="B733" s="1" t="s">
        <v>2143</v>
      </c>
      <c r="C733" s="1" t="s">
        <v>2144</v>
      </c>
      <c r="D733" s="1" t="s">
        <v>63</v>
      </c>
      <c r="E733" s="1">
        <v>85032</v>
      </c>
      <c r="F733" s="1" t="s">
        <v>310</v>
      </c>
      <c r="G733" s="1" t="s">
        <v>2130</v>
      </c>
      <c r="H733" s="4" t="s">
        <v>2145</v>
      </c>
      <c r="I733" s="5" t="s">
        <v>57</v>
      </c>
      <c r="J733" s="5" t="s">
        <v>37</v>
      </c>
      <c r="K733" s="5" t="s">
        <v>37</v>
      </c>
      <c r="L733" s="5" t="s">
        <v>401</v>
      </c>
      <c r="M733" s="5" t="s">
        <v>37</v>
      </c>
      <c r="N733" s="5" t="s">
        <v>37</v>
      </c>
      <c r="O733" s="5" t="s">
        <v>38</v>
      </c>
      <c r="P733" s="5" t="s">
        <v>39</v>
      </c>
      <c r="Q733" s="2">
        <v>45966</v>
      </c>
      <c r="V733" s="46">
        <f>IF(
  OR(
    ISNUMBER(SEARCH("unable to locate acct", tblDocketedComments[[#This Row],[Docketed Consumer Comments]])),
    ISNUMBER(SEARCH("unknown", tblDocketedComments[[#This Row],[Docketed Consumer Comments]])),
    ISNUMBER(SEARCH("inactive", tblDocketedComments[[#This Row],[Docketed Consumer Comments]]))
  ),
  0,
  1
)</f>
        <v>1</v>
      </c>
    </row>
    <row r="734" spans="1:22">
      <c r="A734" s="2">
        <v>45905</v>
      </c>
      <c r="B734" s="1" t="s">
        <v>2146</v>
      </c>
      <c r="C734" s="1" t="s">
        <v>120</v>
      </c>
      <c r="D734" s="1" t="s">
        <v>63</v>
      </c>
      <c r="E734" s="1">
        <v>85032</v>
      </c>
      <c r="F734" s="1" t="s">
        <v>310</v>
      </c>
      <c r="G734" s="1" t="s">
        <v>2130</v>
      </c>
      <c r="H734" s="4" t="s">
        <v>2147</v>
      </c>
      <c r="I734" s="5" t="s">
        <v>196</v>
      </c>
      <c r="J734" s="5" t="s">
        <v>37</v>
      </c>
      <c r="K734" s="5" t="s">
        <v>37</v>
      </c>
      <c r="L734" s="5" t="s">
        <v>2148</v>
      </c>
      <c r="M734" s="5" t="s">
        <v>37</v>
      </c>
      <c r="N734" s="5" t="s">
        <v>37</v>
      </c>
      <c r="O734" s="5" t="s">
        <v>38</v>
      </c>
      <c r="P734" s="5" t="s">
        <v>39</v>
      </c>
      <c r="Q734" s="2">
        <v>45966</v>
      </c>
      <c r="V734" s="46">
        <f>IF(
  OR(
    ISNUMBER(SEARCH("unable to locate acct", tblDocketedComments[[#This Row],[Docketed Consumer Comments]])),
    ISNUMBER(SEARCH("unknown", tblDocketedComments[[#This Row],[Docketed Consumer Comments]])),
    ISNUMBER(SEARCH("inactive", tblDocketedComments[[#This Row],[Docketed Consumer Comments]]))
  ),
  0,
  1
)</f>
        <v>1</v>
      </c>
    </row>
    <row r="735" spans="1:22">
      <c r="A735" s="2">
        <v>45905</v>
      </c>
      <c r="B735" s="1" t="s">
        <v>225</v>
      </c>
      <c r="C735" s="1" t="s">
        <v>2149</v>
      </c>
      <c r="D735" s="1" t="s">
        <v>63</v>
      </c>
      <c r="E735" s="1">
        <v>85006</v>
      </c>
      <c r="F735" s="1" t="s">
        <v>310</v>
      </c>
      <c r="G735" s="1" t="s">
        <v>2130</v>
      </c>
      <c r="H735" s="4" t="s">
        <v>2150</v>
      </c>
      <c r="I735" s="5" t="s">
        <v>73</v>
      </c>
      <c r="J735" s="5" t="s">
        <v>37</v>
      </c>
      <c r="K735" s="5" t="s">
        <v>37</v>
      </c>
      <c r="L735" s="5" t="s">
        <v>38</v>
      </c>
      <c r="M735" s="5" t="s">
        <v>37</v>
      </c>
      <c r="N735" s="5" t="s">
        <v>37</v>
      </c>
      <c r="O735" s="5" t="s">
        <v>38</v>
      </c>
      <c r="P735" s="5" t="s">
        <v>39</v>
      </c>
      <c r="Q735" s="2">
        <v>45966</v>
      </c>
      <c r="V735" s="46">
        <f>IF(
  OR(
    ISNUMBER(SEARCH("unable to locate acct", tblDocketedComments[[#This Row],[Docketed Consumer Comments]])),
    ISNUMBER(SEARCH("unknown", tblDocketedComments[[#This Row],[Docketed Consumer Comments]])),
    ISNUMBER(SEARCH("inactive", tblDocketedComments[[#This Row],[Docketed Consumer Comments]]))
  ),
  0,
  1
)</f>
        <v>1</v>
      </c>
    </row>
    <row r="736" spans="1:22">
      <c r="A736" s="2">
        <v>45905</v>
      </c>
      <c r="B736" s="1" t="s">
        <v>2151</v>
      </c>
      <c r="C736" s="1" t="s">
        <v>2152</v>
      </c>
      <c r="D736" s="1" t="s">
        <v>737</v>
      </c>
      <c r="E736" s="1">
        <v>86326</v>
      </c>
      <c r="F736" s="1" t="s">
        <v>1957</v>
      </c>
      <c r="G736" s="1" t="s">
        <v>2130</v>
      </c>
      <c r="H736" s="4" t="s">
        <v>2153</v>
      </c>
      <c r="I736" s="5" t="s">
        <v>46</v>
      </c>
      <c r="J736" s="5" t="s">
        <v>37</v>
      </c>
      <c r="K736" s="5" t="s">
        <v>37</v>
      </c>
      <c r="L736" s="5" t="s">
        <v>38</v>
      </c>
      <c r="M736" s="5" t="s">
        <v>37</v>
      </c>
      <c r="N736" s="5" t="s">
        <v>37</v>
      </c>
      <c r="O736" s="5" t="s">
        <v>38</v>
      </c>
      <c r="P736" s="5" t="s">
        <v>39</v>
      </c>
      <c r="Q736" s="2">
        <v>45966</v>
      </c>
      <c r="V736" s="46">
        <f>IF(
  OR(
    ISNUMBER(SEARCH("unable to locate acct", tblDocketedComments[[#This Row],[Docketed Consumer Comments]])),
    ISNUMBER(SEARCH("unknown", tblDocketedComments[[#This Row],[Docketed Consumer Comments]])),
    ISNUMBER(SEARCH("inactive", tblDocketedComments[[#This Row],[Docketed Consumer Comments]]))
  ),
  0,
  1
)</f>
        <v>1</v>
      </c>
    </row>
    <row r="737" spans="1:22">
      <c r="A737" s="2">
        <v>45905</v>
      </c>
      <c r="B737" s="1" t="s">
        <v>2154</v>
      </c>
      <c r="C737" s="1" t="s">
        <v>1862</v>
      </c>
      <c r="D737" s="1" t="s">
        <v>63</v>
      </c>
      <c r="E737" s="1">
        <v>85032</v>
      </c>
      <c r="F737" s="1" t="s">
        <v>310</v>
      </c>
      <c r="G737" s="1" t="s">
        <v>2130</v>
      </c>
      <c r="H737" s="4" t="s">
        <v>2155</v>
      </c>
      <c r="I737" s="5" t="s">
        <v>126</v>
      </c>
      <c r="J737" s="5" t="s">
        <v>37</v>
      </c>
      <c r="K737" s="5" t="s">
        <v>37</v>
      </c>
      <c r="L737" s="5" t="s">
        <v>38</v>
      </c>
      <c r="M737" s="5" t="s">
        <v>37</v>
      </c>
      <c r="N737" s="5" t="s">
        <v>37</v>
      </c>
      <c r="O737" s="5" t="s">
        <v>38</v>
      </c>
      <c r="P737" s="5" t="s">
        <v>39</v>
      </c>
      <c r="Q737" s="2">
        <v>45966</v>
      </c>
      <c r="V737" s="46">
        <f>IF(
  OR(
    ISNUMBER(SEARCH("unable to locate acct", tblDocketedComments[[#This Row],[Docketed Consumer Comments]])),
    ISNUMBER(SEARCH("unknown", tblDocketedComments[[#This Row],[Docketed Consumer Comments]])),
    ISNUMBER(SEARCH("inactive", tblDocketedComments[[#This Row],[Docketed Consumer Comments]]))
  ),
  0,
  1
)</f>
        <v>1</v>
      </c>
    </row>
    <row r="738" spans="1:22">
      <c r="A738" s="2">
        <v>45905</v>
      </c>
      <c r="B738" s="1" t="s">
        <v>2156</v>
      </c>
      <c r="C738" s="1" t="s">
        <v>411</v>
      </c>
      <c r="D738" s="1" t="s">
        <v>63</v>
      </c>
      <c r="E738" s="1">
        <v>85032</v>
      </c>
      <c r="F738" s="1" t="s">
        <v>310</v>
      </c>
      <c r="G738" s="1" t="s">
        <v>2130</v>
      </c>
      <c r="H738" s="4" t="s">
        <v>2157</v>
      </c>
      <c r="I738" s="5" t="s">
        <v>36</v>
      </c>
      <c r="J738" s="5" t="s">
        <v>37</v>
      </c>
      <c r="K738" s="5" t="s">
        <v>37</v>
      </c>
      <c r="L738" s="5" t="s">
        <v>38</v>
      </c>
      <c r="M738" s="5" t="s">
        <v>37</v>
      </c>
      <c r="N738" s="5" t="s">
        <v>37</v>
      </c>
      <c r="O738" s="5" t="s">
        <v>38</v>
      </c>
      <c r="P738" s="5" t="s">
        <v>39</v>
      </c>
      <c r="Q738" s="2">
        <v>45966</v>
      </c>
      <c r="V738" s="46">
        <f>IF(
  OR(
    ISNUMBER(SEARCH("unable to locate acct", tblDocketedComments[[#This Row],[Docketed Consumer Comments]])),
    ISNUMBER(SEARCH("unknown", tblDocketedComments[[#This Row],[Docketed Consumer Comments]])),
    ISNUMBER(SEARCH("inactive", tblDocketedComments[[#This Row],[Docketed Consumer Comments]]))
  ),
  0,
  1
)</f>
        <v>1</v>
      </c>
    </row>
    <row r="739" spans="1:22">
      <c r="A739" s="2">
        <v>45905</v>
      </c>
      <c r="B739" s="1" t="s">
        <v>1839</v>
      </c>
      <c r="C739" s="1" t="s">
        <v>2158</v>
      </c>
      <c r="D739" s="1" t="s">
        <v>63</v>
      </c>
      <c r="E739" s="1">
        <v>85024</v>
      </c>
      <c r="F739" s="1" t="s">
        <v>310</v>
      </c>
      <c r="G739" s="1" t="s">
        <v>2130</v>
      </c>
      <c r="H739" s="4" t="s">
        <v>2159</v>
      </c>
      <c r="I739" s="5" t="s">
        <v>36</v>
      </c>
      <c r="J739" s="5" t="s">
        <v>37</v>
      </c>
      <c r="K739" s="5" t="s">
        <v>37</v>
      </c>
      <c r="L739" s="5" t="s">
        <v>38</v>
      </c>
      <c r="M739" s="5" t="s">
        <v>37</v>
      </c>
      <c r="N739" s="5" t="s">
        <v>37</v>
      </c>
      <c r="O739" s="5" t="s">
        <v>38</v>
      </c>
      <c r="P739" s="5" t="s">
        <v>39</v>
      </c>
      <c r="Q739" s="2">
        <v>45966</v>
      </c>
      <c r="V739" s="46">
        <f>IF(
  OR(
    ISNUMBER(SEARCH("unable to locate acct", tblDocketedComments[[#This Row],[Docketed Consumer Comments]])),
    ISNUMBER(SEARCH("unknown", tblDocketedComments[[#This Row],[Docketed Consumer Comments]])),
    ISNUMBER(SEARCH("inactive", tblDocketedComments[[#This Row],[Docketed Consumer Comments]]))
  ),
  0,
  1
)</f>
        <v>1</v>
      </c>
    </row>
    <row r="740" spans="1:22">
      <c r="A740" s="2">
        <v>45905</v>
      </c>
      <c r="B740" s="1" t="s">
        <v>2160</v>
      </c>
      <c r="C740" s="1" t="s">
        <v>2161</v>
      </c>
      <c r="D740" s="1" t="s">
        <v>63</v>
      </c>
      <c r="E740" s="1">
        <v>85053</v>
      </c>
      <c r="F740" s="1" t="s">
        <v>310</v>
      </c>
      <c r="G740" s="1" t="s">
        <v>2130</v>
      </c>
      <c r="H740" s="4" t="s">
        <v>27</v>
      </c>
      <c r="V740" s="46">
        <f>IF(
  OR(
    ISNUMBER(SEARCH("unable to locate acct", tblDocketedComments[[#This Row],[Docketed Consumer Comments]])),
    ISNUMBER(SEARCH("unknown", tblDocketedComments[[#This Row],[Docketed Consumer Comments]])),
    ISNUMBER(SEARCH("inactive", tblDocketedComments[[#This Row],[Docketed Consumer Comments]]))
  ),
  0,
  1
)</f>
        <v>1</v>
      </c>
    </row>
    <row r="741" spans="1:22">
      <c r="A741" s="2">
        <v>45905</v>
      </c>
      <c r="B741" s="1" t="s">
        <v>2162</v>
      </c>
      <c r="C741" s="1" t="s">
        <v>705</v>
      </c>
      <c r="D741" s="1" t="s">
        <v>63</v>
      </c>
      <c r="E741" s="1">
        <v>85020</v>
      </c>
      <c r="F741" s="1" t="s">
        <v>2163</v>
      </c>
      <c r="G741" s="1" t="s">
        <v>2130</v>
      </c>
      <c r="H741" s="19" t="s">
        <v>2164</v>
      </c>
      <c r="I741" s="5" t="s">
        <v>36</v>
      </c>
      <c r="J741" s="5" t="s">
        <v>37</v>
      </c>
      <c r="K741" s="5" t="s">
        <v>37</v>
      </c>
      <c r="L741" s="5" t="s">
        <v>38</v>
      </c>
      <c r="M741" s="5" t="s">
        <v>37</v>
      </c>
      <c r="N741" s="5" t="s">
        <v>37</v>
      </c>
      <c r="O741" s="5" t="s">
        <v>38</v>
      </c>
      <c r="P741" s="5" t="s">
        <v>39</v>
      </c>
      <c r="Q741" s="2">
        <v>45966</v>
      </c>
      <c r="V741" s="46">
        <f>IF(
  OR(
    ISNUMBER(SEARCH("unable to locate acct", tblDocketedComments[[#This Row],[Docketed Consumer Comments]])),
    ISNUMBER(SEARCH("unknown", tblDocketedComments[[#This Row],[Docketed Consumer Comments]])),
    ISNUMBER(SEARCH("inactive", tblDocketedComments[[#This Row],[Docketed Consumer Comments]]))
  ),
  0,
  1
)</f>
        <v>1</v>
      </c>
    </row>
    <row r="742" spans="1:22">
      <c r="A742" s="2">
        <v>45905</v>
      </c>
      <c r="B742" s="1" t="s">
        <v>2165</v>
      </c>
      <c r="C742" s="1" t="s">
        <v>835</v>
      </c>
      <c r="D742" s="1" t="s">
        <v>63</v>
      </c>
      <c r="E742" s="1">
        <v>85003</v>
      </c>
      <c r="F742" s="1" t="s">
        <v>2166</v>
      </c>
      <c r="G742" s="1" t="s">
        <v>2130</v>
      </c>
      <c r="H742" s="4" t="s">
        <v>2167</v>
      </c>
      <c r="I742" s="5" t="s">
        <v>46</v>
      </c>
      <c r="J742" s="5" t="s">
        <v>37</v>
      </c>
      <c r="K742" s="5" t="s">
        <v>37</v>
      </c>
      <c r="L742" s="5" t="s">
        <v>38</v>
      </c>
      <c r="M742" s="5" t="s">
        <v>37</v>
      </c>
      <c r="N742" s="5" t="s">
        <v>37</v>
      </c>
      <c r="O742" s="5" t="s">
        <v>38</v>
      </c>
      <c r="P742" s="5" t="s">
        <v>39</v>
      </c>
      <c r="Q742" s="2">
        <v>45966</v>
      </c>
      <c r="V742" s="46">
        <f>IF(
  OR(
    ISNUMBER(SEARCH("unable to locate acct", tblDocketedComments[[#This Row],[Docketed Consumer Comments]])),
    ISNUMBER(SEARCH("unknown", tblDocketedComments[[#This Row],[Docketed Consumer Comments]])),
    ISNUMBER(SEARCH("inactive", tblDocketedComments[[#This Row],[Docketed Consumer Comments]]))
  ),
  0,
  1
)</f>
        <v>1</v>
      </c>
    </row>
    <row r="743" spans="1:22">
      <c r="A743" s="2">
        <v>45905</v>
      </c>
      <c r="B743" s="1" t="s">
        <v>2168</v>
      </c>
      <c r="C743" s="1" t="s">
        <v>2169</v>
      </c>
      <c r="D743" s="1" t="s">
        <v>68</v>
      </c>
      <c r="E743" s="1">
        <v>85331</v>
      </c>
      <c r="F743" s="1" t="s">
        <v>310</v>
      </c>
      <c r="G743" s="1" t="s">
        <v>2130</v>
      </c>
      <c r="H743" s="4" t="s">
        <v>2170</v>
      </c>
      <c r="I743" s="5" t="s">
        <v>196</v>
      </c>
      <c r="J743" s="5" t="s">
        <v>37</v>
      </c>
      <c r="K743" s="5" t="s">
        <v>37</v>
      </c>
      <c r="L743" s="7" t="s">
        <v>2171</v>
      </c>
      <c r="M743" s="5" t="s">
        <v>37</v>
      </c>
      <c r="N743" s="5" t="s">
        <v>37</v>
      </c>
      <c r="O743" s="5" t="s">
        <v>38</v>
      </c>
      <c r="P743" s="2">
        <v>45971</v>
      </c>
      <c r="Q743" s="2">
        <v>45966</v>
      </c>
      <c r="R743" s="1" t="s">
        <v>2172</v>
      </c>
      <c r="V743" s="46">
        <f>IF(
  OR(
    ISNUMBER(SEARCH("unable to locate acct", tblDocketedComments[[#This Row],[Docketed Consumer Comments]])),
    ISNUMBER(SEARCH("unknown", tblDocketedComments[[#This Row],[Docketed Consumer Comments]])),
    ISNUMBER(SEARCH("inactive", tblDocketedComments[[#This Row],[Docketed Consumer Comments]]))
  ),
  0,
  1
)</f>
        <v>1</v>
      </c>
    </row>
    <row r="744" spans="1:22">
      <c r="A744" s="2">
        <v>45905</v>
      </c>
      <c r="B744" s="1" t="s">
        <v>2173</v>
      </c>
      <c r="C744" s="1" t="s">
        <v>471</v>
      </c>
      <c r="D744" s="1" t="s">
        <v>24</v>
      </c>
      <c r="E744" s="1">
        <v>85308</v>
      </c>
      <c r="F744" s="1" t="s">
        <v>310</v>
      </c>
      <c r="G744" s="1" t="s">
        <v>2130</v>
      </c>
      <c r="H744" s="4" t="s">
        <v>2174</v>
      </c>
      <c r="I744" s="5" t="s">
        <v>36</v>
      </c>
      <c r="J744" s="5" t="s">
        <v>37</v>
      </c>
      <c r="K744" s="5" t="s">
        <v>37</v>
      </c>
      <c r="L744" s="5" t="s">
        <v>38</v>
      </c>
      <c r="M744" s="5" t="s">
        <v>37</v>
      </c>
      <c r="N744" s="5" t="s">
        <v>37</v>
      </c>
      <c r="O744" s="5" t="s">
        <v>38</v>
      </c>
      <c r="P744" s="5" t="s">
        <v>39</v>
      </c>
      <c r="Q744" s="2">
        <v>45966</v>
      </c>
      <c r="V744" s="46">
        <f>IF(
  OR(
    ISNUMBER(SEARCH("unable to locate acct", tblDocketedComments[[#This Row],[Docketed Consumer Comments]])),
    ISNUMBER(SEARCH("unknown", tblDocketedComments[[#This Row],[Docketed Consumer Comments]])),
    ISNUMBER(SEARCH("inactive", tblDocketedComments[[#This Row],[Docketed Consumer Comments]]))
  ),
  0,
  1
)</f>
        <v>1</v>
      </c>
    </row>
    <row r="745" spans="1:22">
      <c r="A745" s="2">
        <v>45905</v>
      </c>
      <c r="B745" s="1" t="s">
        <v>2175</v>
      </c>
      <c r="C745" s="1" t="s">
        <v>2176</v>
      </c>
      <c r="D745" s="1" t="s">
        <v>112</v>
      </c>
      <c r="E745" s="1">
        <v>85388</v>
      </c>
      <c r="F745" s="1" t="s">
        <v>310</v>
      </c>
      <c r="G745" s="1" t="s">
        <v>2130</v>
      </c>
      <c r="H745" s="4" t="s">
        <v>27</v>
      </c>
      <c r="V745" s="46">
        <f>IF(
  OR(
    ISNUMBER(SEARCH("unable to locate acct", tblDocketedComments[[#This Row],[Docketed Consumer Comments]])),
    ISNUMBER(SEARCH("unknown", tblDocketedComments[[#This Row],[Docketed Consumer Comments]])),
    ISNUMBER(SEARCH("inactive", tblDocketedComments[[#This Row],[Docketed Consumer Comments]]))
  ),
  0,
  1
)</f>
        <v>1</v>
      </c>
    </row>
    <row r="746" spans="1:22">
      <c r="A746" s="2">
        <v>45905</v>
      </c>
      <c r="B746" s="1" t="s">
        <v>2177</v>
      </c>
      <c r="C746" s="1" t="s">
        <v>1815</v>
      </c>
      <c r="D746" s="1" t="s">
        <v>112</v>
      </c>
      <c r="E746" s="1">
        <v>85388</v>
      </c>
      <c r="F746" s="1" t="s">
        <v>310</v>
      </c>
      <c r="G746" s="1" t="s">
        <v>2130</v>
      </c>
      <c r="H746" s="4" t="s">
        <v>90</v>
      </c>
      <c r="V746" s="46">
        <f>IF(
  OR(
    ISNUMBER(SEARCH("unable to locate acct", tblDocketedComments[[#This Row],[Docketed Consumer Comments]])),
    ISNUMBER(SEARCH("unknown", tblDocketedComments[[#This Row],[Docketed Consumer Comments]])),
    ISNUMBER(SEARCH("inactive", tblDocketedComments[[#This Row],[Docketed Consumer Comments]]))
  ),
  0,
  1
)</f>
        <v>1</v>
      </c>
    </row>
    <row r="747" spans="1:22">
      <c r="A747" s="2">
        <v>45905</v>
      </c>
      <c r="B747" s="1" t="s">
        <v>2178</v>
      </c>
      <c r="C747" s="1" t="s">
        <v>2179</v>
      </c>
      <c r="D747" s="1" t="s">
        <v>169</v>
      </c>
      <c r="E747" s="1">
        <v>85338</v>
      </c>
      <c r="F747" s="1" t="s">
        <v>310</v>
      </c>
      <c r="G747" s="1" t="s">
        <v>2130</v>
      </c>
      <c r="H747" s="4" t="s">
        <v>2180</v>
      </c>
      <c r="I747" s="5" t="s">
        <v>126</v>
      </c>
      <c r="J747" s="5" t="s">
        <v>37</v>
      </c>
      <c r="K747" s="5" t="s">
        <v>37</v>
      </c>
      <c r="L747" s="5" t="s">
        <v>38</v>
      </c>
      <c r="M747" s="5" t="s">
        <v>37</v>
      </c>
      <c r="N747" s="5" t="s">
        <v>37</v>
      </c>
      <c r="O747" s="5" t="s">
        <v>38</v>
      </c>
      <c r="P747" s="5" t="s">
        <v>39</v>
      </c>
      <c r="Q747" s="2">
        <v>45966</v>
      </c>
      <c r="V747" s="46">
        <f>IF(
  OR(
    ISNUMBER(SEARCH("unable to locate acct", tblDocketedComments[[#This Row],[Docketed Consumer Comments]])),
    ISNUMBER(SEARCH("unknown", tblDocketedComments[[#This Row],[Docketed Consumer Comments]])),
    ISNUMBER(SEARCH("inactive", tblDocketedComments[[#This Row],[Docketed Consumer Comments]]))
  ),
  0,
  1
)</f>
        <v>1</v>
      </c>
    </row>
    <row r="748" spans="1:22">
      <c r="A748" s="2">
        <v>45905</v>
      </c>
      <c r="B748" s="1" t="s">
        <v>2181</v>
      </c>
      <c r="C748" s="1" t="s">
        <v>75</v>
      </c>
      <c r="D748" s="1" t="s">
        <v>63</v>
      </c>
      <c r="E748" s="1">
        <v>85050</v>
      </c>
      <c r="F748" s="1" t="s">
        <v>310</v>
      </c>
      <c r="G748" s="1" t="s">
        <v>2130</v>
      </c>
      <c r="H748" s="4" t="s">
        <v>2182</v>
      </c>
      <c r="I748" s="5" t="s">
        <v>36</v>
      </c>
      <c r="J748" s="5" t="s">
        <v>37</v>
      </c>
      <c r="K748" s="5" t="s">
        <v>37</v>
      </c>
      <c r="L748" s="5" t="s">
        <v>38</v>
      </c>
      <c r="M748" s="5" t="s">
        <v>37</v>
      </c>
      <c r="N748" s="5" t="s">
        <v>37</v>
      </c>
      <c r="O748" s="5" t="s">
        <v>38</v>
      </c>
      <c r="P748" s="5" t="s">
        <v>39</v>
      </c>
      <c r="Q748" s="2">
        <v>45966</v>
      </c>
      <c r="V748" s="46">
        <f>IF(
  OR(
    ISNUMBER(SEARCH("unable to locate acct", tblDocketedComments[[#This Row],[Docketed Consumer Comments]])),
    ISNUMBER(SEARCH("unknown", tblDocketedComments[[#This Row],[Docketed Consumer Comments]])),
    ISNUMBER(SEARCH("inactive", tblDocketedComments[[#This Row],[Docketed Consumer Comments]]))
  ),
  0,
  1
)</f>
        <v>1</v>
      </c>
    </row>
    <row r="749" spans="1:22">
      <c r="A749" s="2">
        <v>45905</v>
      </c>
      <c r="B749" s="1" t="s">
        <v>2183</v>
      </c>
      <c r="C749" s="1" t="s">
        <v>2184</v>
      </c>
      <c r="D749" s="1" t="s">
        <v>125</v>
      </c>
      <c r="E749" s="1">
        <v>85260</v>
      </c>
      <c r="F749" s="1" t="s">
        <v>2185</v>
      </c>
      <c r="G749" s="1" t="s">
        <v>2130</v>
      </c>
      <c r="H749" s="4" t="s">
        <v>2186</v>
      </c>
      <c r="I749" s="5" t="s">
        <v>36</v>
      </c>
      <c r="J749" s="5" t="s">
        <v>37</v>
      </c>
      <c r="K749" s="5" t="s">
        <v>37</v>
      </c>
      <c r="L749" s="5" t="s">
        <v>38</v>
      </c>
      <c r="M749" s="5" t="s">
        <v>37</v>
      </c>
      <c r="N749" s="5" t="s">
        <v>37</v>
      </c>
      <c r="O749" s="5" t="s">
        <v>38</v>
      </c>
      <c r="P749" s="5" t="s">
        <v>39</v>
      </c>
      <c r="Q749" s="2">
        <v>45966</v>
      </c>
      <c r="V749" s="46">
        <f>IF(
  OR(
    ISNUMBER(SEARCH("unable to locate acct", tblDocketedComments[[#This Row],[Docketed Consumer Comments]])),
    ISNUMBER(SEARCH("unknown", tblDocketedComments[[#This Row],[Docketed Consumer Comments]])),
    ISNUMBER(SEARCH("inactive", tblDocketedComments[[#This Row],[Docketed Consumer Comments]]))
  ),
  0,
  1
)</f>
        <v>1</v>
      </c>
    </row>
    <row r="750" spans="1:22">
      <c r="A750" s="2">
        <v>45905</v>
      </c>
      <c r="B750" s="1" t="s">
        <v>2187</v>
      </c>
      <c r="C750" s="1" t="s">
        <v>2188</v>
      </c>
      <c r="D750" s="1" t="s">
        <v>63</v>
      </c>
      <c r="E750" s="1">
        <v>85024</v>
      </c>
      <c r="F750" s="1" t="s">
        <v>2189</v>
      </c>
      <c r="G750" s="1" t="s">
        <v>2130</v>
      </c>
      <c r="H750" s="4" t="s">
        <v>2190</v>
      </c>
      <c r="I750" s="5" t="s">
        <v>196</v>
      </c>
      <c r="J750" s="5" t="s">
        <v>37</v>
      </c>
      <c r="K750" s="5" t="s">
        <v>37</v>
      </c>
      <c r="L750" s="5" t="s">
        <v>2191</v>
      </c>
      <c r="M750" s="5" t="s">
        <v>38</v>
      </c>
      <c r="N750" s="13">
        <v>470.06</v>
      </c>
      <c r="O750" s="5" t="s">
        <v>38</v>
      </c>
      <c r="P750" s="5" t="s">
        <v>39</v>
      </c>
      <c r="Q750" s="2">
        <v>45966</v>
      </c>
      <c r="V750" s="46">
        <f>IF(
  OR(
    ISNUMBER(SEARCH("unable to locate acct", tblDocketedComments[[#This Row],[Docketed Consumer Comments]])),
    ISNUMBER(SEARCH("unknown", tblDocketedComments[[#This Row],[Docketed Consumer Comments]])),
    ISNUMBER(SEARCH("inactive", tblDocketedComments[[#This Row],[Docketed Consumer Comments]]))
  ),
  0,
  1
)</f>
        <v>1</v>
      </c>
    </row>
    <row r="751" spans="1:22">
      <c r="A751" s="2">
        <v>45905</v>
      </c>
      <c r="B751" s="1" t="s">
        <v>2192</v>
      </c>
      <c r="C751" s="1" t="s">
        <v>835</v>
      </c>
      <c r="D751" s="1" t="s">
        <v>63</v>
      </c>
      <c r="E751" s="1">
        <v>85016</v>
      </c>
      <c r="F751" s="1" t="s">
        <v>310</v>
      </c>
      <c r="G751" s="1" t="s">
        <v>2130</v>
      </c>
      <c r="H751" s="4" t="s">
        <v>2193</v>
      </c>
      <c r="I751" s="5" t="s">
        <v>126</v>
      </c>
      <c r="J751" s="5" t="s">
        <v>37</v>
      </c>
      <c r="K751" s="5" t="s">
        <v>37</v>
      </c>
      <c r="L751" s="5" t="s">
        <v>38</v>
      </c>
      <c r="M751" s="5" t="s">
        <v>37</v>
      </c>
      <c r="N751" s="5" t="s">
        <v>37</v>
      </c>
      <c r="O751" s="5" t="s">
        <v>38</v>
      </c>
      <c r="P751" s="5" t="s">
        <v>39</v>
      </c>
      <c r="Q751" s="2">
        <v>45966</v>
      </c>
      <c r="V751" s="46">
        <f>IF(
  OR(
    ISNUMBER(SEARCH("unable to locate acct", tblDocketedComments[[#This Row],[Docketed Consumer Comments]])),
    ISNUMBER(SEARCH("unknown", tblDocketedComments[[#This Row],[Docketed Consumer Comments]])),
    ISNUMBER(SEARCH("inactive", tblDocketedComments[[#This Row],[Docketed Consumer Comments]]))
  ),
  0,
  1
)</f>
        <v>1</v>
      </c>
    </row>
    <row r="752" spans="1:22">
      <c r="A752" s="2">
        <v>45905</v>
      </c>
      <c r="B752" s="1" t="s">
        <v>2194</v>
      </c>
      <c r="C752" s="1" t="s">
        <v>206</v>
      </c>
      <c r="D752" s="1" t="s">
        <v>125</v>
      </c>
      <c r="E752" s="1">
        <v>85258</v>
      </c>
      <c r="F752" s="1" t="s">
        <v>2195</v>
      </c>
      <c r="G752" s="1" t="s">
        <v>2130</v>
      </c>
      <c r="H752" s="4" t="s">
        <v>2196</v>
      </c>
      <c r="I752" s="5" t="s">
        <v>36</v>
      </c>
      <c r="J752" s="5" t="s">
        <v>37</v>
      </c>
      <c r="K752" s="5" t="s">
        <v>37</v>
      </c>
      <c r="L752" s="5" t="s">
        <v>2197</v>
      </c>
      <c r="M752" s="5" t="s">
        <v>37</v>
      </c>
      <c r="N752" s="5" t="s">
        <v>37</v>
      </c>
      <c r="O752" s="5" t="s">
        <v>38</v>
      </c>
      <c r="P752" s="5" t="s">
        <v>39</v>
      </c>
      <c r="Q752" s="2">
        <v>45966</v>
      </c>
      <c r="R752" s="1" t="s">
        <v>1421</v>
      </c>
      <c r="V752" s="46">
        <f>IF(
  OR(
    ISNUMBER(SEARCH("unable to locate acct", tblDocketedComments[[#This Row],[Docketed Consumer Comments]])),
    ISNUMBER(SEARCH("unknown", tblDocketedComments[[#This Row],[Docketed Consumer Comments]])),
    ISNUMBER(SEARCH("inactive", tblDocketedComments[[#This Row],[Docketed Consumer Comments]]))
  ),
  0,
  1
)</f>
        <v>1</v>
      </c>
    </row>
    <row r="753" spans="1:22">
      <c r="A753" s="2">
        <v>45905</v>
      </c>
      <c r="B753" s="1" t="s">
        <v>2198</v>
      </c>
      <c r="C753" s="1" t="s">
        <v>705</v>
      </c>
      <c r="D753" s="1" t="s">
        <v>63</v>
      </c>
      <c r="E753" s="1">
        <v>85022</v>
      </c>
      <c r="F753" s="1" t="s">
        <v>310</v>
      </c>
      <c r="G753" s="1" t="s">
        <v>2130</v>
      </c>
      <c r="H753" s="4" t="s">
        <v>2199</v>
      </c>
      <c r="I753" s="5" t="s">
        <v>73</v>
      </c>
      <c r="J753" s="5" t="s">
        <v>37</v>
      </c>
      <c r="K753" s="5" t="s">
        <v>37</v>
      </c>
      <c r="L753" s="5" t="s">
        <v>38</v>
      </c>
      <c r="M753" s="5" t="s">
        <v>37</v>
      </c>
      <c r="N753" s="5" t="s">
        <v>37</v>
      </c>
      <c r="O753" s="5" t="s">
        <v>38</v>
      </c>
      <c r="P753" s="5" t="s">
        <v>39</v>
      </c>
      <c r="Q753" s="2">
        <v>45966</v>
      </c>
      <c r="V753" s="46">
        <f>IF(
  OR(
    ISNUMBER(SEARCH("unable to locate acct", tblDocketedComments[[#This Row],[Docketed Consumer Comments]])),
    ISNUMBER(SEARCH("unknown", tblDocketedComments[[#This Row],[Docketed Consumer Comments]])),
    ISNUMBER(SEARCH("inactive", tblDocketedComments[[#This Row],[Docketed Consumer Comments]]))
  ),
  0,
  1
)</f>
        <v>1</v>
      </c>
    </row>
    <row r="754" spans="1:22">
      <c r="A754" s="2">
        <v>45905</v>
      </c>
      <c r="B754" s="1" t="s">
        <v>2200</v>
      </c>
      <c r="C754" s="1" t="s">
        <v>2201</v>
      </c>
      <c r="D754" s="1" t="s">
        <v>24</v>
      </c>
      <c r="E754" s="1">
        <v>85308</v>
      </c>
      <c r="F754" s="1" t="s">
        <v>310</v>
      </c>
      <c r="G754" s="1" t="s">
        <v>2130</v>
      </c>
      <c r="H754" s="4" t="s">
        <v>2202</v>
      </c>
      <c r="I754" s="5" t="s">
        <v>36</v>
      </c>
      <c r="J754" s="5" t="s">
        <v>37</v>
      </c>
      <c r="K754" s="5" t="s">
        <v>37</v>
      </c>
      <c r="L754" s="5" t="s">
        <v>38</v>
      </c>
      <c r="M754" s="5" t="s">
        <v>37</v>
      </c>
      <c r="N754" s="5" t="s">
        <v>37</v>
      </c>
      <c r="O754" s="5" t="s">
        <v>38</v>
      </c>
      <c r="P754" s="5" t="s">
        <v>39</v>
      </c>
      <c r="Q754" s="2">
        <v>45966</v>
      </c>
      <c r="V754" s="46">
        <f>IF(
  OR(
    ISNUMBER(SEARCH("unable to locate acct", tblDocketedComments[[#This Row],[Docketed Consumer Comments]])),
    ISNUMBER(SEARCH("unknown", tblDocketedComments[[#This Row],[Docketed Consumer Comments]])),
    ISNUMBER(SEARCH("inactive", tblDocketedComments[[#This Row],[Docketed Consumer Comments]]))
  ),
  0,
  1
)</f>
        <v>1</v>
      </c>
    </row>
    <row r="755" spans="1:22">
      <c r="A755" s="2">
        <v>45905</v>
      </c>
      <c r="B755" s="1" t="s">
        <v>2203</v>
      </c>
      <c r="C755" s="1" t="s">
        <v>329</v>
      </c>
      <c r="D755" s="1" t="s">
        <v>174</v>
      </c>
      <c r="E755" s="1">
        <v>85396</v>
      </c>
      <c r="F755" s="1" t="s">
        <v>310</v>
      </c>
      <c r="G755" s="1" t="s">
        <v>2130</v>
      </c>
      <c r="H755" s="4" t="s">
        <v>2204</v>
      </c>
      <c r="I755" s="5" t="s">
        <v>36</v>
      </c>
      <c r="J755" s="5" t="s">
        <v>37</v>
      </c>
      <c r="K755" s="5" t="s">
        <v>37</v>
      </c>
      <c r="L755" s="5" t="s">
        <v>38</v>
      </c>
      <c r="M755" s="5" t="s">
        <v>37</v>
      </c>
      <c r="N755" s="5" t="s">
        <v>37</v>
      </c>
      <c r="O755" s="5" t="s">
        <v>38</v>
      </c>
      <c r="P755" s="5" t="s">
        <v>39</v>
      </c>
      <c r="Q755" s="2">
        <v>45966</v>
      </c>
      <c r="V755" s="46">
        <f>IF(
  OR(
    ISNUMBER(SEARCH("unable to locate acct", tblDocketedComments[[#This Row],[Docketed Consumer Comments]])),
    ISNUMBER(SEARCH("unknown", tblDocketedComments[[#This Row],[Docketed Consumer Comments]])),
    ISNUMBER(SEARCH("inactive", tblDocketedComments[[#This Row],[Docketed Consumer Comments]]))
  ),
  0,
  1
)</f>
        <v>1</v>
      </c>
    </row>
    <row r="756" spans="1:22">
      <c r="A756" s="2">
        <v>45905</v>
      </c>
      <c r="B756" s="1" t="s">
        <v>2205</v>
      </c>
      <c r="C756" s="1" t="s">
        <v>965</v>
      </c>
      <c r="D756" s="1" t="s">
        <v>1693</v>
      </c>
      <c r="E756" s="1">
        <v>85351</v>
      </c>
      <c r="F756" s="1" t="s">
        <v>2206</v>
      </c>
      <c r="G756" s="1" t="s">
        <v>2130</v>
      </c>
      <c r="H756" s="19" t="s">
        <v>2207</v>
      </c>
      <c r="I756" s="5" t="s">
        <v>541</v>
      </c>
      <c r="J756" s="5" t="s">
        <v>37</v>
      </c>
      <c r="K756" s="5" t="s">
        <v>37</v>
      </c>
      <c r="L756" s="5" t="s">
        <v>389</v>
      </c>
      <c r="M756" s="5" t="s">
        <v>37</v>
      </c>
      <c r="N756" s="5" t="s">
        <v>37</v>
      </c>
      <c r="O756" s="5" t="s">
        <v>38</v>
      </c>
      <c r="P756" s="5" t="s">
        <v>39</v>
      </c>
      <c r="Q756" s="2">
        <v>45966</v>
      </c>
      <c r="V756" s="46">
        <f>IF(
  OR(
    ISNUMBER(SEARCH("unable to locate acct", tblDocketedComments[[#This Row],[Docketed Consumer Comments]])),
    ISNUMBER(SEARCH("unknown", tblDocketedComments[[#This Row],[Docketed Consumer Comments]])),
    ISNUMBER(SEARCH("inactive", tblDocketedComments[[#This Row],[Docketed Consumer Comments]]))
  ),
  0,
  1
)</f>
        <v>1</v>
      </c>
    </row>
    <row r="757" spans="1:22">
      <c r="A757" s="2">
        <v>45905</v>
      </c>
      <c r="B757" s="1" t="s">
        <v>2208</v>
      </c>
      <c r="C757" s="1" t="s">
        <v>145</v>
      </c>
      <c r="D757" s="1" t="s">
        <v>63</v>
      </c>
      <c r="E757" s="1">
        <v>85014</v>
      </c>
      <c r="F757" s="1" t="s">
        <v>31</v>
      </c>
      <c r="G757" s="1" t="s">
        <v>2130</v>
      </c>
      <c r="H757" s="4" t="s">
        <v>2209</v>
      </c>
      <c r="I757" s="5" t="s">
        <v>126</v>
      </c>
      <c r="J757" s="5" t="s">
        <v>37</v>
      </c>
      <c r="K757" s="5" t="s">
        <v>37</v>
      </c>
      <c r="L757" s="5" t="s">
        <v>2210</v>
      </c>
      <c r="M757" s="5" t="s">
        <v>37</v>
      </c>
      <c r="N757" s="5" t="s">
        <v>37</v>
      </c>
      <c r="O757" s="5" t="s">
        <v>38</v>
      </c>
      <c r="P757" s="5" t="s">
        <v>39</v>
      </c>
      <c r="Q757" s="2">
        <v>45966</v>
      </c>
      <c r="V757" s="46">
        <f>IF(
  OR(
    ISNUMBER(SEARCH("unable to locate acct", tblDocketedComments[[#This Row],[Docketed Consumer Comments]])),
    ISNUMBER(SEARCH("unknown", tblDocketedComments[[#This Row],[Docketed Consumer Comments]])),
    ISNUMBER(SEARCH("inactive", tblDocketedComments[[#This Row],[Docketed Consumer Comments]]))
  ),
  0,
  1
)</f>
        <v>1</v>
      </c>
    </row>
    <row r="758" spans="1:22">
      <c r="A758" s="2">
        <v>45905</v>
      </c>
      <c r="B758" s="1" t="s">
        <v>2211</v>
      </c>
      <c r="C758" s="1" t="s">
        <v>2212</v>
      </c>
      <c r="D758" s="1" t="s">
        <v>202</v>
      </c>
      <c r="E758" s="1">
        <v>85383</v>
      </c>
      <c r="F758" s="1" t="s">
        <v>310</v>
      </c>
      <c r="G758" s="1" t="s">
        <v>2130</v>
      </c>
      <c r="H758" s="4" t="s">
        <v>2213</v>
      </c>
      <c r="I758" s="5" t="s">
        <v>46</v>
      </c>
      <c r="J758" s="5" t="s">
        <v>37</v>
      </c>
      <c r="K758" s="5" t="s">
        <v>37</v>
      </c>
      <c r="L758" s="5" t="s">
        <v>2214</v>
      </c>
      <c r="M758" s="5" t="s">
        <v>37</v>
      </c>
      <c r="N758" s="5" t="s">
        <v>37</v>
      </c>
      <c r="O758" s="5" t="s">
        <v>38</v>
      </c>
      <c r="P758" s="5" t="s">
        <v>39</v>
      </c>
      <c r="Q758" s="2">
        <v>45966</v>
      </c>
      <c r="U758" s="1" t="s">
        <v>2215</v>
      </c>
      <c r="V758" s="46">
        <f>IF(
  OR(
    ISNUMBER(SEARCH("unable to locate acct", tblDocketedComments[[#This Row],[Docketed Consumer Comments]])),
    ISNUMBER(SEARCH("unknown", tblDocketedComments[[#This Row],[Docketed Consumer Comments]])),
    ISNUMBER(SEARCH("inactive", tblDocketedComments[[#This Row],[Docketed Consumer Comments]]))
  ),
  0,
  1
)</f>
        <v>1</v>
      </c>
    </row>
    <row r="759" spans="1:22">
      <c r="A759" s="2">
        <v>45905</v>
      </c>
      <c r="B759" s="1" t="s">
        <v>2216</v>
      </c>
      <c r="C759" s="1" t="s">
        <v>312</v>
      </c>
      <c r="D759" s="1" t="s">
        <v>63</v>
      </c>
      <c r="E759" s="1">
        <v>85023</v>
      </c>
      <c r="F759" s="1" t="s">
        <v>310</v>
      </c>
      <c r="G759" s="1" t="s">
        <v>2130</v>
      </c>
      <c r="H759" s="19" t="s">
        <v>2217</v>
      </c>
      <c r="I759" s="5" t="s">
        <v>73</v>
      </c>
      <c r="J759" s="5" t="s">
        <v>37</v>
      </c>
      <c r="K759" s="5" t="s">
        <v>37</v>
      </c>
      <c r="L759" s="5" t="s">
        <v>38</v>
      </c>
      <c r="M759" s="5" t="s">
        <v>37</v>
      </c>
      <c r="N759" s="5" t="s">
        <v>37</v>
      </c>
      <c r="O759" s="5" t="s">
        <v>38</v>
      </c>
      <c r="P759" s="5" t="s">
        <v>39</v>
      </c>
      <c r="Q759" s="2">
        <v>45966</v>
      </c>
      <c r="V759" s="46">
        <f>IF(
  OR(
    ISNUMBER(SEARCH("unable to locate acct", tblDocketedComments[[#This Row],[Docketed Consumer Comments]])),
    ISNUMBER(SEARCH("unknown", tblDocketedComments[[#This Row],[Docketed Consumer Comments]])),
    ISNUMBER(SEARCH("inactive", tblDocketedComments[[#This Row],[Docketed Consumer Comments]]))
  ),
  0,
  1
)</f>
        <v>1</v>
      </c>
    </row>
    <row r="760" spans="1:22">
      <c r="A760" s="2">
        <v>45905</v>
      </c>
      <c r="B760" s="1" t="s">
        <v>2218</v>
      </c>
      <c r="C760" s="1" t="s">
        <v>2219</v>
      </c>
      <c r="D760" s="1" t="s">
        <v>174</v>
      </c>
      <c r="E760" s="1">
        <v>85396</v>
      </c>
      <c r="F760" s="1" t="s">
        <v>31</v>
      </c>
      <c r="G760" s="1" t="s">
        <v>2130</v>
      </c>
      <c r="H760" s="4" t="s">
        <v>2220</v>
      </c>
      <c r="I760" s="5" t="s">
        <v>418</v>
      </c>
      <c r="J760" s="5" t="s">
        <v>37</v>
      </c>
      <c r="K760" s="5" t="s">
        <v>37</v>
      </c>
      <c r="L760" s="5" t="s">
        <v>389</v>
      </c>
      <c r="M760" s="5" t="s">
        <v>37</v>
      </c>
      <c r="N760" s="5" t="s">
        <v>37</v>
      </c>
      <c r="O760" s="5" t="s">
        <v>38</v>
      </c>
      <c r="P760" s="5" t="s">
        <v>39</v>
      </c>
      <c r="Q760" s="2">
        <v>45966</v>
      </c>
      <c r="V760" s="46">
        <f>IF(
  OR(
    ISNUMBER(SEARCH("unable to locate acct", tblDocketedComments[[#This Row],[Docketed Consumer Comments]])),
    ISNUMBER(SEARCH("unknown", tblDocketedComments[[#This Row],[Docketed Consumer Comments]])),
    ISNUMBER(SEARCH("inactive", tblDocketedComments[[#This Row],[Docketed Consumer Comments]]))
  ),
  0,
  1
)</f>
        <v>1</v>
      </c>
    </row>
    <row r="761" spans="1:22">
      <c r="A761" s="2">
        <v>45905</v>
      </c>
      <c r="B761" s="1" t="s">
        <v>2221</v>
      </c>
      <c r="C761" s="1" t="s">
        <v>1182</v>
      </c>
      <c r="D761" s="1" t="s">
        <v>63</v>
      </c>
      <c r="E761" s="1">
        <v>85022</v>
      </c>
      <c r="F761" s="1" t="s">
        <v>31</v>
      </c>
      <c r="G761" s="1" t="s">
        <v>2130</v>
      </c>
      <c r="H761" s="4" t="s">
        <v>27</v>
      </c>
      <c r="V761" s="46">
        <f>IF(
  OR(
    ISNUMBER(SEARCH("unable to locate acct", tblDocketedComments[[#This Row],[Docketed Consumer Comments]])),
    ISNUMBER(SEARCH("unknown", tblDocketedComments[[#This Row],[Docketed Consumer Comments]])),
    ISNUMBER(SEARCH("inactive", tblDocketedComments[[#This Row],[Docketed Consumer Comments]]))
  ),
  0,
  1
)</f>
        <v>1</v>
      </c>
    </row>
    <row r="762" spans="1:22">
      <c r="A762" s="2">
        <v>45905</v>
      </c>
      <c r="B762" s="1" t="s">
        <v>2222</v>
      </c>
      <c r="C762" s="1" t="s">
        <v>392</v>
      </c>
      <c r="D762" s="1" t="s">
        <v>169</v>
      </c>
      <c r="E762" s="1">
        <v>85448</v>
      </c>
      <c r="F762" s="1" t="s">
        <v>1777</v>
      </c>
      <c r="G762" s="1" t="s">
        <v>2130</v>
      </c>
      <c r="H762" s="4" t="s">
        <v>2223</v>
      </c>
      <c r="I762" s="5" t="s">
        <v>418</v>
      </c>
      <c r="J762" s="5" t="s">
        <v>37</v>
      </c>
      <c r="K762" s="5" t="s">
        <v>37</v>
      </c>
      <c r="L762" s="5" t="s">
        <v>389</v>
      </c>
      <c r="M762" s="5" t="s">
        <v>37</v>
      </c>
      <c r="N762" s="5" t="s">
        <v>37</v>
      </c>
      <c r="O762" s="5" t="s">
        <v>38</v>
      </c>
      <c r="P762" s="5" t="s">
        <v>39</v>
      </c>
      <c r="Q762" s="2">
        <v>45966</v>
      </c>
      <c r="V762" s="46">
        <f>IF(
  OR(
    ISNUMBER(SEARCH("unable to locate acct", tblDocketedComments[[#This Row],[Docketed Consumer Comments]])),
    ISNUMBER(SEARCH("unknown", tblDocketedComments[[#This Row],[Docketed Consumer Comments]])),
    ISNUMBER(SEARCH("inactive", tblDocketedComments[[#This Row],[Docketed Consumer Comments]]))
  ),
  0,
  1
)</f>
        <v>1</v>
      </c>
    </row>
    <row r="763" spans="1:22">
      <c r="A763" s="2">
        <v>45905</v>
      </c>
      <c r="B763" s="1" t="s">
        <v>2224</v>
      </c>
      <c r="C763" s="1" t="s">
        <v>956</v>
      </c>
      <c r="D763" s="1" t="s">
        <v>112</v>
      </c>
      <c r="E763" s="1">
        <v>85387</v>
      </c>
      <c r="F763" s="1" t="s">
        <v>310</v>
      </c>
      <c r="G763" s="1" t="s">
        <v>2130</v>
      </c>
      <c r="H763" s="4" t="s">
        <v>2225</v>
      </c>
      <c r="I763" s="5" t="s">
        <v>196</v>
      </c>
      <c r="J763" s="5" t="s">
        <v>37</v>
      </c>
      <c r="K763" s="5" t="s">
        <v>37</v>
      </c>
      <c r="L763" s="7" t="s">
        <v>2226</v>
      </c>
      <c r="M763" s="5" t="s">
        <v>1586</v>
      </c>
      <c r="N763" s="15">
        <v>1278.31</v>
      </c>
      <c r="O763" s="5" t="s">
        <v>38</v>
      </c>
      <c r="P763" s="2">
        <v>45936</v>
      </c>
      <c r="Q763" s="2">
        <v>45966</v>
      </c>
      <c r="R763" s="1" t="s">
        <v>2227</v>
      </c>
      <c r="V763" s="46">
        <f>IF(
  OR(
    ISNUMBER(SEARCH("unable to locate acct", tblDocketedComments[[#This Row],[Docketed Consumer Comments]])),
    ISNUMBER(SEARCH("unknown", tblDocketedComments[[#This Row],[Docketed Consumer Comments]])),
    ISNUMBER(SEARCH("inactive", tblDocketedComments[[#This Row],[Docketed Consumer Comments]]))
  ),
  0,
  1
)</f>
        <v>1</v>
      </c>
    </row>
    <row r="764" spans="1:22">
      <c r="A764" s="2">
        <v>45905</v>
      </c>
      <c r="B764" s="1" t="s">
        <v>2228</v>
      </c>
      <c r="C764" s="1" t="s">
        <v>395</v>
      </c>
      <c r="D764" s="1" t="s">
        <v>2229</v>
      </c>
      <c r="E764" s="1">
        <v>85321</v>
      </c>
      <c r="F764" s="1" t="s">
        <v>310</v>
      </c>
      <c r="G764" s="1" t="s">
        <v>2130</v>
      </c>
      <c r="H764" s="4" t="s">
        <v>2230</v>
      </c>
      <c r="I764" s="5" t="s">
        <v>46</v>
      </c>
      <c r="J764" s="5" t="s">
        <v>37</v>
      </c>
      <c r="K764" s="5" t="s">
        <v>37</v>
      </c>
      <c r="L764" s="5" t="s">
        <v>38</v>
      </c>
      <c r="M764" s="5" t="s">
        <v>37</v>
      </c>
      <c r="N764" s="5" t="s">
        <v>37</v>
      </c>
      <c r="O764" s="5" t="s">
        <v>38</v>
      </c>
      <c r="P764" s="5" t="s">
        <v>39</v>
      </c>
      <c r="Q764" s="2">
        <v>45966</v>
      </c>
      <c r="V764" s="46">
        <f>IF(
  OR(
    ISNUMBER(SEARCH("unable to locate acct", tblDocketedComments[[#This Row],[Docketed Consumer Comments]])),
    ISNUMBER(SEARCH("unknown", tblDocketedComments[[#This Row],[Docketed Consumer Comments]])),
    ISNUMBER(SEARCH("inactive", tblDocketedComments[[#This Row],[Docketed Consumer Comments]]))
  ),
  0,
  1
)</f>
        <v>1</v>
      </c>
    </row>
    <row r="765" spans="1:22">
      <c r="A765" s="2">
        <v>45905</v>
      </c>
      <c r="B765" s="1" t="s">
        <v>1134</v>
      </c>
      <c r="C765" s="1" t="s">
        <v>2231</v>
      </c>
      <c r="D765" s="1" t="s">
        <v>169</v>
      </c>
      <c r="E765" s="1">
        <v>85338</v>
      </c>
      <c r="F765" s="1" t="s">
        <v>310</v>
      </c>
      <c r="G765" s="1" t="s">
        <v>2130</v>
      </c>
      <c r="H765" s="4" t="s">
        <v>209</v>
      </c>
      <c r="V765" s="46">
        <f>IF(
  OR(
    ISNUMBER(SEARCH("unable to locate acct", tblDocketedComments[[#This Row],[Docketed Consumer Comments]])),
    ISNUMBER(SEARCH("unknown", tblDocketedComments[[#This Row],[Docketed Consumer Comments]])),
    ISNUMBER(SEARCH("inactive", tblDocketedComments[[#This Row],[Docketed Consumer Comments]]))
  ),
  0,
  1
)</f>
        <v>1</v>
      </c>
    </row>
    <row r="766" spans="1:22">
      <c r="A766" s="2">
        <v>45905</v>
      </c>
      <c r="B766" s="1" t="s">
        <v>2232</v>
      </c>
      <c r="C766" s="1" t="s">
        <v>376</v>
      </c>
      <c r="D766" s="1" t="s">
        <v>169</v>
      </c>
      <c r="E766" s="1">
        <v>85338</v>
      </c>
      <c r="F766" s="1" t="s">
        <v>2233</v>
      </c>
      <c r="G766" s="1" t="s">
        <v>2130</v>
      </c>
      <c r="H766" s="4" t="s">
        <v>2234</v>
      </c>
      <c r="I766" s="5" t="s">
        <v>46</v>
      </c>
      <c r="J766" s="5" t="s">
        <v>37</v>
      </c>
      <c r="K766" s="5" t="s">
        <v>37</v>
      </c>
      <c r="L766" s="5" t="s">
        <v>38</v>
      </c>
      <c r="M766" s="5" t="s">
        <v>37</v>
      </c>
      <c r="N766" s="5" t="s">
        <v>37</v>
      </c>
      <c r="O766" s="5" t="s">
        <v>38</v>
      </c>
      <c r="P766" s="5" t="s">
        <v>39</v>
      </c>
      <c r="Q766" s="2">
        <v>45966</v>
      </c>
      <c r="V766" s="46">
        <f>IF(
  OR(
    ISNUMBER(SEARCH("unable to locate acct", tblDocketedComments[[#This Row],[Docketed Consumer Comments]])),
    ISNUMBER(SEARCH("unknown", tblDocketedComments[[#This Row],[Docketed Consumer Comments]])),
    ISNUMBER(SEARCH("inactive", tblDocketedComments[[#This Row],[Docketed Consumer Comments]]))
  ),
  0,
  1
)</f>
        <v>1</v>
      </c>
    </row>
    <row r="767" spans="1:22">
      <c r="A767" s="2">
        <v>45905</v>
      </c>
      <c r="B767" s="1" t="s">
        <v>2235</v>
      </c>
      <c r="C767" s="1" t="s">
        <v>2236</v>
      </c>
      <c r="D767" s="1" t="s">
        <v>63</v>
      </c>
      <c r="E767" s="1">
        <v>85006</v>
      </c>
      <c r="F767" s="1" t="s">
        <v>31</v>
      </c>
      <c r="G767" s="1" t="s">
        <v>2130</v>
      </c>
      <c r="H767" s="4" t="s">
        <v>2237</v>
      </c>
      <c r="I767" s="5" t="s">
        <v>57</v>
      </c>
      <c r="J767" s="5" t="s">
        <v>37</v>
      </c>
      <c r="K767" s="5" t="s">
        <v>37</v>
      </c>
      <c r="L767" s="7" t="s">
        <v>2238</v>
      </c>
      <c r="M767" s="5" t="s">
        <v>37</v>
      </c>
      <c r="N767" s="5" t="s">
        <v>37</v>
      </c>
      <c r="O767" s="5" t="s">
        <v>38</v>
      </c>
      <c r="P767" s="2">
        <v>45937</v>
      </c>
      <c r="Q767" s="2">
        <v>45966</v>
      </c>
      <c r="R767" s="1" t="s">
        <v>2239</v>
      </c>
      <c r="V767" s="46">
        <f>IF(
  OR(
    ISNUMBER(SEARCH("unable to locate acct", tblDocketedComments[[#This Row],[Docketed Consumer Comments]])),
    ISNUMBER(SEARCH("unknown", tblDocketedComments[[#This Row],[Docketed Consumer Comments]])),
    ISNUMBER(SEARCH("inactive", tblDocketedComments[[#This Row],[Docketed Consumer Comments]]))
  ),
  0,
  1
)</f>
        <v>1</v>
      </c>
    </row>
    <row r="768" spans="1:22">
      <c r="A768" s="2">
        <v>45905</v>
      </c>
      <c r="B768" s="1" t="s">
        <v>2240</v>
      </c>
      <c r="C768" s="1" t="s">
        <v>911</v>
      </c>
      <c r="D768" s="1" t="s">
        <v>125</v>
      </c>
      <c r="E768" s="1">
        <v>85258</v>
      </c>
      <c r="F768" s="1" t="s">
        <v>310</v>
      </c>
      <c r="G768" s="1" t="s">
        <v>2130</v>
      </c>
      <c r="H768" s="4" t="s">
        <v>2241</v>
      </c>
      <c r="I768" s="5" t="s">
        <v>541</v>
      </c>
      <c r="J768" s="5" t="s">
        <v>37</v>
      </c>
      <c r="K768" s="5" t="s">
        <v>37</v>
      </c>
      <c r="L768" s="5" t="s">
        <v>389</v>
      </c>
      <c r="M768" s="5" t="s">
        <v>37</v>
      </c>
      <c r="N768" s="5" t="s">
        <v>37</v>
      </c>
      <c r="O768" s="5" t="s">
        <v>38</v>
      </c>
      <c r="P768" s="5" t="s">
        <v>39</v>
      </c>
      <c r="Q768" s="2">
        <v>45966</v>
      </c>
      <c r="V768" s="46">
        <f>IF(
  OR(
    ISNUMBER(SEARCH("unable to locate acct", tblDocketedComments[[#This Row],[Docketed Consumer Comments]])),
    ISNUMBER(SEARCH("unknown", tblDocketedComments[[#This Row],[Docketed Consumer Comments]])),
    ISNUMBER(SEARCH("inactive", tblDocketedComments[[#This Row],[Docketed Consumer Comments]]))
  ),
  0,
  1
)</f>
        <v>1</v>
      </c>
    </row>
    <row r="769" spans="1:22">
      <c r="A769" s="2">
        <v>45905</v>
      </c>
      <c r="B769" s="1" t="s">
        <v>2242</v>
      </c>
      <c r="C769" s="1" t="s">
        <v>2034</v>
      </c>
      <c r="D769" s="1" t="s">
        <v>125</v>
      </c>
      <c r="E769" s="1">
        <v>85258</v>
      </c>
      <c r="F769" s="1" t="s">
        <v>31</v>
      </c>
      <c r="G769" s="1" t="s">
        <v>2130</v>
      </c>
      <c r="H769" s="4" t="s">
        <v>2243</v>
      </c>
      <c r="I769" s="5" t="s">
        <v>36</v>
      </c>
      <c r="J769" s="5" t="s">
        <v>37</v>
      </c>
      <c r="K769" s="5" t="s">
        <v>37</v>
      </c>
      <c r="L769" s="5" t="s">
        <v>38</v>
      </c>
      <c r="M769" s="5" t="s">
        <v>37</v>
      </c>
      <c r="N769" s="5" t="s">
        <v>37</v>
      </c>
      <c r="O769" s="5" t="s">
        <v>38</v>
      </c>
      <c r="P769" s="5" t="s">
        <v>39</v>
      </c>
      <c r="Q769" s="2">
        <v>45966</v>
      </c>
      <c r="V769" s="46">
        <f>IF(
  OR(
    ISNUMBER(SEARCH("unable to locate acct", tblDocketedComments[[#This Row],[Docketed Consumer Comments]])),
    ISNUMBER(SEARCH("unknown", tblDocketedComments[[#This Row],[Docketed Consumer Comments]])),
    ISNUMBER(SEARCH("inactive", tblDocketedComments[[#This Row],[Docketed Consumer Comments]]))
  ),
  0,
  1
)</f>
        <v>1</v>
      </c>
    </row>
    <row r="770" spans="1:22">
      <c r="A770" s="2">
        <v>45905</v>
      </c>
      <c r="B770" s="1" t="s">
        <v>2244</v>
      </c>
      <c r="C770" s="1" t="s">
        <v>965</v>
      </c>
      <c r="D770" s="1" t="s">
        <v>63</v>
      </c>
      <c r="E770" s="1">
        <v>85085</v>
      </c>
      <c r="F770" s="1" t="s">
        <v>2245</v>
      </c>
      <c r="G770" s="1" t="s">
        <v>2130</v>
      </c>
      <c r="H770" s="4" t="s">
        <v>2246</v>
      </c>
      <c r="I770" s="5" t="s">
        <v>36</v>
      </c>
      <c r="J770" s="5" t="s">
        <v>37</v>
      </c>
      <c r="K770" s="5" t="s">
        <v>37</v>
      </c>
      <c r="L770" s="5" t="s">
        <v>38</v>
      </c>
      <c r="M770" s="5" t="s">
        <v>37</v>
      </c>
      <c r="N770" s="5" t="s">
        <v>37</v>
      </c>
      <c r="O770" s="5" t="s">
        <v>38</v>
      </c>
      <c r="P770" s="5" t="s">
        <v>39</v>
      </c>
      <c r="Q770" s="2">
        <v>45966</v>
      </c>
      <c r="V770" s="46">
        <f>IF(
  OR(
    ISNUMBER(SEARCH("unable to locate acct", tblDocketedComments[[#This Row],[Docketed Consumer Comments]])),
    ISNUMBER(SEARCH("unknown", tblDocketedComments[[#This Row],[Docketed Consumer Comments]])),
    ISNUMBER(SEARCH("inactive", tblDocketedComments[[#This Row],[Docketed Consumer Comments]]))
  ),
  0,
  1
)</f>
        <v>1</v>
      </c>
    </row>
    <row r="771" spans="1:22">
      <c r="A771" s="2">
        <v>45905</v>
      </c>
      <c r="B771" s="1" t="s">
        <v>686</v>
      </c>
      <c r="C771" s="1" t="s">
        <v>443</v>
      </c>
      <c r="D771" s="1" t="s">
        <v>63</v>
      </c>
      <c r="E771" s="1">
        <v>85014</v>
      </c>
      <c r="F771" s="1" t="s">
        <v>310</v>
      </c>
      <c r="G771" s="1" t="s">
        <v>2130</v>
      </c>
      <c r="H771" s="4" t="s">
        <v>2247</v>
      </c>
      <c r="I771" s="5" t="s">
        <v>73</v>
      </c>
      <c r="J771" s="5" t="s">
        <v>37</v>
      </c>
      <c r="K771" s="5" t="s">
        <v>37</v>
      </c>
      <c r="L771" s="5" t="s">
        <v>38</v>
      </c>
      <c r="M771" s="5" t="s">
        <v>37</v>
      </c>
      <c r="N771" s="5" t="s">
        <v>37</v>
      </c>
      <c r="O771" s="5" t="s">
        <v>38</v>
      </c>
      <c r="P771" s="5" t="s">
        <v>39</v>
      </c>
      <c r="Q771" s="2">
        <v>45966</v>
      </c>
      <c r="V771" s="46">
        <f>IF(
  OR(
    ISNUMBER(SEARCH("unable to locate acct", tblDocketedComments[[#This Row],[Docketed Consumer Comments]])),
    ISNUMBER(SEARCH("unknown", tblDocketedComments[[#This Row],[Docketed Consumer Comments]])),
    ISNUMBER(SEARCH("inactive", tblDocketedComments[[#This Row],[Docketed Consumer Comments]]))
  ),
  0,
  1
)</f>
        <v>1</v>
      </c>
    </row>
    <row r="772" spans="1:22">
      <c r="A772" s="2">
        <v>45905</v>
      </c>
      <c r="B772" s="1" t="s">
        <v>2248</v>
      </c>
      <c r="C772" s="1" t="s">
        <v>225</v>
      </c>
      <c r="D772" s="1" t="s">
        <v>63</v>
      </c>
      <c r="E772" s="1">
        <v>85016</v>
      </c>
      <c r="F772" s="1" t="s">
        <v>310</v>
      </c>
      <c r="G772" s="1" t="s">
        <v>2130</v>
      </c>
      <c r="H772" s="4" t="s">
        <v>2249</v>
      </c>
      <c r="I772" s="5" t="s">
        <v>126</v>
      </c>
      <c r="J772" s="5" t="s">
        <v>37</v>
      </c>
      <c r="K772" s="5" t="s">
        <v>37</v>
      </c>
      <c r="L772" s="5" t="s">
        <v>38</v>
      </c>
      <c r="M772" s="5" t="s">
        <v>37</v>
      </c>
      <c r="N772" s="5" t="s">
        <v>37</v>
      </c>
      <c r="O772" s="5" t="s">
        <v>38</v>
      </c>
      <c r="P772" s="5" t="s">
        <v>39</v>
      </c>
      <c r="Q772" s="2">
        <v>45966</v>
      </c>
      <c r="V772" s="46">
        <f>IF(
  OR(
    ISNUMBER(SEARCH("unable to locate acct", tblDocketedComments[[#This Row],[Docketed Consumer Comments]])),
    ISNUMBER(SEARCH("unknown", tblDocketedComments[[#This Row],[Docketed Consumer Comments]])),
    ISNUMBER(SEARCH("inactive", tblDocketedComments[[#This Row],[Docketed Consumer Comments]]))
  ),
  0,
  1
)</f>
        <v>1</v>
      </c>
    </row>
    <row r="773" spans="1:22">
      <c r="A773" s="2">
        <v>45905</v>
      </c>
      <c r="B773" s="1" t="s">
        <v>2250</v>
      </c>
      <c r="C773" s="1" t="s">
        <v>2019</v>
      </c>
      <c r="D773" s="1" t="s">
        <v>125</v>
      </c>
      <c r="E773" s="1">
        <v>85254</v>
      </c>
      <c r="F773" s="1" t="s">
        <v>2251</v>
      </c>
      <c r="G773" s="1" t="s">
        <v>2130</v>
      </c>
      <c r="H773" s="4" t="s">
        <v>2252</v>
      </c>
      <c r="I773" s="5" t="s">
        <v>243</v>
      </c>
      <c r="J773" s="5" t="s">
        <v>37</v>
      </c>
      <c r="K773" s="5" t="s">
        <v>37</v>
      </c>
      <c r="L773" s="5" t="s">
        <v>389</v>
      </c>
      <c r="M773" s="5" t="s">
        <v>37</v>
      </c>
      <c r="N773" s="5" t="s">
        <v>37</v>
      </c>
      <c r="O773" s="5" t="s">
        <v>38</v>
      </c>
      <c r="P773" s="5" t="s">
        <v>39</v>
      </c>
      <c r="Q773" s="2">
        <v>45966</v>
      </c>
      <c r="V773" s="46">
        <f>IF(
  OR(
    ISNUMBER(SEARCH("unable to locate acct", tblDocketedComments[[#This Row],[Docketed Consumer Comments]])),
    ISNUMBER(SEARCH("unknown", tblDocketedComments[[#This Row],[Docketed Consumer Comments]])),
    ISNUMBER(SEARCH("inactive", tblDocketedComments[[#This Row],[Docketed Consumer Comments]]))
  ),
  0,
  1
)</f>
        <v>1</v>
      </c>
    </row>
    <row r="774" spans="1:22">
      <c r="A774" s="2">
        <v>45905</v>
      </c>
      <c r="B774" s="1" t="s">
        <v>2253</v>
      </c>
      <c r="C774" s="1" t="s">
        <v>124</v>
      </c>
      <c r="D774" s="1" t="s">
        <v>539</v>
      </c>
      <c r="E774" s="1">
        <v>85122</v>
      </c>
      <c r="F774" s="1" t="s">
        <v>2254</v>
      </c>
      <c r="G774" s="1" t="s">
        <v>2130</v>
      </c>
      <c r="H774" s="4" t="s">
        <v>27</v>
      </c>
      <c r="V774" s="46">
        <f>IF(
  OR(
    ISNUMBER(SEARCH("unable to locate acct", tblDocketedComments[[#This Row],[Docketed Consumer Comments]])),
    ISNUMBER(SEARCH("unknown", tblDocketedComments[[#This Row],[Docketed Consumer Comments]])),
    ISNUMBER(SEARCH("inactive", tblDocketedComments[[#This Row],[Docketed Consumer Comments]]))
  ),
  0,
  1
)</f>
        <v>1</v>
      </c>
    </row>
    <row r="775" spans="1:22">
      <c r="A775" s="2">
        <v>45905</v>
      </c>
      <c r="B775" s="1" t="s">
        <v>2255</v>
      </c>
      <c r="C775" s="1" t="s">
        <v>2256</v>
      </c>
      <c r="D775" s="1" t="s">
        <v>1204</v>
      </c>
      <c r="E775" s="1">
        <v>85355</v>
      </c>
      <c r="F775" s="1" t="s">
        <v>310</v>
      </c>
      <c r="G775" s="1" t="s">
        <v>2130</v>
      </c>
      <c r="H775" s="4" t="s">
        <v>27</v>
      </c>
      <c r="V775" s="46">
        <f>IF(
  OR(
    ISNUMBER(SEARCH("unable to locate acct", tblDocketedComments[[#This Row],[Docketed Consumer Comments]])),
    ISNUMBER(SEARCH("unknown", tblDocketedComments[[#This Row],[Docketed Consumer Comments]])),
    ISNUMBER(SEARCH("inactive", tblDocketedComments[[#This Row],[Docketed Consumer Comments]]))
  ),
  0,
  1
)</f>
        <v>1</v>
      </c>
    </row>
    <row r="776" spans="1:22">
      <c r="A776" s="2">
        <v>45905</v>
      </c>
      <c r="B776" s="1" t="s">
        <v>1873</v>
      </c>
      <c r="C776" s="1" t="s">
        <v>153</v>
      </c>
      <c r="D776" s="1" t="s">
        <v>63</v>
      </c>
      <c r="E776" s="1">
        <v>85020</v>
      </c>
      <c r="F776" s="1" t="s">
        <v>660</v>
      </c>
      <c r="G776" s="1" t="s">
        <v>2130</v>
      </c>
      <c r="H776" s="4" t="s">
        <v>90</v>
      </c>
      <c r="V776" s="46">
        <f>IF(
  OR(
    ISNUMBER(SEARCH("unable to locate acct", tblDocketedComments[[#This Row],[Docketed Consumer Comments]])),
    ISNUMBER(SEARCH("unknown", tblDocketedComments[[#This Row],[Docketed Consumer Comments]])),
    ISNUMBER(SEARCH("inactive", tblDocketedComments[[#This Row],[Docketed Consumer Comments]]))
  ),
  0,
  1
)</f>
        <v>1</v>
      </c>
    </row>
    <row r="777" spans="1:22">
      <c r="A777" s="2">
        <v>45905</v>
      </c>
      <c r="B777" s="1" t="s">
        <v>2257</v>
      </c>
      <c r="C777" s="1" t="s">
        <v>324</v>
      </c>
      <c r="D777" s="1" t="s">
        <v>63</v>
      </c>
      <c r="E777" s="1">
        <v>85013</v>
      </c>
      <c r="F777" s="1" t="s">
        <v>31</v>
      </c>
      <c r="G777" s="1" t="s">
        <v>2130</v>
      </c>
      <c r="H777" s="4" t="s">
        <v>27</v>
      </c>
      <c r="V777" s="46">
        <f>IF(
  OR(
    ISNUMBER(SEARCH("unable to locate acct", tblDocketedComments[[#This Row],[Docketed Consumer Comments]])),
    ISNUMBER(SEARCH("unknown", tblDocketedComments[[#This Row],[Docketed Consumer Comments]])),
    ISNUMBER(SEARCH("inactive", tblDocketedComments[[#This Row],[Docketed Consumer Comments]]))
  ),
  0,
  1
)</f>
        <v>1</v>
      </c>
    </row>
    <row r="778" spans="1:22">
      <c r="A778" s="2">
        <v>45905</v>
      </c>
      <c r="B778" s="1" t="s">
        <v>2258</v>
      </c>
      <c r="C778" s="1" t="s">
        <v>658</v>
      </c>
      <c r="D778" s="1" t="s">
        <v>63</v>
      </c>
      <c r="E778" s="1">
        <v>85083</v>
      </c>
      <c r="F778" s="1" t="s">
        <v>31</v>
      </c>
      <c r="G778" s="1" t="s">
        <v>2130</v>
      </c>
      <c r="H778" s="4" t="s">
        <v>2259</v>
      </c>
      <c r="I778" s="5" t="s">
        <v>36</v>
      </c>
      <c r="J778" s="5" t="s">
        <v>37</v>
      </c>
      <c r="K778" s="5" t="s">
        <v>37</v>
      </c>
      <c r="L778" s="5" t="s">
        <v>38</v>
      </c>
      <c r="M778" s="5" t="s">
        <v>37</v>
      </c>
      <c r="N778" s="5" t="s">
        <v>37</v>
      </c>
      <c r="O778" s="5" t="s">
        <v>38</v>
      </c>
      <c r="P778" s="5" t="s">
        <v>39</v>
      </c>
      <c r="Q778" s="2">
        <v>45966</v>
      </c>
      <c r="V778" s="46">
        <f>IF(
  OR(
    ISNUMBER(SEARCH("unable to locate acct", tblDocketedComments[[#This Row],[Docketed Consumer Comments]])),
    ISNUMBER(SEARCH("unknown", tblDocketedComments[[#This Row],[Docketed Consumer Comments]])),
    ISNUMBER(SEARCH("inactive", tblDocketedComments[[#This Row],[Docketed Consumer Comments]]))
  ),
  0,
  1
)</f>
        <v>1</v>
      </c>
    </row>
    <row r="779" spans="1:22">
      <c r="A779" s="2">
        <v>45905</v>
      </c>
      <c r="B779" s="1" t="s">
        <v>2260</v>
      </c>
      <c r="C779" s="1" t="s">
        <v>2261</v>
      </c>
      <c r="D779" s="1" t="s">
        <v>370</v>
      </c>
      <c r="E779" s="1">
        <v>85225</v>
      </c>
      <c r="F779" s="1" t="s">
        <v>310</v>
      </c>
      <c r="G779" s="1" t="s">
        <v>2130</v>
      </c>
      <c r="H779" s="19" t="s">
        <v>2262</v>
      </c>
      <c r="I779" s="5" t="s">
        <v>418</v>
      </c>
      <c r="J779" s="5" t="s">
        <v>37</v>
      </c>
      <c r="K779" s="5" t="s">
        <v>37</v>
      </c>
      <c r="L779" s="5" t="s">
        <v>389</v>
      </c>
      <c r="M779" s="5" t="s">
        <v>37</v>
      </c>
      <c r="N779" s="5" t="s">
        <v>37</v>
      </c>
      <c r="O779" s="5" t="s">
        <v>38</v>
      </c>
      <c r="P779" s="5" t="s">
        <v>39</v>
      </c>
      <c r="Q779" s="2">
        <v>45966</v>
      </c>
      <c r="V779" s="46">
        <f>IF(
  OR(
    ISNUMBER(SEARCH("unable to locate acct", tblDocketedComments[[#This Row],[Docketed Consumer Comments]])),
    ISNUMBER(SEARCH("unknown", tblDocketedComments[[#This Row],[Docketed Consumer Comments]])),
    ISNUMBER(SEARCH("inactive", tblDocketedComments[[#This Row],[Docketed Consumer Comments]]))
  ),
  0,
  1
)</f>
        <v>1</v>
      </c>
    </row>
    <row r="780" spans="1:22">
      <c r="A780" s="2">
        <v>45905</v>
      </c>
      <c r="B780" s="1" t="s">
        <v>2263</v>
      </c>
      <c r="C780" s="1" t="s">
        <v>2264</v>
      </c>
      <c r="D780" s="1" t="s">
        <v>2265</v>
      </c>
      <c r="E780" s="1">
        <v>85603</v>
      </c>
      <c r="F780" s="1" t="s">
        <v>31</v>
      </c>
      <c r="G780" s="1" t="s">
        <v>2130</v>
      </c>
      <c r="H780" s="4" t="s">
        <v>2266</v>
      </c>
      <c r="I780" s="5" t="s">
        <v>36</v>
      </c>
      <c r="J780" s="5" t="s">
        <v>37</v>
      </c>
      <c r="K780" s="5" t="s">
        <v>37</v>
      </c>
      <c r="L780" s="5" t="s">
        <v>38</v>
      </c>
      <c r="M780" s="5" t="s">
        <v>37</v>
      </c>
      <c r="N780" s="5" t="s">
        <v>37</v>
      </c>
      <c r="O780" s="5" t="s">
        <v>38</v>
      </c>
      <c r="P780" s="5" t="s">
        <v>39</v>
      </c>
      <c r="Q780" s="2">
        <v>45966</v>
      </c>
      <c r="V780" s="46">
        <f>IF(
  OR(
    ISNUMBER(SEARCH("unable to locate acct", tblDocketedComments[[#This Row],[Docketed Consumer Comments]])),
    ISNUMBER(SEARCH("unknown", tblDocketedComments[[#This Row],[Docketed Consumer Comments]])),
    ISNUMBER(SEARCH("inactive", tblDocketedComments[[#This Row],[Docketed Consumer Comments]]))
  ),
  0,
  1
)</f>
        <v>1</v>
      </c>
    </row>
    <row r="781" spans="1:22">
      <c r="A781" s="2">
        <v>45905</v>
      </c>
      <c r="B781" s="1" t="s">
        <v>2267</v>
      </c>
      <c r="C781" s="1" t="s">
        <v>2268</v>
      </c>
      <c r="D781" s="1" t="s">
        <v>63</v>
      </c>
      <c r="E781" s="1">
        <v>85086</v>
      </c>
      <c r="F781" s="1" t="s">
        <v>31</v>
      </c>
      <c r="G781" s="1" t="s">
        <v>2130</v>
      </c>
      <c r="H781" s="4" t="s">
        <v>27</v>
      </c>
      <c r="V781" s="46">
        <f>IF(
  OR(
    ISNUMBER(SEARCH("unable to locate acct", tblDocketedComments[[#This Row],[Docketed Consumer Comments]])),
    ISNUMBER(SEARCH("unknown", tblDocketedComments[[#This Row],[Docketed Consumer Comments]])),
    ISNUMBER(SEARCH("inactive", tblDocketedComments[[#This Row],[Docketed Consumer Comments]]))
  ),
  0,
  1
)</f>
        <v>1</v>
      </c>
    </row>
    <row r="782" spans="1:22">
      <c r="A782" s="2">
        <v>45905</v>
      </c>
      <c r="B782" s="1" t="s">
        <v>2269</v>
      </c>
      <c r="C782" s="1" t="s">
        <v>1815</v>
      </c>
      <c r="D782" s="1" t="s">
        <v>125</v>
      </c>
      <c r="E782" s="1">
        <v>85260</v>
      </c>
      <c r="F782" s="1" t="s">
        <v>310</v>
      </c>
      <c r="G782" s="1" t="s">
        <v>2130</v>
      </c>
      <c r="H782" s="4" t="s">
        <v>2270</v>
      </c>
      <c r="I782" s="5" t="s">
        <v>57</v>
      </c>
      <c r="J782" s="5" t="s">
        <v>37</v>
      </c>
      <c r="K782" s="5" t="s">
        <v>37</v>
      </c>
      <c r="L782" s="7" t="s">
        <v>2271</v>
      </c>
      <c r="M782" s="5" t="s">
        <v>37</v>
      </c>
      <c r="N782" s="5" t="s">
        <v>37</v>
      </c>
      <c r="O782" s="5" t="s">
        <v>38</v>
      </c>
      <c r="P782" s="2">
        <v>45937</v>
      </c>
      <c r="Q782" s="2">
        <v>45966</v>
      </c>
      <c r="R782" s="1" t="s">
        <v>2272</v>
      </c>
      <c r="V782" s="46">
        <f>IF(
  OR(
    ISNUMBER(SEARCH("unable to locate acct", tblDocketedComments[[#This Row],[Docketed Consumer Comments]])),
    ISNUMBER(SEARCH("unknown", tblDocketedComments[[#This Row],[Docketed Consumer Comments]])),
    ISNUMBER(SEARCH("inactive", tblDocketedComments[[#This Row],[Docketed Consumer Comments]]))
  ),
  0,
  1
)</f>
        <v>1</v>
      </c>
    </row>
    <row r="783" spans="1:22">
      <c r="A783" s="2">
        <v>45905</v>
      </c>
      <c r="B783" s="1" t="s">
        <v>841</v>
      </c>
      <c r="C783" s="1" t="s">
        <v>2273</v>
      </c>
      <c r="D783" s="1" t="s">
        <v>112</v>
      </c>
      <c r="E783" s="1">
        <v>85388</v>
      </c>
      <c r="F783" s="1" t="s">
        <v>2274</v>
      </c>
      <c r="G783" s="1" t="s">
        <v>2130</v>
      </c>
      <c r="H783" s="19" t="s">
        <v>2275</v>
      </c>
      <c r="I783" s="5" t="s">
        <v>36</v>
      </c>
      <c r="J783" s="5" t="s">
        <v>37</v>
      </c>
      <c r="K783" s="5" t="s">
        <v>37</v>
      </c>
      <c r="L783" s="5" t="s">
        <v>38</v>
      </c>
      <c r="M783" s="5" t="s">
        <v>37</v>
      </c>
      <c r="N783" s="5" t="s">
        <v>37</v>
      </c>
      <c r="O783" s="5" t="s">
        <v>38</v>
      </c>
      <c r="P783" s="5" t="s">
        <v>39</v>
      </c>
      <c r="Q783" s="2">
        <v>45966</v>
      </c>
      <c r="V783" s="46">
        <f>IF(
  OR(
    ISNUMBER(SEARCH("unable to locate acct", tblDocketedComments[[#This Row],[Docketed Consumer Comments]])),
    ISNUMBER(SEARCH("unknown", tblDocketedComments[[#This Row],[Docketed Consumer Comments]])),
    ISNUMBER(SEARCH("inactive", tblDocketedComments[[#This Row],[Docketed Consumer Comments]]))
  ),
  0,
  1
)</f>
        <v>1</v>
      </c>
    </row>
    <row r="784" spans="1:22">
      <c r="A784" s="2">
        <v>45905</v>
      </c>
      <c r="B784" s="1" t="s">
        <v>2276</v>
      </c>
      <c r="C784" s="1" t="s">
        <v>1824</v>
      </c>
      <c r="D784" s="1" t="s">
        <v>24</v>
      </c>
      <c r="E784" s="1">
        <v>85308</v>
      </c>
      <c r="F784" s="1" t="s">
        <v>31</v>
      </c>
      <c r="G784" s="1" t="s">
        <v>2130</v>
      </c>
      <c r="H784" s="4" t="s">
        <v>2277</v>
      </c>
      <c r="I784" s="5" t="s">
        <v>196</v>
      </c>
      <c r="J784" s="5" t="s">
        <v>37</v>
      </c>
      <c r="K784" s="5" t="s">
        <v>37</v>
      </c>
      <c r="L784" s="5" t="s">
        <v>38</v>
      </c>
      <c r="M784" s="5" t="s">
        <v>37</v>
      </c>
      <c r="N784" s="5" t="s">
        <v>37</v>
      </c>
      <c r="O784" s="5" t="s">
        <v>38</v>
      </c>
      <c r="P784" s="5" t="s">
        <v>39</v>
      </c>
      <c r="Q784" s="2">
        <v>45966</v>
      </c>
      <c r="V784" s="46">
        <f>IF(
  OR(
    ISNUMBER(SEARCH("unable to locate acct", tblDocketedComments[[#This Row],[Docketed Consumer Comments]])),
    ISNUMBER(SEARCH("unknown", tblDocketedComments[[#This Row],[Docketed Consumer Comments]])),
    ISNUMBER(SEARCH("inactive", tblDocketedComments[[#This Row],[Docketed Consumer Comments]]))
  ),
  0,
  1
)</f>
        <v>1</v>
      </c>
    </row>
    <row r="785" spans="1:22">
      <c r="A785" s="2">
        <v>45905</v>
      </c>
      <c r="B785" s="1" t="s">
        <v>2087</v>
      </c>
      <c r="C785" s="1" t="s">
        <v>215</v>
      </c>
      <c r="D785" s="1" t="s">
        <v>63</v>
      </c>
      <c r="E785" s="1">
        <v>85028</v>
      </c>
      <c r="F785" s="1" t="s">
        <v>310</v>
      </c>
      <c r="G785" s="1" t="s">
        <v>2130</v>
      </c>
      <c r="H785" s="19" t="s">
        <v>2278</v>
      </c>
      <c r="I785" s="5" t="s">
        <v>46</v>
      </c>
      <c r="J785" s="5" t="s">
        <v>37</v>
      </c>
      <c r="K785" s="5" t="s">
        <v>37</v>
      </c>
      <c r="L785" s="7" t="s">
        <v>2279</v>
      </c>
      <c r="M785" s="5" t="s">
        <v>37</v>
      </c>
      <c r="N785" s="5" t="s">
        <v>37</v>
      </c>
      <c r="O785" s="5" t="s">
        <v>38</v>
      </c>
      <c r="P785" s="2">
        <v>45937</v>
      </c>
      <c r="Q785" s="2">
        <v>45966</v>
      </c>
      <c r="R785" s="1" t="s">
        <v>2280</v>
      </c>
      <c r="V785" s="46">
        <f>IF(
  OR(
    ISNUMBER(SEARCH("unable to locate acct", tblDocketedComments[[#This Row],[Docketed Consumer Comments]])),
    ISNUMBER(SEARCH("unknown", tblDocketedComments[[#This Row],[Docketed Consumer Comments]])),
    ISNUMBER(SEARCH("inactive", tblDocketedComments[[#This Row],[Docketed Consumer Comments]]))
  ),
  0,
  1
)</f>
        <v>1</v>
      </c>
    </row>
    <row r="786" spans="1:22">
      <c r="A786" s="2">
        <v>45905</v>
      </c>
      <c r="B786" s="1" t="s">
        <v>636</v>
      </c>
      <c r="C786" s="1" t="s">
        <v>225</v>
      </c>
      <c r="D786" s="1" t="s">
        <v>63</v>
      </c>
      <c r="E786" s="1">
        <v>85050</v>
      </c>
      <c r="F786" s="1" t="s">
        <v>310</v>
      </c>
      <c r="G786" s="1" t="s">
        <v>2130</v>
      </c>
      <c r="H786" s="4" t="s">
        <v>2281</v>
      </c>
      <c r="I786" s="5" t="s">
        <v>36</v>
      </c>
      <c r="J786" s="5" t="s">
        <v>37</v>
      </c>
      <c r="K786" s="5" t="s">
        <v>37</v>
      </c>
      <c r="L786" s="5" t="s">
        <v>38</v>
      </c>
      <c r="M786" s="5" t="s">
        <v>37</v>
      </c>
      <c r="N786" s="5" t="s">
        <v>37</v>
      </c>
      <c r="O786" s="5" t="s">
        <v>38</v>
      </c>
      <c r="P786" s="5" t="s">
        <v>39</v>
      </c>
      <c r="Q786" s="2">
        <v>45966</v>
      </c>
      <c r="V786" s="46">
        <f>IF(
  OR(
    ISNUMBER(SEARCH("unable to locate acct", tblDocketedComments[[#This Row],[Docketed Consumer Comments]])),
    ISNUMBER(SEARCH("unknown", tblDocketedComments[[#This Row],[Docketed Consumer Comments]])),
    ISNUMBER(SEARCH("inactive", tblDocketedComments[[#This Row],[Docketed Consumer Comments]]))
  ),
  0,
  1
)</f>
        <v>1</v>
      </c>
    </row>
    <row r="787" spans="1:22">
      <c r="A787" s="2">
        <v>45905</v>
      </c>
      <c r="B787" s="1" t="s">
        <v>2282</v>
      </c>
      <c r="C787" s="1" t="s">
        <v>131</v>
      </c>
      <c r="D787" s="1" t="s">
        <v>125</v>
      </c>
      <c r="E787" s="1">
        <v>85254</v>
      </c>
      <c r="F787" s="1" t="s">
        <v>310</v>
      </c>
      <c r="G787" s="1" t="s">
        <v>2130</v>
      </c>
      <c r="H787" s="19" t="s">
        <v>2283</v>
      </c>
      <c r="I787" s="5" t="s">
        <v>126</v>
      </c>
      <c r="J787" s="5" t="s">
        <v>37</v>
      </c>
      <c r="K787" s="5" t="s">
        <v>37</v>
      </c>
      <c r="L787" s="5" t="s">
        <v>2284</v>
      </c>
      <c r="M787" s="5" t="s">
        <v>37</v>
      </c>
      <c r="N787" s="5" t="s">
        <v>37</v>
      </c>
      <c r="O787" s="5" t="s">
        <v>38</v>
      </c>
      <c r="P787" s="5" t="s">
        <v>39</v>
      </c>
      <c r="Q787" s="2">
        <v>45966</v>
      </c>
      <c r="R787" s="1" t="s">
        <v>280</v>
      </c>
      <c r="V787" s="46">
        <f>IF(
  OR(
    ISNUMBER(SEARCH("unable to locate acct", tblDocketedComments[[#This Row],[Docketed Consumer Comments]])),
    ISNUMBER(SEARCH("unknown", tblDocketedComments[[#This Row],[Docketed Consumer Comments]])),
    ISNUMBER(SEARCH("inactive", tblDocketedComments[[#This Row],[Docketed Consumer Comments]]))
  ),
  0,
  1
)</f>
        <v>1</v>
      </c>
    </row>
    <row r="788" spans="1:22">
      <c r="A788" s="2">
        <v>45905</v>
      </c>
      <c r="B788" s="1" t="s">
        <v>2285</v>
      </c>
      <c r="C788" s="1" t="s">
        <v>2286</v>
      </c>
      <c r="D788" s="1" t="s">
        <v>202</v>
      </c>
      <c r="E788" s="1">
        <v>85383</v>
      </c>
      <c r="F788" s="1" t="s">
        <v>2287</v>
      </c>
      <c r="G788" s="1" t="s">
        <v>2130</v>
      </c>
      <c r="H788" s="4" t="s">
        <v>27</v>
      </c>
      <c r="V788" s="46">
        <f>IF(
  OR(
    ISNUMBER(SEARCH("unable to locate acct", tblDocketedComments[[#This Row],[Docketed Consumer Comments]])),
    ISNUMBER(SEARCH("unknown", tblDocketedComments[[#This Row],[Docketed Consumer Comments]])),
    ISNUMBER(SEARCH("inactive", tblDocketedComments[[#This Row],[Docketed Consumer Comments]]))
  ),
  0,
  1
)</f>
        <v>1</v>
      </c>
    </row>
    <row r="789" spans="1:22">
      <c r="A789" s="2">
        <v>45905</v>
      </c>
      <c r="B789" s="1" t="s">
        <v>2288</v>
      </c>
      <c r="C789" s="1" t="s">
        <v>2289</v>
      </c>
      <c r="D789" s="1" t="s">
        <v>63</v>
      </c>
      <c r="E789" s="1">
        <v>85013</v>
      </c>
      <c r="F789" s="1" t="s">
        <v>31</v>
      </c>
      <c r="G789" s="1" t="s">
        <v>2130</v>
      </c>
      <c r="H789" s="4" t="s">
        <v>27</v>
      </c>
      <c r="V789" s="46">
        <f>IF(
  OR(
    ISNUMBER(SEARCH("unable to locate acct", tblDocketedComments[[#This Row],[Docketed Consumer Comments]])),
    ISNUMBER(SEARCH("unknown", tblDocketedComments[[#This Row],[Docketed Consumer Comments]])),
    ISNUMBER(SEARCH("inactive", tblDocketedComments[[#This Row],[Docketed Consumer Comments]]))
  ),
  0,
  1
)</f>
        <v>1</v>
      </c>
    </row>
    <row r="790" spans="1:22">
      <c r="A790" s="2">
        <v>45905</v>
      </c>
      <c r="B790" s="1" t="s">
        <v>2290</v>
      </c>
      <c r="C790" s="1" t="s">
        <v>548</v>
      </c>
      <c r="D790" s="1" t="s">
        <v>63</v>
      </c>
      <c r="E790" s="1">
        <v>85024</v>
      </c>
      <c r="F790" s="1" t="s">
        <v>31</v>
      </c>
      <c r="G790" s="1" t="s">
        <v>2130</v>
      </c>
      <c r="H790" s="4" t="s">
        <v>209</v>
      </c>
      <c r="V790" s="46">
        <f>IF(
  OR(
    ISNUMBER(SEARCH("unable to locate acct", tblDocketedComments[[#This Row],[Docketed Consumer Comments]])),
    ISNUMBER(SEARCH("unknown", tblDocketedComments[[#This Row],[Docketed Consumer Comments]])),
    ISNUMBER(SEARCH("inactive", tblDocketedComments[[#This Row],[Docketed Consumer Comments]]))
  ),
  0,
  1
)</f>
        <v>1</v>
      </c>
    </row>
    <row r="791" spans="1:22">
      <c r="A791" s="2">
        <v>45905</v>
      </c>
      <c r="B791" s="1" t="s">
        <v>1828</v>
      </c>
      <c r="C791" s="1" t="s">
        <v>124</v>
      </c>
      <c r="D791" s="1" t="s">
        <v>504</v>
      </c>
      <c r="E791" s="1">
        <v>86001</v>
      </c>
      <c r="F791" s="1" t="s">
        <v>2291</v>
      </c>
      <c r="G791" s="1" t="s">
        <v>2130</v>
      </c>
      <c r="H791" s="4" t="s">
        <v>2292</v>
      </c>
      <c r="I791" s="5" t="s">
        <v>126</v>
      </c>
      <c r="J791" s="5" t="s">
        <v>37</v>
      </c>
      <c r="K791" s="5" t="s">
        <v>37</v>
      </c>
      <c r="L791" s="7" t="s">
        <v>2293</v>
      </c>
      <c r="M791" s="5" t="s">
        <v>37</v>
      </c>
      <c r="N791" s="5" t="s">
        <v>37</v>
      </c>
      <c r="O791" s="5" t="s">
        <v>38</v>
      </c>
      <c r="P791" s="2">
        <v>45937</v>
      </c>
      <c r="Q791" s="2">
        <v>45966</v>
      </c>
      <c r="R791" s="1" t="s">
        <v>2280</v>
      </c>
      <c r="V791" s="46">
        <f>IF(
  OR(
    ISNUMBER(SEARCH("unable to locate acct", tblDocketedComments[[#This Row],[Docketed Consumer Comments]])),
    ISNUMBER(SEARCH("unknown", tblDocketedComments[[#This Row],[Docketed Consumer Comments]])),
    ISNUMBER(SEARCH("inactive", tblDocketedComments[[#This Row],[Docketed Consumer Comments]]))
  ),
  0,
  1
)</f>
        <v>1</v>
      </c>
    </row>
    <row r="792" spans="1:22">
      <c r="A792" s="2">
        <v>45905</v>
      </c>
      <c r="B792" s="1" t="s">
        <v>2294</v>
      </c>
      <c r="C792" s="1" t="s">
        <v>382</v>
      </c>
      <c r="D792" s="1" t="s">
        <v>240</v>
      </c>
      <c r="E792" s="1">
        <v>85340</v>
      </c>
      <c r="F792" s="1" t="s">
        <v>1990</v>
      </c>
      <c r="G792" s="1" t="s">
        <v>2130</v>
      </c>
      <c r="H792" s="4" t="s">
        <v>2295</v>
      </c>
      <c r="I792" s="5" t="s">
        <v>36</v>
      </c>
      <c r="J792" s="5" t="s">
        <v>37</v>
      </c>
      <c r="K792" s="5" t="s">
        <v>37</v>
      </c>
      <c r="L792" s="5" t="s">
        <v>38</v>
      </c>
      <c r="M792" s="5" t="s">
        <v>37</v>
      </c>
      <c r="N792" s="5" t="s">
        <v>37</v>
      </c>
      <c r="O792" s="5" t="s">
        <v>38</v>
      </c>
      <c r="P792" s="5" t="s">
        <v>39</v>
      </c>
      <c r="Q792" s="2">
        <v>45966</v>
      </c>
      <c r="V792" s="46">
        <f>IF(
  OR(
    ISNUMBER(SEARCH("unable to locate acct", tblDocketedComments[[#This Row],[Docketed Consumer Comments]])),
    ISNUMBER(SEARCH("unknown", tblDocketedComments[[#This Row],[Docketed Consumer Comments]])),
    ISNUMBER(SEARCH("inactive", tblDocketedComments[[#This Row],[Docketed Consumer Comments]]))
  ),
  0,
  1
)</f>
        <v>1</v>
      </c>
    </row>
    <row r="793" spans="1:22">
      <c r="A793" s="2">
        <v>45905</v>
      </c>
      <c r="B793" s="1" t="s">
        <v>219</v>
      </c>
      <c r="C793" s="1" t="s">
        <v>220</v>
      </c>
      <c r="D793" s="1" t="s">
        <v>63</v>
      </c>
      <c r="E793" s="1">
        <v>85032</v>
      </c>
      <c r="F793" s="1" t="s">
        <v>31</v>
      </c>
      <c r="G793" s="1" t="s">
        <v>2130</v>
      </c>
      <c r="H793" s="4" t="s">
        <v>2296</v>
      </c>
      <c r="I793" s="5" t="s">
        <v>126</v>
      </c>
      <c r="J793" s="5" t="s">
        <v>37</v>
      </c>
      <c r="K793" s="5" t="s">
        <v>37</v>
      </c>
      <c r="L793" s="5" t="s">
        <v>38</v>
      </c>
      <c r="M793" s="5" t="s">
        <v>37</v>
      </c>
      <c r="N793" s="5" t="s">
        <v>37</v>
      </c>
      <c r="O793" s="5" t="s">
        <v>38</v>
      </c>
      <c r="P793" s="5" t="s">
        <v>39</v>
      </c>
      <c r="Q793" s="2">
        <v>45966</v>
      </c>
      <c r="U793" s="1" t="s">
        <v>2215</v>
      </c>
      <c r="V793" s="46">
        <f>IF(
  OR(
    ISNUMBER(SEARCH("unable to locate acct", tblDocketedComments[[#This Row],[Docketed Consumer Comments]])),
    ISNUMBER(SEARCH("unknown", tblDocketedComments[[#This Row],[Docketed Consumer Comments]])),
    ISNUMBER(SEARCH("inactive", tblDocketedComments[[#This Row],[Docketed Consumer Comments]]))
  ),
  0,
  1
)</f>
        <v>1</v>
      </c>
    </row>
    <row r="794" spans="1:22">
      <c r="A794" s="2">
        <v>45905</v>
      </c>
      <c r="B794" s="1" t="s">
        <v>2297</v>
      </c>
      <c r="C794" s="1" t="s">
        <v>2298</v>
      </c>
      <c r="D794" s="1" t="s">
        <v>85</v>
      </c>
      <c r="E794" s="1">
        <v>86323</v>
      </c>
      <c r="F794" s="1" t="s">
        <v>1933</v>
      </c>
      <c r="G794" s="1" t="s">
        <v>2130</v>
      </c>
      <c r="H794" s="4" t="s">
        <v>27</v>
      </c>
      <c r="V794" s="46">
        <f>IF(
  OR(
    ISNUMBER(SEARCH("unable to locate acct", tblDocketedComments[[#This Row],[Docketed Consumer Comments]])),
    ISNUMBER(SEARCH("unknown", tblDocketedComments[[#This Row],[Docketed Consumer Comments]])),
    ISNUMBER(SEARCH("inactive", tblDocketedComments[[#This Row],[Docketed Consumer Comments]]))
  ),
  0,
  1
)</f>
        <v>1</v>
      </c>
    </row>
    <row r="795" spans="1:22">
      <c r="A795" s="2">
        <v>45905</v>
      </c>
      <c r="B795" s="1" t="s">
        <v>2299</v>
      </c>
      <c r="C795" s="1" t="s">
        <v>2300</v>
      </c>
      <c r="D795" s="1" t="s">
        <v>63</v>
      </c>
      <c r="E795" s="1">
        <v>85014</v>
      </c>
      <c r="F795" s="1" t="s">
        <v>310</v>
      </c>
      <c r="G795" s="1" t="s">
        <v>2130</v>
      </c>
      <c r="H795" s="4" t="s">
        <v>27</v>
      </c>
      <c r="V795" s="46">
        <f>IF(
  OR(
    ISNUMBER(SEARCH("unable to locate acct", tblDocketedComments[[#This Row],[Docketed Consumer Comments]])),
    ISNUMBER(SEARCH("unknown", tblDocketedComments[[#This Row],[Docketed Consumer Comments]])),
    ISNUMBER(SEARCH("inactive", tblDocketedComments[[#This Row],[Docketed Consumer Comments]]))
  ),
  0,
  1
)</f>
        <v>1</v>
      </c>
    </row>
    <row r="796" spans="1:22">
      <c r="A796" s="2">
        <v>45905</v>
      </c>
      <c r="B796" s="1" t="s">
        <v>2301</v>
      </c>
      <c r="C796" s="1" t="s">
        <v>2302</v>
      </c>
      <c r="D796" s="1" t="s">
        <v>63</v>
      </c>
      <c r="E796" s="1">
        <v>85028</v>
      </c>
      <c r="F796" s="1" t="s">
        <v>310</v>
      </c>
      <c r="G796" s="1" t="s">
        <v>2130</v>
      </c>
      <c r="H796" s="4" t="s">
        <v>2303</v>
      </c>
      <c r="I796" s="5" t="s">
        <v>36</v>
      </c>
      <c r="J796" s="5" t="s">
        <v>37</v>
      </c>
      <c r="K796" s="5" t="s">
        <v>37</v>
      </c>
      <c r="L796" s="5" t="s">
        <v>38</v>
      </c>
      <c r="M796" s="5" t="s">
        <v>37</v>
      </c>
      <c r="N796" s="5" t="s">
        <v>37</v>
      </c>
      <c r="O796" s="5" t="s">
        <v>38</v>
      </c>
      <c r="P796" s="5" t="s">
        <v>39</v>
      </c>
      <c r="Q796" s="2">
        <v>45966</v>
      </c>
      <c r="V796" s="46">
        <f>IF(
  OR(
    ISNUMBER(SEARCH("unable to locate acct", tblDocketedComments[[#This Row],[Docketed Consumer Comments]])),
    ISNUMBER(SEARCH("unknown", tblDocketedComments[[#This Row],[Docketed Consumer Comments]])),
    ISNUMBER(SEARCH("inactive", tblDocketedComments[[#This Row],[Docketed Consumer Comments]]))
  ),
  0,
  1
)</f>
        <v>1</v>
      </c>
    </row>
    <row r="797" spans="1:22">
      <c r="A797" s="2">
        <v>45905</v>
      </c>
      <c r="B797" s="1" t="s">
        <v>2304</v>
      </c>
      <c r="C797" s="1" t="s">
        <v>481</v>
      </c>
      <c r="D797" s="1" t="s">
        <v>112</v>
      </c>
      <c r="E797" s="1">
        <v>85374</v>
      </c>
      <c r="F797" s="1" t="s">
        <v>2305</v>
      </c>
      <c r="G797" s="1" t="s">
        <v>2130</v>
      </c>
      <c r="H797" s="4" t="s">
        <v>2306</v>
      </c>
      <c r="I797" s="5" t="s">
        <v>36</v>
      </c>
      <c r="J797" s="5" t="s">
        <v>37</v>
      </c>
      <c r="K797" s="5" t="s">
        <v>37</v>
      </c>
      <c r="L797" s="5" t="s">
        <v>38</v>
      </c>
      <c r="M797" s="5" t="s">
        <v>37</v>
      </c>
      <c r="N797" s="5" t="s">
        <v>37</v>
      </c>
      <c r="O797" s="5" t="s">
        <v>38</v>
      </c>
      <c r="P797" s="5" t="s">
        <v>39</v>
      </c>
      <c r="Q797" s="2">
        <v>45966</v>
      </c>
      <c r="V797" s="46">
        <f>IF(
  OR(
    ISNUMBER(SEARCH("unable to locate acct", tblDocketedComments[[#This Row],[Docketed Consumer Comments]])),
    ISNUMBER(SEARCH("unknown", tblDocketedComments[[#This Row],[Docketed Consumer Comments]])),
    ISNUMBER(SEARCH("inactive", tblDocketedComments[[#This Row],[Docketed Consumer Comments]]))
  ),
  0,
  1
)</f>
        <v>1</v>
      </c>
    </row>
    <row r="798" spans="1:22">
      <c r="A798" s="2">
        <v>45905</v>
      </c>
      <c r="B798" s="1" t="s">
        <v>2307</v>
      </c>
      <c r="C798" s="1" t="s">
        <v>2308</v>
      </c>
      <c r="D798" s="1" t="s">
        <v>63</v>
      </c>
      <c r="E798" s="1">
        <v>85029</v>
      </c>
      <c r="F798" s="1" t="s">
        <v>310</v>
      </c>
      <c r="G798" s="1" t="s">
        <v>2130</v>
      </c>
      <c r="H798" s="4" t="s">
        <v>2309</v>
      </c>
      <c r="I798" s="5" t="s">
        <v>418</v>
      </c>
      <c r="J798" s="5" t="s">
        <v>37</v>
      </c>
      <c r="K798" s="5" t="s">
        <v>37</v>
      </c>
      <c r="L798" s="5" t="s">
        <v>389</v>
      </c>
      <c r="M798" s="5" t="s">
        <v>37</v>
      </c>
      <c r="N798" s="5" t="s">
        <v>37</v>
      </c>
      <c r="O798" s="5" t="s">
        <v>38</v>
      </c>
      <c r="P798" s="5" t="s">
        <v>39</v>
      </c>
      <c r="Q798" s="2">
        <v>45966</v>
      </c>
      <c r="V798" s="46">
        <f>IF(
  OR(
    ISNUMBER(SEARCH("unable to locate acct", tblDocketedComments[[#This Row],[Docketed Consumer Comments]])),
    ISNUMBER(SEARCH("unknown", tblDocketedComments[[#This Row],[Docketed Consumer Comments]])),
    ISNUMBER(SEARCH("inactive", tblDocketedComments[[#This Row],[Docketed Consumer Comments]]))
  ),
  0,
  1
)</f>
        <v>1</v>
      </c>
    </row>
    <row r="799" spans="1:22">
      <c r="A799" s="2">
        <v>45905</v>
      </c>
      <c r="B799" s="1" t="s">
        <v>2310</v>
      </c>
      <c r="C799" s="1" t="s">
        <v>2311</v>
      </c>
      <c r="D799" s="1" t="s">
        <v>63</v>
      </c>
      <c r="E799" s="1">
        <v>85043</v>
      </c>
      <c r="F799" s="1" t="s">
        <v>2312</v>
      </c>
      <c r="G799" s="1" t="s">
        <v>2130</v>
      </c>
      <c r="H799" s="4" t="s">
        <v>27</v>
      </c>
      <c r="V799" s="46">
        <f>IF(
  OR(
    ISNUMBER(SEARCH("unable to locate acct", tblDocketedComments[[#This Row],[Docketed Consumer Comments]])),
    ISNUMBER(SEARCH("unknown", tblDocketedComments[[#This Row],[Docketed Consumer Comments]])),
    ISNUMBER(SEARCH("inactive", tblDocketedComments[[#This Row],[Docketed Consumer Comments]]))
  ),
  0,
  1
)</f>
        <v>1</v>
      </c>
    </row>
    <row r="800" spans="1:22">
      <c r="A800" s="2">
        <v>45905</v>
      </c>
      <c r="B800" s="1" t="s">
        <v>2313</v>
      </c>
      <c r="C800" s="1" t="s">
        <v>194</v>
      </c>
      <c r="D800" s="1" t="s">
        <v>63</v>
      </c>
      <c r="E800" s="1">
        <v>85013</v>
      </c>
      <c r="F800" s="1" t="s">
        <v>310</v>
      </c>
      <c r="G800" s="1" t="s">
        <v>2130</v>
      </c>
      <c r="H800" s="4" t="s">
        <v>2314</v>
      </c>
      <c r="I800" s="5" t="s">
        <v>36</v>
      </c>
      <c r="J800" s="5" t="s">
        <v>37</v>
      </c>
      <c r="K800" s="5" t="s">
        <v>37</v>
      </c>
      <c r="L800" s="5" t="s">
        <v>38</v>
      </c>
      <c r="M800" s="5" t="s">
        <v>37</v>
      </c>
      <c r="N800" s="5" t="s">
        <v>37</v>
      </c>
      <c r="O800" s="5" t="s">
        <v>38</v>
      </c>
      <c r="P800" s="5" t="s">
        <v>39</v>
      </c>
      <c r="Q800" s="2">
        <v>45965</v>
      </c>
      <c r="V800" s="46">
        <f>IF(
  OR(
    ISNUMBER(SEARCH("unable to locate acct", tblDocketedComments[[#This Row],[Docketed Consumer Comments]])),
    ISNUMBER(SEARCH("unknown", tblDocketedComments[[#This Row],[Docketed Consumer Comments]])),
    ISNUMBER(SEARCH("inactive", tblDocketedComments[[#This Row],[Docketed Consumer Comments]]))
  ),
  0,
  1
)</f>
        <v>1</v>
      </c>
    </row>
    <row r="801" spans="1:22">
      <c r="A801" s="2">
        <v>45905</v>
      </c>
      <c r="B801" s="1" t="s">
        <v>2315</v>
      </c>
      <c r="C801" s="1" t="s">
        <v>2316</v>
      </c>
      <c r="D801" s="1" t="s">
        <v>370</v>
      </c>
      <c r="E801" s="1">
        <v>85225</v>
      </c>
      <c r="F801" s="1" t="s">
        <v>2317</v>
      </c>
      <c r="G801" s="1" t="s">
        <v>2130</v>
      </c>
      <c r="H801" s="19" t="s">
        <v>2318</v>
      </c>
      <c r="I801" s="5" t="s">
        <v>36</v>
      </c>
      <c r="J801" s="5" t="s">
        <v>38</v>
      </c>
      <c r="K801" s="5" t="s">
        <v>37</v>
      </c>
      <c r="L801" s="5" t="s">
        <v>38</v>
      </c>
      <c r="M801" s="5" t="s">
        <v>37</v>
      </c>
      <c r="N801" s="5" t="s">
        <v>37</v>
      </c>
      <c r="O801" s="5" t="s">
        <v>38</v>
      </c>
      <c r="P801" s="5" t="s">
        <v>39</v>
      </c>
      <c r="Q801" s="2">
        <v>45965</v>
      </c>
      <c r="V801" s="46">
        <f>IF(
  OR(
    ISNUMBER(SEARCH("unable to locate acct", tblDocketedComments[[#This Row],[Docketed Consumer Comments]])),
    ISNUMBER(SEARCH("unknown", tblDocketedComments[[#This Row],[Docketed Consumer Comments]])),
    ISNUMBER(SEARCH("inactive", tblDocketedComments[[#This Row],[Docketed Consumer Comments]]))
  ),
  0,
  1
)</f>
        <v>1</v>
      </c>
    </row>
    <row r="802" spans="1:22">
      <c r="A802" s="2">
        <v>45905</v>
      </c>
      <c r="B802" s="1" t="s">
        <v>2319</v>
      </c>
      <c r="C802" s="1" t="s">
        <v>2320</v>
      </c>
      <c r="D802" s="1" t="s">
        <v>202</v>
      </c>
      <c r="E802" s="1">
        <v>85383</v>
      </c>
      <c r="F802" s="1" t="s">
        <v>310</v>
      </c>
      <c r="G802" s="1" t="s">
        <v>2130</v>
      </c>
      <c r="H802" s="19" t="s">
        <v>2321</v>
      </c>
      <c r="I802" s="5" t="s">
        <v>36</v>
      </c>
      <c r="J802" s="5" t="s">
        <v>37</v>
      </c>
      <c r="K802" s="5" t="s">
        <v>37</v>
      </c>
      <c r="L802" s="5" t="s">
        <v>38</v>
      </c>
      <c r="M802" s="5" t="s">
        <v>37</v>
      </c>
      <c r="N802" s="5" t="s">
        <v>37</v>
      </c>
      <c r="O802" s="5" t="s">
        <v>38</v>
      </c>
      <c r="P802" s="5" t="s">
        <v>39</v>
      </c>
      <c r="Q802" s="2">
        <v>45965</v>
      </c>
      <c r="V802" s="46">
        <f>IF(
  OR(
    ISNUMBER(SEARCH("unable to locate acct", tblDocketedComments[[#This Row],[Docketed Consumer Comments]])),
    ISNUMBER(SEARCH("unknown", tblDocketedComments[[#This Row],[Docketed Consumer Comments]])),
    ISNUMBER(SEARCH("inactive", tblDocketedComments[[#This Row],[Docketed Consumer Comments]]))
  ),
  0,
  1
)</f>
        <v>1</v>
      </c>
    </row>
    <row r="803" spans="1:22">
      <c r="A803" s="2">
        <v>45905</v>
      </c>
      <c r="B803" s="1" t="s">
        <v>2322</v>
      </c>
      <c r="C803" s="1" t="s">
        <v>2184</v>
      </c>
      <c r="D803" s="1" t="s">
        <v>136</v>
      </c>
      <c r="E803" s="1">
        <v>85377</v>
      </c>
      <c r="F803" s="1" t="s">
        <v>2323</v>
      </c>
      <c r="G803" s="1" t="s">
        <v>2130</v>
      </c>
      <c r="H803" s="4" t="s">
        <v>2324</v>
      </c>
      <c r="I803" s="5" t="s">
        <v>196</v>
      </c>
      <c r="J803" s="5" t="s">
        <v>37</v>
      </c>
      <c r="K803" s="5" t="s">
        <v>37</v>
      </c>
      <c r="L803" s="7" t="s">
        <v>2325</v>
      </c>
      <c r="M803" s="5" t="s">
        <v>37</v>
      </c>
      <c r="N803" s="5" t="s">
        <v>37</v>
      </c>
      <c r="O803" s="5" t="s">
        <v>38</v>
      </c>
      <c r="P803" s="2">
        <v>45937</v>
      </c>
      <c r="Q803" s="2">
        <v>45965</v>
      </c>
      <c r="R803" s="1" t="s">
        <v>2326</v>
      </c>
      <c r="V803" s="46">
        <f>IF(
  OR(
    ISNUMBER(SEARCH("unable to locate acct", tblDocketedComments[[#This Row],[Docketed Consumer Comments]])),
    ISNUMBER(SEARCH("unknown", tblDocketedComments[[#This Row],[Docketed Consumer Comments]])),
    ISNUMBER(SEARCH("inactive", tblDocketedComments[[#This Row],[Docketed Consumer Comments]]))
  ),
  0,
  1
)</f>
        <v>1</v>
      </c>
    </row>
    <row r="804" spans="1:22">
      <c r="A804" s="2">
        <v>45905</v>
      </c>
      <c r="B804" s="1" t="s">
        <v>2327</v>
      </c>
      <c r="C804" s="1" t="s">
        <v>2328</v>
      </c>
      <c r="D804" s="1" t="s">
        <v>63</v>
      </c>
      <c r="E804" s="1">
        <v>85006</v>
      </c>
      <c r="F804" s="1" t="s">
        <v>2329</v>
      </c>
      <c r="G804" s="1" t="s">
        <v>2130</v>
      </c>
      <c r="H804" s="4" t="s">
        <v>2330</v>
      </c>
      <c r="I804" s="5" t="s">
        <v>73</v>
      </c>
      <c r="J804" s="5" t="s">
        <v>37</v>
      </c>
      <c r="K804" s="5" t="s">
        <v>37</v>
      </c>
      <c r="L804" s="5" t="s">
        <v>38</v>
      </c>
      <c r="M804" s="5" t="s">
        <v>37</v>
      </c>
      <c r="N804" s="5" t="s">
        <v>37</v>
      </c>
      <c r="O804" s="5" t="s">
        <v>38</v>
      </c>
      <c r="P804" s="5" t="s">
        <v>39</v>
      </c>
      <c r="Q804" s="2">
        <v>45965</v>
      </c>
      <c r="V804" s="46">
        <f>IF(
  OR(
    ISNUMBER(SEARCH("unable to locate acct", tblDocketedComments[[#This Row],[Docketed Consumer Comments]])),
    ISNUMBER(SEARCH("unknown", tblDocketedComments[[#This Row],[Docketed Consumer Comments]])),
    ISNUMBER(SEARCH("inactive", tblDocketedComments[[#This Row],[Docketed Consumer Comments]]))
  ),
  0,
  1
)</f>
        <v>1</v>
      </c>
    </row>
    <row r="805" spans="1:22">
      <c r="A805" s="2">
        <v>45905</v>
      </c>
      <c r="B805" s="1" t="s">
        <v>2331</v>
      </c>
      <c r="C805" s="1" t="s">
        <v>2332</v>
      </c>
      <c r="D805" s="1" t="s">
        <v>635</v>
      </c>
      <c r="E805" s="1">
        <v>85281</v>
      </c>
      <c r="F805" s="1" t="s">
        <v>310</v>
      </c>
      <c r="G805" s="1" t="s">
        <v>2130</v>
      </c>
      <c r="H805" s="4" t="s">
        <v>2333</v>
      </c>
      <c r="I805" s="5" t="s">
        <v>126</v>
      </c>
      <c r="J805" s="5" t="s">
        <v>37</v>
      </c>
      <c r="K805" s="5" t="s">
        <v>37</v>
      </c>
      <c r="L805" s="5" t="s">
        <v>2334</v>
      </c>
      <c r="M805" s="5" t="s">
        <v>37</v>
      </c>
      <c r="N805" s="5" t="s">
        <v>37</v>
      </c>
      <c r="O805" s="5" t="s">
        <v>38</v>
      </c>
      <c r="P805" s="5" t="s">
        <v>39</v>
      </c>
      <c r="Q805" s="2">
        <v>45965</v>
      </c>
      <c r="V805" s="46">
        <f>IF(
  OR(
    ISNUMBER(SEARCH("unable to locate acct", tblDocketedComments[[#This Row],[Docketed Consumer Comments]])),
    ISNUMBER(SEARCH("unknown", tblDocketedComments[[#This Row],[Docketed Consumer Comments]])),
    ISNUMBER(SEARCH("inactive", tblDocketedComments[[#This Row],[Docketed Consumer Comments]]))
  ),
  0,
  1
)</f>
        <v>1</v>
      </c>
    </row>
    <row r="806" spans="1:22">
      <c r="A806" s="2">
        <v>45905</v>
      </c>
      <c r="B806" s="1" t="s">
        <v>2335</v>
      </c>
      <c r="C806" s="1" t="s">
        <v>2336</v>
      </c>
      <c r="D806" s="1" t="s">
        <v>63</v>
      </c>
      <c r="E806" s="1">
        <v>85032</v>
      </c>
      <c r="F806" s="1" t="s">
        <v>2337</v>
      </c>
      <c r="G806" s="1" t="s">
        <v>2130</v>
      </c>
      <c r="H806" s="4" t="s">
        <v>27</v>
      </c>
      <c r="V806" s="46">
        <f>IF(
  OR(
    ISNUMBER(SEARCH("unable to locate acct", tblDocketedComments[[#This Row],[Docketed Consumer Comments]])),
    ISNUMBER(SEARCH("unknown", tblDocketedComments[[#This Row],[Docketed Consumer Comments]])),
    ISNUMBER(SEARCH("inactive", tblDocketedComments[[#This Row],[Docketed Consumer Comments]]))
  ),
  0,
  1
)</f>
        <v>1</v>
      </c>
    </row>
    <row r="807" spans="1:22">
      <c r="A807" s="2">
        <v>45905</v>
      </c>
      <c r="B807" s="1" t="s">
        <v>2338</v>
      </c>
      <c r="C807" s="1" t="s">
        <v>2339</v>
      </c>
      <c r="D807" s="1" t="s">
        <v>635</v>
      </c>
      <c r="E807" s="1">
        <v>85281</v>
      </c>
      <c r="F807" s="1" t="s">
        <v>310</v>
      </c>
      <c r="G807" s="1" t="s">
        <v>2130</v>
      </c>
      <c r="H807" s="4" t="s">
        <v>90</v>
      </c>
      <c r="V807" s="46">
        <f>IF(
  OR(
    ISNUMBER(SEARCH("unable to locate acct", tblDocketedComments[[#This Row],[Docketed Consumer Comments]])),
    ISNUMBER(SEARCH("unknown", tblDocketedComments[[#This Row],[Docketed Consumer Comments]])),
    ISNUMBER(SEARCH("inactive", tblDocketedComments[[#This Row],[Docketed Consumer Comments]]))
  ),
  0,
  1
)</f>
        <v>1</v>
      </c>
    </row>
    <row r="808" spans="1:22">
      <c r="A808" s="2">
        <v>45905</v>
      </c>
      <c r="B808" s="1" t="s">
        <v>2340</v>
      </c>
      <c r="C808" s="1" t="s">
        <v>2341</v>
      </c>
      <c r="D808" s="1" t="s">
        <v>174</v>
      </c>
      <c r="E808" s="1">
        <v>85326</v>
      </c>
      <c r="F808" s="1" t="s">
        <v>310</v>
      </c>
      <c r="G808" s="1" t="s">
        <v>2130</v>
      </c>
      <c r="H808" s="4" t="s">
        <v>2342</v>
      </c>
      <c r="I808" s="5" t="s">
        <v>541</v>
      </c>
      <c r="J808" s="5" t="s">
        <v>38</v>
      </c>
      <c r="K808" s="5" t="s">
        <v>37</v>
      </c>
      <c r="L808" s="5" t="s">
        <v>389</v>
      </c>
      <c r="M808" s="5" t="s">
        <v>37</v>
      </c>
      <c r="N808" s="5" t="s">
        <v>37</v>
      </c>
      <c r="O808" s="5" t="s">
        <v>38</v>
      </c>
      <c r="P808" s="5" t="s">
        <v>39</v>
      </c>
      <c r="Q808" s="2">
        <v>45965</v>
      </c>
      <c r="V808" s="46">
        <f>IF(
  OR(
    ISNUMBER(SEARCH("unable to locate acct", tblDocketedComments[[#This Row],[Docketed Consumer Comments]])),
    ISNUMBER(SEARCH("unknown", tblDocketedComments[[#This Row],[Docketed Consumer Comments]])),
    ISNUMBER(SEARCH("inactive", tblDocketedComments[[#This Row],[Docketed Consumer Comments]]))
  ),
  0,
  1
)</f>
        <v>1</v>
      </c>
    </row>
    <row r="809" spans="1:22">
      <c r="A809" s="2">
        <v>45905</v>
      </c>
      <c r="B809" s="1" t="s">
        <v>2290</v>
      </c>
      <c r="C809" s="1" t="s">
        <v>2343</v>
      </c>
      <c r="D809" s="1" t="s">
        <v>63</v>
      </c>
      <c r="E809" s="1">
        <v>85024</v>
      </c>
      <c r="F809" s="1" t="s">
        <v>31</v>
      </c>
      <c r="G809" s="1" t="s">
        <v>2130</v>
      </c>
      <c r="H809" s="4" t="s">
        <v>2344</v>
      </c>
      <c r="I809" s="5" t="s">
        <v>36</v>
      </c>
      <c r="J809" s="5" t="s">
        <v>37</v>
      </c>
      <c r="K809" s="5" t="s">
        <v>37</v>
      </c>
      <c r="L809" s="5" t="s">
        <v>38</v>
      </c>
      <c r="M809" s="5" t="s">
        <v>37</v>
      </c>
      <c r="N809" s="5" t="s">
        <v>37</v>
      </c>
      <c r="O809" s="5" t="s">
        <v>38</v>
      </c>
      <c r="P809" s="5" t="s">
        <v>39</v>
      </c>
      <c r="Q809" s="2">
        <v>45965</v>
      </c>
      <c r="V809" s="46">
        <f>IF(
  OR(
    ISNUMBER(SEARCH("unable to locate acct", tblDocketedComments[[#This Row],[Docketed Consumer Comments]])),
    ISNUMBER(SEARCH("unknown", tblDocketedComments[[#This Row],[Docketed Consumer Comments]])),
    ISNUMBER(SEARCH("inactive", tblDocketedComments[[#This Row],[Docketed Consumer Comments]]))
  ),
  0,
  1
)</f>
        <v>1</v>
      </c>
    </row>
    <row r="810" spans="1:22">
      <c r="A810" s="2">
        <v>45905</v>
      </c>
      <c r="B810" s="1" t="s">
        <v>2345</v>
      </c>
      <c r="C810" s="1" t="s">
        <v>75</v>
      </c>
      <c r="D810" s="1" t="s">
        <v>63</v>
      </c>
      <c r="E810" s="1">
        <v>85012</v>
      </c>
      <c r="F810" s="1" t="s">
        <v>310</v>
      </c>
      <c r="G810" s="1" t="s">
        <v>2130</v>
      </c>
      <c r="H810" s="19" t="s">
        <v>2346</v>
      </c>
      <c r="I810" s="5" t="s">
        <v>73</v>
      </c>
      <c r="J810" s="5" t="s">
        <v>37</v>
      </c>
      <c r="K810" s="5" t="s">
        <v>37</v>
      </c>
      <c r="L810" s="5" t="s">
        <v>401</v>
      </c>
      <c r="M810" s="5" t="s">
        <v>37</v>
      </c>
      <c r="N810" s="5" t="s">
        <v>37</v>
      </c>
      <c r="O810" s="5" t="s">
        <v>38</v>
      </c>
      <c r="P810" s="5" t="s">
        <v>39</v>
      </c>
      <c r="Q810" s="2">
        <v>38660</v>
      </c>
      <c r="R810" s="1" t="s">
        <v>2347</v>
      </c>
      <c r="V810" s="46">
        <f>IF(
  OR(
    ISNUMBER(SEARCH("unable to locate acct", tblDocketedComments[[#This Row],[Docketed Consumer Comments]])),
    ISNUMBER(SEARCH("unknown", tblDocketedComments[[#This Row],[Docketed Consumer Comments]])),
    ISNUMBER(SEARCH("inactive", tblDocketedComments[[#This Row],[Docketed Consumer Comments]]))
  ),
  0,
  1
)</f>
        <v>1</v>
      </c>
    </row>
    <row r="811" spans="1:22">
      <c r="A811" s="2">
        <v>45905</v>
      </c>
      <c r="B811" s="1" t="s">
        <v>2348</v>
      </c>
      <c r="C811" s="1" t="s">
        <v>2349</v>
      </c>
      <c r="D811" s="1" t="s">
        <v>63</v>
      </c>
      <c r="E811" s="1">
        <v>85008</v>
      </c>
      <c r="F811" s="1" t="s">
        <v>31</v>
      </c>
      <c r="G811" s="1" t="s">
        <v>2130</v>
      </c>
      <c r="H811" s="4" t="s">
        <v>2350</v>
      </c>
      <c r="I811" s="5" t="s">
        <v>196</v>
      </c>
      <c r="J811" s="5" t="s">
        <v>37</v>
      </c>
      <c r="K811" s="5" t="s">
        <v>37</v>
      </c>
      <c r="L811" s="7" t="s">
        <v>2351</v>
      </c>
      <c r="M811" s="5" t="s">
        <v>37</v>
      </c>
      <c r="N811" s="5" t="s">
        <v>37</v>
      </c>
      <c r="O811" s="5" t="s">
        <v>38</v>
      </c>
      <c r="P811" s="2">
        <v>45937</v>
      </c>
      <c r="Q811" s="2">
        <v>45965</v>
      </c>
      <c r="R811" s="1" t="s">
        <v>2352</v>
      </c>
      <c r="V811" s="46">
        <f>IF(
  OR(
    ISNUMBER(SEARCH("unable to locate acct", tblDocketedComments[[#This Row],[Docketed Consumer Comments]])),
    ISNUMBER(SEARCH("unknown", tblDocketedComments[[#This Row],[Docketed Consumer Comments]])),
    ISNUMBER(SEARCH("inactive", tblDocketedComments[[#This Row],[Docketed Consumer Comments]]))
  ),
  0,
  1
)</f>
        <v>1</v>
      </c>
    </row>
    <row r="812" spans="1:22">
      <c r="A812" s="2">
        <v>45905</v>
      </c>
      <c r="B812" s="1" t="s">
        <v>2353</v>
      </c>
      <c r="C812" s="1" t="s">
        <v>2354</v>
      </c>
      <c r="D812" s="1" t="s">
        <v>63</v>
      </c>
      <c r="E812" s="1">
        <v>85027</v>
      </c>
      <c r="F812" s="1" t="s">
        <v>310</v>
      </c>
      <c r="G812" s="1" t="s">
        <v>2130</v>
      </c>
      <c r="H812" s="19" t="s">
        <v>2355</v>
      </c>
      <c r="I812" s="5" t="s">
        <v>541</v>
      </c>
      <c r="J812" s="5" t="s">
        <v>37</v>
      </c>
      <c r="K812" s="5" t="s">
        <v>37</v>
      </c>
      <c r="L812" s="5" t="s">
        <v>389</v>
      </c>
      <c r="M812" s="5" t="s">
        <v>37</v>
      </c>
      <c r="N812" s="5" t="s">
        <v>37</v>
      </c>
      <c r="O812" s="5" t="s">
        <v>38</v>
      </c>
      <c r="P812" s="5" t="s">
        <v>39</v>
      </c>
      <c r="Q812" s="2">
        <v>45965</v>
      </c>
      <c r="V812" s="46">
        <f>IF(
  OR(
    ISNUMBER(SEARCH("unable to locate acct", tblDocketedComments[[#This Row],[Docketed Consumer Comments]])),
    ISNUMBER(SEARCH("unknown", tblDocketedComments[[#This Row],[Docketed Consumer Comments]])),
    ISNUMBER(SEARCH("inactive", tblDocketedComments[[#This Row],[Docketed Consumer Comments]]))
  ),
  0,
  1
)</f>
        <v>1</v>
      </c>
    </row>
    <row r="813" spans="1:22">
      <c r="A813" s="2">
        <v>45905</v>
      </c>
      <c r="B813" s="1" t="s">
        <v>2356</v>
      </c>
      <c r="C813" s="1" t="s">
        <v>2219</v>
      </c>
      <c r="D813" s="1" t="s">
        <v>30</v>
      </c>
      <c r="E813" s="24" t="s">
        <v>30</v>
      </c>
      <c r="F813" s="1" t="s">
        <v>2357</v>
      </c>
      <c r="G813" s="1" t="s">
        <v>2130</v>
      </c>
      <c r="H813" s="4" t="s">
        <v>2358</v>
      </c>
      <c r="I813" s="5" t="s">
        <v>126</v>
      </c>
      <c r="J813" s="5" t="s">
        <v>37</v>
      </c>
      <c r="K813" s="5" t="s">
        <v>37</v>
      </c>
      <c r="L813" s="5" t="s">
        <v>38</v>
      </c>
      <c r="M813" s="5" t="s">
        <v>37</v>
      </c>
      <c r="N813" s="5" t="s">
        <v>37</v>
      </c>
      <c r="O813" s="5" t="s">
        <v>38</v>
      </c>
      <c r="P813" s="5" t="s">
        <v>39</v>
      </c>
      <c r="Q813" s="2">
        <v>45965</v>
      </c>
      <c r="V813" s="46">
        <f>IF(
  OR(
    ISNUMBER(SEARCH("unable to locate acct", tblDocketedComments[[#This Row],[Docketed Consumer Comments]])),
    ISNUMBER(SEARCH("unknown", tblDocketedComments[[#This Row],[Docketed Consumer Comments]])),
    ISNUMBER(SEARCH("inactive", tblDocketedComments[[#This Row],[Docketed Consumer Comments]]))
  ),
  0,
  1
)</f>
        <v>1</v>
      </c>
    </row>
    <row r="814" spans="1:22">
      <c r="A814" s="14">
        <v>45905</v>
      </c>
      <c r="B814" s="25" t="s">
        <v>2359</v>
      </c>
      <c r="C814" s="25" t="s">
        <v>2360</v>
      </c>
      <c r="D814" s="25" t="s">
        <v>2361</v>
      </c>
      <c r="E814" s="25">
        <v>86335</v>
      </c>
      <c r="F814" s="25" t="s">
        <v>31</v>
      </c>
      <c r="G814" s="26" t="s">
        <v>2362</v>
      </c>
      <c r="H814" s="4" t="s">
        <v>27</v>
      </c>
      <c r="V814" s="46">
        <f>IF(
  OR(
    ISNUMBER(SEARCH("unable to locate acct", tblDocketedComments[[#This Row],[Docketed Consumer Comments]])),
    ISNUMBER(SEARCH("unknown", tblDocketedComments[[#This Row],[Docketed Consumer Comments]])),
    ISNUMBER(SEARCH("inactive", tblDocketedComments[[#This Row],[Docketed Consumer Comments]]))
  ),
  0,
  1
)</f>
        <v>1</v>
      </c>
    </row>
    <row r="815" spans="1:22">
      <c r="A815" s="2">
        <v>45905</v>
      </c>
      <c r="B815" s="1" t="s">
        <v>747</v>
      </c>
      <c r="C815" s="1" t="s">
        <v>1962</v>
      </c>
      <c r="D815" s="1" t="s">
        <v>30</v>
      </c>
      <c r="E815" s="1" t="s">
        <v>30</v>
      </c>
      <c r="F815" s="1" t="s">
        <v>31</v>
      </c>
      <c r="G815" s="1" t="s">
        <v>2130</v>
      </c>
      <c r="H815" s="4" t="s">
        <v>209</v>
      </c>
      <c r="V815" s="46">
        <f>IF(
  OR(
    ISNUMBER(SEARCH("unable to locate acct", tblDocketedComments[[#This Row],[Docketed Consumer Comments]])),
    ISNUMBER(SEARCH("unknown", tblDocketedComments[[#This Row],[Docketed Consumer Comments]])),
    ISNUMBER(SEARCH("inactive", tblDocketedComments[[#This Row],[Docketed Consumer Comments]]))
  ),
  0,
  1
)</f>
        <v>1</v>
      </c>
    </row>
    <row r="816" spans="1:22">
      <c r="A816" s="2">
        <v>45906</v>
      </c>
      <c r="B816" s="1" t="s">
        <v>2363</v>
      </c>
      <c r="C816" s="1" t="s">
        <v>879</v>
      </c>
      <c r="D816" s="1" t="s">
        <v>112</v>
      </c>
      <c r="E816" s="1">
        <v>85388</v>
      </c>
      <c r="F816" s="1" t="s">
        <v>310</v>
      </c>
      <c r="G816" s="1" t="s">
        <v>2364</v>
      </c>
      <c r="H816" s="4" t="s">
        <v>27</v>
      </c>
      <c r="V816" s="46">
        <f>IF(
  OR(
    ISNUMBER(SEARCH("unable to locate acct", tblDocketedComments[[#This Row],[Docketed Consumer Comments]])),
    ISNUMBER(SEARCH("unknown", tblDocketedComments[[#This Row],[Docketed Consumer Comments]])),
    ISNUMBER(SEARCH("inactive", tblDocketedComments[[#This Row],[Docketed Consumer Comments]]))
  ),
  0,
  1
)</f>
        <v>1</v>
      </c>
    </row>
    <row r="817" spans="1:22">
      <c r="A817" s="2">
        <v>45906</v>
      </c>
      <c r="B817" s="1" t="s">
        <v>2365</v>
      </c>
      <c r="C817" s="1" t="s">
        <v>550</v>
      </c>
      <c r="D817" s="1" t="s">
        <v>63</v>
      </c>
      <c r="E817" s="1">
        <v>85004</v>
      </c>
      <c r="F817" s="1" t="s">
        <v>2366</v>
      </c>
      <c r="G817" s="1" t="s">
        <v>2364</v>
      </c>
      <c r="H817" s="4" t="s">
        <v>2367</v>
      </c>
      <c r="I817" s="5" t="s">
        <v>36</v>
      </c>
      <c r="J817" s="5" t="s">
        <v>37</v>
      </c>
      <c r="K817" s="5" t="s">
        <v>37</v>
      </c>
      <c r="L817" s="5" t="s">
        <v>38</v>
      </c>
      <c r="M817" s="5" t="s">
        <v>37</v>
      </c>
      <c r="N817" s="5" t="s">
        <v>37</v>
      </c>
      <c r="O817" s="5" t="s">
        <v>38</v>
      </c>
      <c r="P817" s="5" t="s">
        <v>39</v>
      </c>
      <c r="Q817" s="2">
        <v>45965</v>
      </c>
      <c r="V817" s="46">
        <f>IF(
  OR(
    ISNUMBER(SEARCH("unable to locate acct", tblDocketedComments[[#This Row],[Docketed Consumer Comments]])),
    ISNUMBER(SEARCH("unknown", tblDocketedComments[[#This Row],[Docketed Consumer Comments]])),
    ISNUMBER(SEARCH("inactive", tblDocketedComments[[#This Row],[Docketed Consumer Comments]]))
  ),
  0,
  1
)</f>
        <v>1</v>
      </c>
    </row>
    <row r="818" spans="1:22">
      <c r="A818" s="2">
        <v>45906</v>
      </c>
      <c r="B818" s="1" t="s">
        <v>2368</v>
      </c>
      <c r="C818" s="1" t="s">
        <v>2116</v>
      </c>
      <c r="D818" s="1" t="s">
        <v>63</v>
      </c>
      <c r="E818" s="1">
        <v>85022</v>
      </c>
      <c r="F818" s="1" t="s">
        <v>310</v>
      </c>
      <c r="G818" s="1" t="s">
        <v>2364</v>
      </c>
      <c r="H818" s="4" t="s">
        <v>2369</v>
      </c>
      <c r="I818" s="5" t="s">
        <v>196</v>
      </c>
      <c r="J818" s="5" t="s">
        <v>37</v>
      </c>
      <c r="K818" s="5" t="s">
        <v>37</v>
      </c>
      <c r="L818" s="5" t="s">
        <v>2370</v>
      </c>
      <c r="M818" s="5" t="s">
        <v>37</v>
      </c>
      <c r="N818" s="5" t="s">
        <v>37</v>
      </c>
      <c r="O818" s="5" t="s">
        <v>38</v>
      </c>
      <c r="P818" s="5" t="s">
        <v>39</v>
      </c>
      <c r="Q818" s="2">
        <v>45965</v>
      </c>
      <c r="V818" s="46">
        <f>IF(
  OR(
    ISNUMBER(SEARCH("unable to locate acct", tblDocketedComments[[#This Row],[Docketed Consumer Comments]])),
    ISNUMBER(SEARCH("unknown", tblDocketedComments[[#This Row],[Docketed Consumer Comments]])),
    ISNUMBER(SEARCH("inactive", tblDocketedComments[[#This Row],[Docketed Consumer Comments]]))
  ),
  0,
  1
)</f>
        <v>1</v>
      </c>
    </row>
    <row r="819" spans="1:22">
      <c r="A819" s="2">
        <v>45906</v>
      </c>
      <c r="B819" s="1" t="s">
        <v>2371</v>
      </c>
      <c r="C819" s="1" t="s">
        <v>503</v>
      </c>
      <c r="D819" s="1" t="s">
        <v>125</v>
      </c>
      <c r="E819" s="1">
        <v>85260</v>
      </c>
      <c r="F819" s="1" t="s">
        <v>310</v>
      </c>
      <c r="G819" s="1" t="s">
        <v>2364</v>
      </c>
      <c r="H819" s="4" t="s">
        <v>2372</v>
      </c>
      <c r="I819" s="5" t="s">
        <v>36</v>
      </c>
      <c r="J819" s="5" t="s">
        <v>37</v>
      </c>
      <c r="K819" s="5" t="s">
        <v>37</v>
      </c>
      <c r="L819" s="5" t="s">
        <v>38</v>
      </c>
      <c r="M819" s="5" t="s">
        <v>37</v>
      </c>
      <c r="N819" s="5" t="s">
        <v>37</v>
      </c>
      <c r="O819" s="5" t="s">
        <v>38</v>
      </c>
      <c r="P819" s="5" t="s">
        <v>39</v>
      </c>
      <c r="Q819" s="2">
        <v>45965</v>
      </c>
      <c r="V819" s="46">
        <f>IF(
  OR(
    ISNUMBER(SEARCH("unable to locate acct", tblDocketedComments[[#This Row],[Docketed Consumer Comments]])),
    ISNUMBER(SEARCH("unknown", tblDocketedComments[[#This Row],[Docketed Consumer Comments]])),
    ISNUMBER(SEARCH("inactive", tblDocketedComments[[#This Row],[Docketed Consumer Comments]]))
  ),
  0,
  1
)</f>
        <v>1</v>
      </c>
    </row>
    <row r="820" spans="1:22">
      <c r="A820" s="2">
        <v>45906</v>
      </c>
      <c r="B820" s="1" t="s">
        <v>2373</v>
      </c>
      <c r="C820" s="1" t="s">
        <v>2339</v>
      </c>
      <c r="D820" s="1" t="s">
        <v>63</v>
      </c>
      <c r="E820" s="1">
        <v>85016</v>
      </c>
      <c r="F820" s="1" t="s">
        <v>2374</v>
      </c>
      <c r="G820" s="1" t="s">
        <v>2364</v>
      </c>
      <c r="H820" s="4" t="s">
        <v>2375</v>
      </c>
      <c r="I820" s="5" t="s">
        <v>126</v>
      </c>
      <c r="J820" s="5" t="s">
        <v>37</v>
      </c>
      <c r="K820" s="5" t="s">
        <v>37</v>
      </c>
      <c r="L820" s="5" t="s">
        <v>38</v>
      </c>
      <c r="M820" s="5" t="s">
        <v>37</v>
      </c>
      <c r="N820" s="5" t="s">
        <v>37</v>
      </c>
      <c r="O820" s="5" t="s">
        <v>38</v>
      </c>
      <c r="P820" s="5" t="s">
        <v>39</v>
      </c>
      <c r="Q820" s="2">
        <v>45965</v>
      </c>
      <c r="V820" s="46">
        <f>IF(
  OR(
    ISNUMBER(SEARCH("unable to locate acct", tblDocketedComments[[#This Row],[Docketed Consumer Comments]])),
    ISNUMBER(SEARCH("unknown", tblDocketedComments[[#This Row],[Docketed Consumer Comments]])),
    ISNUMBER(SEARCH("inactive", tblDocketedComments[[#This Row],[Docketed Consumer Comments]]))
  ),
  0,
  1
)</f>
        <v>1</v>
      </c>
    </row>
    <row r="821" spans="1:22">
      <c r="A821" s="2">
        <v>45906</v>
      </c>
      <c r="B821" s="1" t="s">
        <v>2376</v>
      </c>
      <c r="C821" s="1" t="s">
        <v>2377</v>
      </c>
      <c r="D821" s="1" t="s">
        <v>880</v>
      </c>
      <c r="E821" s="1">
        <v>85086</v>
      </c>
      <c r="F821" s="1" t="s">
        <v>2378</v>
      </c>
      <c r="G821" s="1" t="s">
        <v>2364</v>
      </c>
      <c r="H821" s="4" t="s">
        <v>27</v>
      </c>
      <c r="V821" s="46">
        <f>IF(
  OR(
    ISNUMBER(SEARCH("unable to locate acct", tblDocketedComments[[#This Row],[Docketed Consumer Comments]])),
    ISNUMBER(SEARCH("unknown", tblDocketedComments[[#This Row],[Docketed Consumer Comments]])),
    ISNUMBER(SEARCH("inactive", tblDocketedComments[[#This Row],[Docketed Consumer Comments]]))
  ),
  0,
  1
)</f>
        <v>1</v>
      </c>
    </row>
    <row r="822" spans="1:22">
      <c r="A822" s="2">
        <v>45906</v>
      </c>
      <c r="B822" s="1" t="s">
        <v>2379</v>
      </c>
      <c r="C822" s="1" t="s">
        <v>2380</v>
      </c>
      <c r="D822" s="1" t="s">
        <v>63</v>
      </c>
      <c r="E822" s="1">
        <v>37204</v>
      </c>
      <c r="F822" s="1" t="s">
        <v>2381</v>
      </c>
      <c r="G822" s="1" t="s">
        <v>2364</v>
      </c>
      <c r="H822" s="4" t="s">
        <v>2382</v>
      </c>
      <c r="I822" s="5" t="s">
        <v>541</v>
      </c>
      <c r="J822" s="5" t="s">
        <v>37</v>
      </c>
      <c r="K822" s="5" t="s">
        <v>37</v>
      </c>
      <c r="L822" s="5" t="s">
        <v>389</v>
      </c>
      <c r="M822" s="5" t="s">
        <v>37</v>
      </c>
      <c r="N822" s="5" t="s">
        <v>37</v>
      </c>
      <c r="O822" s="5" t="s">
        <v>38</v>
      </c>
      <c r="P822" s="5" t="s">
        <v>39</v>
      </c>
      <c r="Q822" s="2">
        <v>45965</v>
      </c>
      <c r="U822" s="1" t="s">
        <v>724</v>
      </c>
      <c r="V822" s="46">
        <f>IF(
  OR(
    ISNUMBER(SEARCH("unable to locate acct", tblDocketedComments[[#This Row],[Docketed Consumer Comments]])),
    ISNUMBER(SEARCH("unknown", tblDocketedComments[[#This Row],[Docketed Consumer Comments]])),
    ISNUMBER(SEARCH("inactive", tblDocketedComments[[#This Row],[Docketed Consumer Comments]]))
  ),
  0,
  1
)</f>
        <v>1</v>
      </c>
    </row>
    <row r="823" spans="1:22">
      <c r="A823" s="2">
        <v>45906</v>
      </c>
      <c r="B823" s="1" t="s">
        <v>2383</v>
      </c>
      <c r="C823" s="1" t="s">
        <v>246</v>
      </c>
      <c r="D823" s="1" t="s">
        <v>264</v>
      </c>
      <c r="E823" s="1">
        <v>85541</v>
      </c>
      <c r="F823" s="1" t="s">
        <v>2384</v>
      </c>
      <c r="G823" s="1" t="s">
        <v>2364</v>
      </c>
      <c r="H823" s="4" t="s">
        <v>2385</v>
      </c>
      <c r="I823" s="5" t="s">
        <v>36</v>
      </c>
      <c r="J823" s="5" t="s">
        <v>37</v>
      </c>
      <c r="K823" s="5" t="s">
        <v>37</v>
      </c>
      <c r="L823" s="5" t="s">
        <v>38</v>
      </c>
      <c r="M823" s="5" t="s">
        <v>37</v>
      </c>
      <c r="N823" s="5" t="s">
        <v>37</v>
      </c>
      <c r="O823" s="5" t="s">
        <v>38</v>
      </c>
      <c r="P823" s="5" t="s">
        <v>39</v>
      </c>
      <c r="Q823" s="2">
        <v>45965</v>
      </c>
      <c r="V823" s="46">
        <f>IF(
  OR(
    ISNUMBER(SEARCH("unable to locate acct", tblDocketedComments[[#This Row],[Docketed Consumer Comments]])),
    ISNUMBER(SEARCH("unknown", tblDocketedComments[[#This Row],[Docketed Consumer Comments]])),
    ISNUMBER(SEARCH("inactive", tblDocketedComments[[#This Row],[Docketed Consumer Comments]]))
  ),
  0,
  1
)</f>
        <v>1</v>
      </c>
    </row>
    <row r="824" spans="1:22">
      <c r="A824" s="2">
        <v>45906</v>
      </c>
      <c r="B824" s="1" t="s">
        <v>2386</v>
      </c>
      <c r="C824" s="1" t="s">
        <v>697</v>
      </c>
      <c r="D824" s="1" t="s">
        <v>1693</v>
      </c>
      <c r="E824" s="1">
        <v>85373</v>
      </c>
      <c r="F824" s="1" t="s">
        <v>2387</v>
      </c>
      <c r="G824" s="1" t="s">
        <v>2364</v>
      </c>
      <c r="H824" s="4" t="s">
        <v>2388</v>
      </c>
      <c r="I824" s="5" t="s">
        <v>46</v>
      </c>
      <c r="J824" s="5" t="s">
        <v>37</v>
      </c>
      <c r="K824" s="5" t="s">
        <v>37</v>
      </c>
      <c r="L824" s="5" t="s">
        <v>38</v>
      </c>
      <c r="M824" s="5" t="s">
        <v>37</v>
      </c>
      <c r="N824" s="5" t="s">
        <v>37</v>
      </c>
      <c r="O824" s="5" t="s">
        <v>38</v>
      </c>
      <c r="P824" s="5" t="s">
        <v>39</v>
      </c>
      <c r="Q824" s="2">
        <v>45965</v>
      </c>
      <c r="V824" s="46">
        <f>IF(
  OR(
    ISNUMBER(SEARCH("unable to locate acct", tblDocketedComments[[#This Row],[Docketed Consumer Comments]])),
    ISNUMBER(SEARCH("unknown", tblDocketedComments[[#This Row],[Docketed Consumer Comments]])),
    ISNUMBER(SEARCH("inactive", tblDocketedComments[[#This Row],[Docketed Consumer Comments]]))
  ),
  0,
  1
)</f>
        <v>1</v>
      </c>
    </row>
    <row r="825" spans="1:22">
      <c r="A825" s="2">
        <v>45906</v>
      </c>
      <c r="B825" s="1" t="s">
        <v>2389</v>
      </c>
      <c r="C825" s="1" t="s">
        <v>2390</v>
      </c>
      <c r="D825" s="1" t="s">
        <v>63</v>
      </c>
      <c r="E825" s="1">
        <v>85023</v>
      </c>
      <c r="F825" s="1" t="s">
        <v>310</v>
      </c>
      <c r="G825" s="1" t="s">
        <v>2364</v>
      </c>
      <c r="H825" s="4" t="s">
        <v>27</v>
      </c>
      <c r="V825" s="46">
        <f>IF(
  OR(
    ISNUMBER(SEARCH("unable to locate acct", tblDocketedComments[[#This Row],[Docketed Consumer Comments]])),
    ISNUMBER(SEARCH("unknown", tblDocketedComments[[#This Row],[Docketed Consumer Comments]])),
    ISNUMBER(SEARCH("inactive", tblDocketedComments[[#This Row],[Docketed Consumer Comments]]))
  ),
  0,
  1
)</f>
        <v>1</v>
      </c>
    </row>
    <row r="826" spans="1:22">
      <c r="A826" s="2">
        <v>45906</v>
      </c>
      <c r="B826" s="1" t="s">
        <v>2391</v>
      </c>
      <c r="C826" s="1" t="s">
        <v>2392</v>
      </c>
      <c r="D826" s="1" t="s">
        <v>63</v>
      </c>
      <c r="E826" s="1">
        <v>85029</v>
      </c>
      <c r="F826" s="1" t="s">
        <v>305</v>
      </c>
      <c r="G826" s="1" t="s">
        <v>2364</v>
      </c>
      <c r="H826" s="4" t="s">
        <v>2393</v>
      </c>
      <c r="I826" s="5" t="s">
        <v>126</v>
      </c>
      <c r="J826" s="5" t="s">
        <v>37</v>
      </c>
      <c r="K826" s="5" t="s">
        <v>37</v>
      </c>
      <c r="L826" s="5" t="s">
        <v>38</v>
      </c>
      <c r="M826" s="5" t="s">
        <v>37</v>
      </c>
      <c r="N826" s="5" t="s">
        <v>37</v>
      </c>
      <c r="O826" s="5" t="s">
        <v>38</v>
      </c>
      <c r="P826" s="5" t="s">
        <v>39</v>
      </c>
      <c r="Q826" s="2">
        <v>45965</v>
      </c>
      <c r="V826" s="46">
        <f>IF(
  OR(
    ISNUMBER(SEARCH("unable to locate acct", tblDocketedComments[[#This Row],[Docketed Consumer Comments]])),
    ISNUMBER(SEARCH("unknown", tblDocketedComments[[#This Row],[Docketed Consumer Comments]])),
    ISNUMBER(SEARCH("inactive", tblDocketedComments[[#This Row],[Docketed Consumer Comments]]))
  ),
  0,
  1
)</f>
        <v>1</v>
      </c>
    </row>
    <row r="827" spans="1:22">
      <c r="A827" s="2">
        <v>45906</v>
      </c>
      <c r="B827" s="1" t="s">
        <v>2394</v>
      </c>
      <c r="C827" s="1" t="s">
        <v>2395</v>
      </c>
      <c r="D827" s="1" t="s">
        <v>125</v>
      </c>
      <c r="E827" s="1">
        <v>85260</v>
      </c>
      <c r="F827" s="1" t="s">
        <v>31</v>
      </c>
      <c r="G827" s="1" t="s">
        <v>2364</v>
      </c>
      <c r="H827" s="4" t="s">
        <v>2396</v>
      </c>
      <c r="I827" s="5" t="s">
        <v>196</v>
      </c>
      <c r="J827" s="5" t="s">
        <v>37</v>
      </c>
      <c r="K827" s="5" t="s">
        <v>37</v>
      </c>
      <c r="L827" s="7" t="s">
        <v>2397</v>
      </c>
      <c r="M827" s="5" t="s">
        <v>37</v>
      </c>
      <c r="N827" s="5" t="s">
        <v>37</v>
      </c>
      <c r="O827" s="5" t="s">
        <v>38</v>
      </c>
      <c r="P827" s="2">
        <v>45964</v>
      </c>
      <c r="Q827" s="2">
        <v>45965</v>
      </c>
      <c r="R827" s="1" t="s">
        <v>2398</v>
      </c>
      <c r="V827" s="46">
        <f>IF(
  OR(
    ISNUMBER(SEARCH("unable to locate acct", tblDocketedComments[[#This Row],[Docketed Consumer Comments]])),
    ISNUMBER(SEARCH("unknown", tblDocketedComments[[#This Row],[Docketed Consumer Comments]])),
    ISNUMBER(SEARCH("inactive", tblDocketedComments[[#This Row],[Docketed Consumer Comments]]))
  ),
  0,
  1
)</f>
        <v>1</v>
      </c>
    </row>
    <row r="828" spans="1:22">
      <c r="A828" s="2">
        <v>45906</v>
      </c>
      <c r="B828" s="1" t="s">
        <v>2399</v>
      </c>
      <c r="C828" s="1" t="s">
        <v>2400</v>
      </c>
      <c r="D828" s="1" t="s">
        <v>169</v>
      </c>
      <c r="E828" s="1">
        <v>85338</v>
      </c>
      <c r="F828" s="1" t="s">
        <v>310</v>
      </c>
      <c r="G828" s="1" t="s">
        <v>2364</v>
      </c>
      <c r="H828" s="4" t="s">
        <v>27</v>
      </c>
      <c r="V828" s="46">
        <f>IF(
  OR(
    ISNUMBER(SEARCH("unable to locate acct", tblDocketedComments[[#This Row],[Docketed Consumer Comments]])),
    ISNUMBER(SEARCH("unknown", tblDocketedComments[[#This Row],[Docketed Consumer Comments]])),
    ISNUMBER(SEARCH("inactive", tblDocketedComments[[#This Row],[Docketed Consumer Comments]]))
  ),
  0,
  1
)</f>
        <v>1</v>
      </c>
    </row>
    <row r="829" spans="1:22">
      <c r="A829" s="2">
        <v>45906</v>
      </c>
      <c r="B829" s="1" t="s">
        <v>2401</v>
      </c>
      <c r="C829" s="1" t="s">
        <v>333</v>
      </c>
      <c r="D829" s="1" t="s">
        <v>63</v>
      </c>
      <c r="E829" s="1">
        <v>85012</v>
      </c>
      <c r="F829" s="1" t="s">
        <v>310</v>
      </c>
      <c r="G829" s="1" t="s">
        <v>2364</v>
      </c>
      <c r="H829" s="4" t="s">
        <v>2402</v>
      </c>
      <c r="I829" s="5" t="s">
        <v>73</v>
      </c>
      <c r="J829" s="5" t="s">
        <v>37</v>
      </c>
      <c r="K829" s="5" t="s">
        <v>37</v>
      </c>
      <c r="L829" s="5" t="s">
        <v>38</v>
      </c>
      <c r="M829" s="5" t="s">
        <v>37</v>
      </c>
      <c r="N829" s="5" t="s">
        <v>37</v>
      </c>
      <c r="O829" s="5" t="s">
        <v>38</v>
      </c>
      <c r="P829" s="5" t="s">
        <v>39</v>
      </c>
      <c r="Q829" s="2">
        <v>45965</v>
      </c>
      <c r="V829" s="46">
        <f>IF(
  OR(
    ISNUMBER(SEARCH("unable to locate acct", tblDocketedComments[[#This Row],[Docketed Consumer Comments]])),
    ISNUMBER(SEARCH("unknown", tblDocketedComments[[#This Row],[Docketed Consumer Comments]])),
    ISNUMBER(SEARCH("inactive", tblDocketedComments[[#This Row],[Docketed Consumer Comments]]))
  ),
  0,
  1
)</f>
        <v>1</v>
      </c>
    </row>
    <row r="830" spans="1:22">
      <c r="A830" s="2">
        <v>45906</v>
      </c>
      <c r="B830" s="1" t="s">
        <v>2403</v>
      </c>
      <c r="C830" s="1" t="s">
        <v>2404</v>
      </c>
      <c r="D830" s="1" t="s">
        <v>125</v>
      </c>
      <c r="E830" s="1">
        <v>85251</v>
      </c>
      <c r="F830" s="1" t="s">
        <v>2405</v>
      </c>
      <c r="G830" s="27" t="s">
        <v>2364</v>
      </c>
      <c r="H830" s="4" t="s">
        <v>2406</v>
      </c>
      <c r="I830" s="5" t="s">
        <v>36</v>
      </c>
      <c r="J830" s="5" t="s">
        <v>37</v>
      </c>
      <c r="K830" s="5" t="s">
        <v>37</v>
      </c>
      <c r="L830" s="5" t="s">
        <v>38</v>
      </c>
      <c r="M830" s="5" t="s">
        <v>37</v>
      </c>
      <c r="N830" s="5" t="s">
        <v>37</v>
      </c>
      <c r="O830" s="5" t="s">
        <v>38</v>
      </c>
      <c r="P830" s="5" t="s">
        <v>39</v>
      </c>
      <c r="Q830" s="2">
        <v>45965</v>
      </c>
      <c r="V830" s="46">
        <f>IF(
  OR(
    ISNUMBER(SEARCH("unable to locate acct", tblDocketedComments[[#This Row],[Docketed Consumer Comments]])),
    ISNUMBER(SEARCH("unknown", tblDocketedComments[[#This Row],[Docketed Consumer Comments]])),
    ISNUMBER(SEARCH("inactive", tblDocketedComments[[#This Row],[Docketed Consumer Comments]]))
  ),
  0,
  1
)</f>
        <v>1</v>
      </c>
    </row>
    <row r="831" spans="1:22">
      <c r="A831" s="2">
        <v>45906</v>
      </c>
      <c r="B831" s="1" t="s">
        <v>1177</v>
      </c>
      <c r="C831" s="1" t="s">
        <v>464</v>
      </c>
      <c r="D831" s="1" t="s">
        <v>63</v>
      </c>
      <c r="E831" s="1">
        <v>85022</v>
      </c>
      <c r="F831" s="1" t="s">
        <v>2407</v>
      </c>
      <c r="G831" s="1" t="s">
        <v>2364</v>
      </c>
      <c r="H831" s="4" t="s">
        <v>27</v>
      </c>
      <c r="V831" s="46">
        <f>IF(
  OR(
    ISNUMBER(SEARCH("unable to locate acct", tblDocketedComments[[#This Row],[Docketed Consumer Comments]])),
    ISNUMBER(SEARCH("unknown", tblDocketedComments[[#This Row],[Docketed Consumer Comments]])),
    ISNUMBER(SEARCH("inactive", tblDocketedComments[[#This Row],[Docketed Consumer Comments]]))
  ),
  0,
  1
)</f>
        <v>1</v>
      </c>
    </row>
    <row r="832" spans="1:22">
      <c r="A832" s="2">
        <v>45906</v>
      </c>
      <c r="B832" s="1" t="s">
        <v>2408</v>
      </c>
      <c r="C832" s="1" t="s">
        <v>355</v>
      </c>
      <c r="D832" s="1" t="s">
        <v>24</v>
      </c>
      <c r="E832" s="1">
        <v>85310</v>
      </c>
      <c r="F832" s="1" t="s">
        <v>2409</v>
      </c>
      <c r="G832" s="1" t="s">
        <v>2364</v>
      </c>
      <c r="H832" s="4" t="s">
        <v>2410</v>
      </c>
      <c r="I832" s="5" t="s">
        <v>126</v>
      </c>
      <c r="J832" s="5" t="s">
        <v>37</v>
      </c>
      <c r="K832" s="5" t="s">
        <v>37</v>
      </c>
      <c r="L832" s="5" t="s">
        <v>38</v>
      </c>
      <c r="M832" s="5" t="s">
        <v>37</v>
      </c>
      <c r="N832" s="5" t="s">
        <v>37</v>
      </c>
      <c r="O832" s="5" t="s">
        <v>38</v>
      </c>
      <c r="P832" s="5" t="s">
        <v>39</v>
      </c>
      <c r="Q832" s="2">
        <v>45965</v>
      </c>
      <c r="V832" s="46">
        <f>IF(
  OR(
    ISNUMBER(SEARCH("unable to locate acct", tblDocketedComments[[#This Row],[Docketed Consumer Comments]])),
    ISNUMBER(SEARCH("unknown", tblDocketedComments[[#This Row],[Docketed Consumer Comments]])),
    ISNUMBER(SEARCH("inactive", tblDocketedComments[[#This Row],[Docketed Consumer Comments]]))
  ),
  0,
  1
)</f>
        <v>1</v>
      </c>
    </row>
    <row r="833" spans="1:22">
      <c r="A833" s="2">
        <v>45906</v>
      </c>
      <c r="B833" s="1" t="s">
        <v>2411</v>
      </c>
      <c r="C833" s="1" t="s">
        <v>2412</v>
      </c>
      <c r="D833" s="1" t="s">
        <v>63</v>
      </c>
      <c r="E833" s="1">
        <v>85027</v>
      </c>
      <c r="F833" s="1" t="s">
        <v>310</v>
      </c>
      <c r="G833" s="1" t="s">
        <v>2364</v>
      </c>
      <c r="H833" s="4" t="s">
        <v>27</v>
      </c>
      <c r="V833" s="46">
        <f>IF(
  OR(
    ISNUMBER(SEARCH("unable to locate acct", tblDocketedComments[[#This Row],[Docketed Consumer Comments]])),
    ISNUMBER(SEARCH("unknown", tblDocketedComments[[#This Row],[Docketed Consumer Comments]])),
    ISNUMBER(SEARCH("inactive", tblDocketedComments[[#This Row],[Docketed Consumer Comments]]))
  ),
  0,
  1
)</f>
        <v>1</v>
      </c>
    </row>
    <row r="834" spans="1:22">
      <c r="A834" s="2">
        <v>45906</v>
      </c>
      <c r="B834" s="1" t="s">
        <v>2413</v>
      </c>
      <c r="C834" s="1" t="s">
        <v>427</v>
      </c>
      <c r="D834" s="1" t="s">
        <v>24</v>
      </c>
      <c r="E834" s="1">
        <v>85308</v>
      </c>
      <c r="F834" s="1" t="s">
        <v>2414</v>
      </c>
      <c r="G834" s="1" t="s">
        <v>2364</v>
      </c>
      <c r="H834" s="4" t="s">
        <v>2415</v>
      </c>
      <c r="I834" s="5" t="s">
        <v>36</v>
      </c>
      <c r="J834" s="5" t="s">
        <v>37</v>
      </c>
      <c r="K834" s="5" t="s">
        <v>37</v>
      </c>
      <c r="L834" s="5" t="s">
        <v>38</v>
      </c>
      <c r="M834" s="5" t="s">
        <v>37</v>
      </c>
      <c r="N834" s="5" t="s">
        <v>37</v>
      </c>
      <c r="O834" s="5" t="s">
        <v>38</v>
      </c>
      <c r="P834" s="5" t="s">
        <v>39</v>
      </c>
      <c r="Q834" s="2">
        <v>45965</v>
      </c>
      <c r="V834" s="46">
        <f>IF(
  OR(
    ISNUMBER(SEARCH("unable to locate acct", tblDocketedComments[[#This Row],[Docketed Consumer Comments]])),
    ISNUMBER(SEARCH("unknown", tblDocketedComments[[#This Row],[Docketed Consumer Comments]])),
    ISNUMBER(SEARCH("inactive", tblDocketedComments[[#This Row],[Docketed Consumer Comments]]))
  ),
  0,
  1
)</f>
        <v>1</v>
      </c>
    </row>
    <row r="835" spans="1:22">
      <c r="A835" s="2">
        <v>45906</v>
      </c>
      <c r="B835" s="1" t="s">
        <v>2416</v>
      </c>
      <c r="C835" s="1" t="s">
        <v>717</v>
      </c>
      <c r="D835" s="1" t="s">
        <v>30</v>
      </c>
      <c r="E835" s="1" t="s">
        <v>30</v>
      </c>
      <c r="F835" s="1" t="s">
        <v>2417</v>
      </c>
      <c r="G835" s="1" t="s">
        <v>2364</v>
      </c>
      <c r="H835" s="4" t="s">
        <v>2418</v>
      </c>
      <c r="I835" s="5" t="s">
        <v>126</v>
      </c>
      <c r="J835" s="5" t="s">
        <v>37</v>
      </c>
      <c r="K835" s="5" t="s">
        <v>37</v>
      </c>
      <c r="L835" s="5" t="s">
        <v>2419</v>
      </c>
      <c r="M835" s="5" t="s">
        <v>37</v>
      </c>
      <c r="N835" s="5" t="s">
        <v>37</v>
      </c>
      <c r="O835" s="5" t="s">
        <v>38</v>
      </c>
      <c r="P835" s="5" t="s">
        <v>39</v>
      </c>
      <c r="Q835" s="2">
        <v>45965</v>
      </c>
      <c r="V835" s="46">
        <f>IF(
  OR(
    ISNUMBER(SEARCH("unable to locate acct", tblDocketedComments[[#This Row],[Docketed Consumer Comments]])),
    ISNUMBER(SEARCH("unknown", tblDocketedComments[[#This Row],[Docketed Consumer Comments]])),
    ISNUMBER(SEARCH("inactive", tblDocketedComments[[#This Row],[Docketed Consumer Comments]]))
  ),
  0,
  1
)</f>
        <v>1</v>
      </c>
    </row>
    <row r="836" spans="1:22">
      <c r="A836" s="2">
        <v>45906</v>
      </c>
      <c r="B836" s="1" t="s">
        <v>2420</v>
      </c>
      <c r="C836" s="1" t="s">
        <v>611</v>
      </c>
      <c r="D836" s="1" t="s">
        <v>129</v>
      </c>
      <c r="E836" s="1">
        <v>85233</v>
      </c>
      <c r="F836" s="1" t="s">
        <v>310</v>
      </c>
      <c r="G836" s="1" t="s">
        <v>2364</v>
      </c>
      <c r="H836" s="4" t="s">
        <v>2421</v>
      </c>
      <c r="I836" s="5" t="s">
        <v>243</v>
      </c>
      <c r="J836" s="5" t="s">
        <v>37</v>
      </c>
      <c r="K836" s="5" t="s">
        <v>37</v>
      </c>
      <c r="L836" s="5" t="s">
        <v>389</v>
      </c>
      <c r="M836" s="5" t="s">
        <v>37</v>
      </c>
      <c r="N836" s="5" t="s">
        <v>37</v>
      </c>
      <c r="O836" s="5" t="s">
        <v>38</v>
      </c>
      <c r="P836" s="5" t="s">
        <v>39</v>
      </c>
      <c r="Q836" s="2">
        <v>45965</v>
      </c>
      <c r="V836" s="46">
        <f>IF(
  OR(
    ISNUMBER(SEARCH("unable to locate acct", tblDocketedComments[[#This Row],[Docketed Consumer Comments]])),
    ISNUMBER(SEARCH("unknown", tblDocketedComments[[#This Row],[Docketed Consumer Comments]])),
    ISNUMBER(SEARCH("inactive", tblDocketedComments[[#This Row],[Docketed Consumer Comments]]))
  ),
  0,
  1
)</f>
        <v>1</v>
      </c>
    </row>
    <row r="837" spans="1:22">
      <c r="A837" s="2">
        <v>45906</v>
      </c>
      <c r="B837" s="1" t="s">
        <v>49</v>
      </c>
      <c r="C837" s="1" t="s">
        <v>2422</v>
      </c>
      <c r="D837" s="1" t="s">
        <v>24</v>
      </c>
      <c r="E837" s="1">
        <v>85306</v>
      </c>
      <c r="F837" s="1" t="s">
        <v>310</v>
      </c>
      <c r="G837" s="1" t="s">
        <v>2364</v>
      </c>
      <c r="H837" s="19" t="s">
        <v>2423</v>
      </c>
      <c r="I837" s="5" t="s">
        <v>36</v>
      </c>
      <c r="J837" s="5" t="s">
        <v>37</v>
      </c>
      <c r="K837" s="5" t="s">
        <v>37</v>
      </c>
      <c r="L837" s="5" t="s">
        <v>38</v>
      </c>
      <c r="M837" s="5" t="s">
        <v>37</v>
      </c>
      <c r="N837" s="5" t="s">
        <v>37</v>
      </c>
      <c r="O837" s="5" t="s">
        <v>38</v>
      </c>
      <c r="P837" s="5" t="s">
        <v>39</v>
      </c>
      <c r="Q837" s="2">
        <v>45965</v>
      </c>
      <c r="V837" s="46">
        <f>IF(
  OR(
    ISNUMBER(SEARCH("unable to locate acct", tblDocketedComments[[#This Row],[Docketed Consumer Comments]])),
    ISNUMBER(SEARCH("unknown", tblDocketedComments[[#This Row],[Docketed Consumer Comments]])),
    ISNUMBER(SEARCH("inactive", tblDocketedComments[[#This Row],[Docketed Consumer Comments]]))
  ),
  0,
  1
)</f>
        <v>1</v>
      </c>
    </row>
    <row r="838" spans="1:22">
      <c r="A838" s="2">
        <v>45906</v>
      </c>
      <c r="B838" s="1" t="s">
        <v>2178</v>
      </c>
      <c r="C838" s="1" t="s">
        <v>2097</v>
      </c>
      <c r="D838" s="1" t="s">
        <v>63</v>
      </c>
      <c r="E838" s="1">
        <v>85028</v>
      </c>
      <c r="F838" s="1" t="s">
        <v>310</v>
      </c>
      <c r="G838" s="1" t="s">
        <v>2364</v>
      </c>
      <c r="H838" s="19" t="s">
        <v>2424</v>
      </c>
      <c r="I838" s="5" t="s">
        <v>541</v>
      </c>
      <c r="J838" s="5" t="s">
        <v>37</v>
      </c>
      <c r="K838" s="5" t="s">
        <v>37</v>
      </c>
      <c r="L838" s="5" t="s">
        <v>389</v>
      </c>
      <c r="M838" s="5" t="s">
        <v>37</v>
      </c>
      <c r="N838" s="5" t="s">
        <v>37</v>
      </c>
      <c r="O838" s="5" t="s">
        <v>38</v>
      </c>
      <c r="P838" s="5" t="s">
        <v>39</v>
      </c>
      <c r="Q838" s="2">
        <v>45965</v>
      </c>
      <c r="V838" s="46">
        <f>IF(
  OR(
    ISNUMBER(SEARCH("unable to locate acct", tblDocketedComments[[#This Row],[Docketed Consumer Comments]])),
    ISNUMBER(SEARCH("unknown", tblDocketedComments[[#This Row],[Docketed Consumer Comments]])),
    ISNUMBER(SEARCH("inactive", tblDocketedComments[[#This Row],[Docketed Consumer Comments]]))
  ),
  0,
  1
)</f>
        <v>1</v>
      </c>
    </row>
    <row r="839" spans="1:22">
      <c r="A839" s="2">
        <v>45906</v>
      </c>
      <c r="B839" s="1" t="s">
        <v>2425</v>
      </c>
      <c r="C839" s="1" t="s">
        <v>2426</v>
      </c>
      <c r="D839" s="1" t="s">
        <v>63</v>
      </c>
      <c r="E839" s="1">
        <v>85085</v>
      </c>
      <c r="F839" s="1" t="s">
        <v>310</v>
      </c>
      <c r="G839" s="1" t="s">
        <v>2364</v>
      </c>
      <c r="H839" s="4" t="s">
        <v>2427</v>
      </c>
      <c r="I839" s="5" t="s">
        <v>73</v>
      </c>
      <c r="J839" s="5" t="s">
        <v>37</v>
      </c>
      <c r="K839" s="5" t="s">
        <v>37</v>
      </c>
      <c r="L839" s="5" t="s">
        <v>38</v>
      </c>
      <c r="M839" s="5" t="s">
        <v>37</v>
      </c>
      <c r="N839" s="5" t="s">
        <v>37</v>
      </c>
      <c r="O839" s="5" t="s">
        <v>38</v>
      </c>
      <c r="P839" s="5" t="s">
        <v>39</v>
      </c>
      <c r="Q839" s="2">
        <v>45965</v>
      </c>
      <c r="V839" s="46">
        <f>IF(
  OR(
    ISNUMBER(SEARCH("unable to locate acct", tblDocketedComments[[#This Row],[Docketed Consumer Comments]])),
    ISNUMBER(SEARCH("unknown", tblDocketedComments[[#This Row],[Docketed Consumer Comments]])),
    ISNUMBER(SEARCH("inactive", tblDocketedComments[[#This Row],[Docketed Consumer Comments]]))
  ),
  0,
  1
)</f>
        <v>1</v>
      </c>
    </row>
    <row r="840" spans="1:22">
      <c r="A840" s="2">
        <v>45906</v>
      </c>
      <c r="B840" s="1" t="s">
        <v>2428</v>
      </c>
      <c r="C840" s="1" t="s">
        <v>875</v>
      </c>
      <c r="D840" s="1" t="s">
        <v>2429</v>
      </c>
      <c r="E840" s="1">
        <v>85132</v>
      </c>
      <c r="F840" s="1" t="s">
        <v>2430</v>
      </c>
      <c r="G840" s="1" t="s">
        <v>2364</v>
      </c>
      <c r="H840" s="4" t="s">
        <v>2431</v>
      </c>
      <c r="I840" s="5" t="s">
        <v>46</v>
      </c>
      <c r="J840" s="5" t="s">
        <v>37</v>
      </c>
      <c r="K840" s="5" t="s">
        <v>37</v>
      </c>
      <c r="L840" s="5" t="s">
        <v>38</v>
      </c>
      <c r="M840" s="5" t="s">
        <v>37</v>
      </c>
      <c r="N840" s="5" t="s">
        <v>37</v>
      </c>
      <c r="O840" s="5" t="s">
        <v>38</v>
      </c>
      <c r="P840" s="5" t="s">
        <v>39</v>
      </c>
      <c r="Q840" s="2">
        <v>45965</v>
      </c>
      <c r="V840" s="46">
        <f>IF(
  OR(
    ISNUMBER(SEARCH("unable to locate acct", tblDocketedComments[[#This Row],[Docketed Consumer Comments]])),
    ISNUMBER(SEARCH("unknown", tblDocketedComments[[#This Row],[Docketed Consumer Comments]])),
    ISNUMBER(SEARCH("inactive", tblDocketedComments[[#This Row],[Docketed Consumer Comments]]))
  ),
  0,
  1
)</f>
        <v>1</v>
      </c>
    </row>
    <row r="841" spans="1:22">
      <c r="A841" s="2">
        <v>45906</v>
      </c>
      <c r="B841" s="1" t="s">
        <v>2432</v>
      </c>
      <c r="C841" s="1" t="s">
        <v>481</v>
      </c>
      <c r="D841" s="1" t="s">
        <v>24</v>
      </c>
      <c r="E841" s="1">
        <v>85308</v>
      </c>
      <c r="F841" s="1" t="s">
        <v>31</v>
      </c>
      <c r="G841" s="1" t="s">
        <v>2364</v>
      </c>
      <c r="H841" s="4" t="s">
        <v>2433</v>
      </c>
      <c r="I841" s="5" t="s">
        <v>36</v>
      </c>
      <c r="J841" s="5" t="s">
        <v>37</v>
      </c>
      <c r="K841" s="5" t="s">
        <v>37</v>
      </c>
      <c r="L841" s="5" t="s">
        <v>38</v>
      </c>
      <c r="M841" s="5" t="s">
        <v>37</v>
      </c>
      <c r="N841" s="5" t="s">
        <v>37</v>
      </c>
      <c r="O841" s="5" t="s">
        <v>38</v>
      </c>
      <c r="P841" s="5" t="s">
        <v>39</v>
      </c>
      <c r="Q841" s="2">
        <v>45965</v>
      </c>
      <c r="V841" s="46">
        <f>IF(
  OR(
    ISNUMBER(SEARCH("unable to locate acct", tblDocketedComments[[#This Row],[Docketed Consumer Comments]])),
    ISNUMBER(SEARCH("unknown", tblDocketedComments[[#This Row],[Docketed Consumer Comments]])),
    ISNUMBER(SEARCH("inactive", tblDocketedComments[[#This Row],[Docketed Consumer Comments]]))
  ),
  0,
  1
)</f>
        <v>1</v>
      </c>
    </row>
    <row r="842" spans="1:22">
      <c r="A842" s="2">
        <v>45906</v>
      </c>
      <c r="B842" s="1" t="s">
        <v>2434</v>
      </c>
      <c r="C842" s="1" t="s">
        <v>256</v>
      </c>
      <c r="D842" s="1" t="s">
        <v>112</v>
      </c>
      <c r="E842" s="1">
        <v>85379</v>
      </c>
      <c r="F842" s="1" t="s">
        <v>31</v>
      </c>
      <c r="G842" s="1" t="s">
        <v>2364</v>
      </c>
      <c r="H842" s="4" t="s">
        <v>2435</v>
      </c>
      <c r="I842" s="5" t="s">
        <v>46</v>
      </c>
      <c r="J842" s="5" t="s">
        <v>37</v>
      </c>
      <c r="K842" s="5" t="s">
        <v>37</v>
      </c>
      <c r="L842" s="5" t="s">
        <v>38</v>
      </c>
      <c r="M842" s="5" t="s">
        <v>37</v>
      </c>
      <c r="N842" s="5" t="s">
        <v>37</v>
      </c>
      <c r="O842" s="5" t="s">
        <v>38</v>
      </c>
      <c r="P842" s="5" t="s">
        <v>39</v>
      </c>
      <c r="Q842" s="2">
        <v>45965</v>
      </c>
      <c r="V842" s="46">
        <f>IF(
  OR(
    ISNUMBER(SEARCH("unable to locate acct", tblDocketedComments[[#This Row],[Docketed Consumer Comments]])),
    ISNUMBER(SEARCH("unknown", tblDocketedComments[[#This Row],[Docketed Consumer Comments]])),
    ISNUMBER(SEARCH("inactive", tblDocketedComments[[#This Row],[Docketed Consumer Comments]]))
  ),
  0,
  1
)</f>
        <v>1</v>
      </c>
    </row>
    <row r="843" spans="1:22">
      <c r="A843" s="2">
        <v>45906</v>
      </c>
      <c r="B843" s="1" t="s">
        <v>2436</v>
      </c>
      <c r="C843" s="1" t="s">
        <v>225</v>
      </c>
      <c r="D843" s="1" t="s">
        <v>125</v>
      </c>
      <c r="E843" s="1">
        <v>85260</v>
      </c>
      <c r="F843" s="1" t="s">
        <v>2437</v>
      </c>
      <c r="G843" s="1" t="s">
        <v>2364</v>
      </c>
      <c r="H843" s="4" t="s">
        <v>2438</v>
      </c>
      <c r="I843" s="5" t="s">
        <v>36</v>
      </c>
      <c r="J843" s="5" t="s">
        <v>37</v>
      </c>
      <c r="K843" s="5" t="s">
        <v>37</v>
      </c>
      <c r="L843" s="7" t="s">
        <v>2439</v>
      </c>
      <c r="M843" s="5" t="s">
        <v>37</v>
      </c>
      <c r="N843" s="5" t="s">
        <v>37</v>
      </c>
      <c r="O843" s="5" t="s">
        <v>38</v>
      </c>
      <c r="P843" s="2">
        <v>45945</v>
      </c>
      <c r="Q843" s="2">
        <v>45965</v>
      </c>
      <c r="R843" s="1" t="s">
        <v>2440</v>
      </c>
      <c r="V843" s="46">
        <f>IF(
  OR(
    ISNUMBER(SEARCH("unable to locate acct", tblDocketedComments[[#This Row],[Docketed Consumer Comments]])),
    ISNUMBER(SEARCH("unknown", tblDocketedComments[[#This Row],[Docketed Consumer Comments]])),
    ISNUMBER(SEARCH("inactive", tblDocketedComments[[#This Row],[Docketed Consumer Comments]]))
  ),
  0,
  1
)</f>
        <v>1</v>
      </c>
    </row>
    <row r="844" spans="1:22">
      <c r="A844" s="2">
        <v>45906</v>
      </c>
      <c r="B844" s="1" t="s">
        <v>2441</v>
      </c>
      <c r="C844" s="1" t="s">
        <v>71</v>
      </c>
      <c r="D844" s="1" t="s">
        <v>63</v>
      </c>
      <c r="E844" s="1">
        <v>85006</v>
      </c>
      <c r="F844" s="1" t="s">
        <v>310</v>
      </c>
      <c r="G844" s="1" t="s">
        <v>2364</v>
      </c>
      <c r="H844" s="4" t="s">
        <v>2442</v>
      </c>
      <c r="I844" s="5" t="s">
        <v>73</v>
      </c>
      <c r="J844" s="5" t="s">
        <v>37</v>
      </c>
      <c r="K844" s="5" t="s">
        <v>37</v>
      </c>
      <c r="L844" s="5" t="s">
        <v>38</v>
      </c>
      <c r="M844" s="5" t="s">
        <v>37</v>
      </c>
      <c r="N844" s="5" t="s">
        <v>37</v>
      </c>
      <c r="O844" s="5" t="s">
        <v>38</v>
      </c>
      <c r="P844" s="5" t="s">
        <v>39</v>
      </c>
      <c r="Q844" s="2">
        <v>45965</v>
      </c>
      <c r="V844" s="46">
        <f>IF(
  OR(
    ISNUMBER(SEARCH("unable to locate acct", tblDocketedComments[[#This Row],[Docketed Consumer Comments]])),
    ISNUMBER(SEARCH("unknown", tblDocketedComments[[#This Row],[Docketed Consumer Comments]])),
    ISNUMBER(SEARCH("inactive", tblDocketedComments[[#This Row],[Docketed Consumer Comments]]))
  ),
  0,
  1
)</f>
        <v>1</v>
      </c>
    </row>
    <row r="845" spans="1:22">
      <c r="A845" s="2">
        <v>45906</v>
      </c>
      <c r="B845" s="1" t="s">
        <v>2443</v>
      </c>
      <c r="C845" s="1" t="s">
        <v>2444</v>
      </c>
      <c r="D845" s="1" t="s">
        <v>202</v>
      </c>
      <c r="E845" s="1">
        <v>85383</v>
      </c>
      <c r="F845" s="1" t="s">
        <v>310</v>
      </c>
      <c r="G845" s="1" t="s">
        <v>2364</v>
      </c>
      <c r="H845" s="4" t="s">
        <v>2445</v>
      </c>
      <c r="I845" s="5" t="s">
        <v>46</v>
      </c>
      <c r="J845" s="5" t="s">
        <v>37</v>
      </c>
      <c r="K845" s="5" t="s">
        <v>37</v>
      </c>
      <c r="L845" s="7" t="s">
        <v>2446</v>
      </c>
      <c r="M845" s="5" t="s">
        <v>37</v>
      </c>
      <c r="N845" s="5" t="s">
        <v>37</v>
      </c>
      <c r="O845" s="5" t="s">
        <v>38</v>
      </c>
      <c r="P845" s="2">
        <v>45939</v>
      </c>
      <c r="Q845" s="2">
        <v>45965</v>
      </c>
      <c r="R845" s="1" t="s">
        <v>484</v>
      </c>
      <c r="V845" s="46">
        <f>IF(
  OR(
    ISNUMBER(SEARCH("unable to locate acct", tblDocketedComments[[#This Row],[Docketed Consumer Comments]])),
    ISNUMBER(SEARCH("unknown", tblDocketedComments[[#This Row],[Docketed Consumer Comments]])),
    ISNUMBER(SEARCH("inactive", tblDocketedComments[[#This Row],[Docketed Consumer Comments]]))
  ),
  0,
  1
)</f>
        <v>1</v>
      </c>
    </row>
    <row r="846" spans="1:22">
      <c r="A846" s="2">
        <v>45906</v>
      </c>
      <c r="B846" s="1" t="s">
        <v>2447</v>
      </c>
      <c r="C846" s="1" t="s">
        <v>334</v>
      </c>
      <c r="D846" s="1" t="s">
        <v>63</v>
      </c>
      <c r="E846" s="1">
        <v>85027</v>
      </c>
      <c r="F846" s="1" t="s">
        <v>310</v>
      </c>
      <c r="G846" s="1" t="s">
        <v>2364</v>
      </c>
      <c r="H846" s="4" t="s">
        <v>2448</v>
      </c>
      <c r="I846" s="5" t="s">
        <v>250</v>
      </c>
      <c r="J846" s="5" t="s">
        <v>37</v>
      </c>
      <c r="K846" s="5" t="s">
        <v>37</v>
      </c>
      <c r="L846" s="5" t="s">
        <v>38</v>
      </c>
      <c r="M846" s="5" t="s">
        <v>37</v>
      </c>
      <c r="N846" s="5" t="s">
        <v>37</v>
      </c>
      <c r="O846" s="5" t="s">
        <v>38</v>
      </c>
      <c r="P846" s="5" t="s">
        <v>39</v>
      </c>
      <c r="Q846" s="2">
        <v>45965</v>
      </c>
      <c r="V846" s="46">
        <f>IF(
  OR(
    ISNUMBER(SEARCH("unable to locate acct", tblDocketedComments[[#This Row],[Docketed Consumer Comments]])),
    ISNUMBER(SEARCH("unknown", tblDocketedComments[[#This Row],[Docketed Consumer Comments]])),
    ISNUMBER(SEARCH("inactive", tblDocketedComments[[#This Row],[Docketed Consumer Comments]]))
  ),
  0,
  1
)</f>
        <v>1</v>
      </c>
    </row>
    <row r="847" spans="1:22">
      <c r="A847" s="2">
        <v>45906</v>
      </c>
      <c r="B847" s="1" t="s">
        <v>2449</v>
      </c>
      <c r="C847" s="1" t="s">
        <v>2450</v>
      </c>
      <c r="D847" s="1" t="s">
        <v>112</v>
      </c>
      <c r="E847" s="1">
        <v>85338</v>
      </c>
      <c r="F847" s="1" t="s">
        <v>310</v>
      </c>
      <c r="G847" s="1" t="s">
        <v>2364</v>
      </c>
      <c r="H847" s="4" t="s">
        <v>2451</v>
      </c>
      <c r="I847" s="5" t="s">
        <v>36</v>
      </c>
      <c r="J847" s="5" t="s">
        <v>37</v>
      </c>
      <c r="K847" s="5" t="s">
        <v>37</v>
      </c>
      <c r="L847" s="5" t="s">
        <v>38</v>
      </c>
      <c r="M847" s="5" t="s">
        <v>37</v>
      </c>
      <c r="N847" s="5" t="s">
        <v>37</v>
      </c>
      <c r="O847" s="5" t="s">
        <v>38</v>
      </c>
      <c r="P847" s="5" t="s">
        <v>39</v>
      </c>
      <c r="Q847" s="2">
        <v>45964</v>
      </c>
      <c r="V847" s="46">
        <f>IF(
  OR(
    ISNUMBER(SEARCH("unable to locate acct", tblDocketedComments[[#This Row],[Docketed Consumer Comments]])),
    ISNUMBER(SEARCH("unknown", tblDocketedComments[[#This Row],[Docketed Consumer Comments]])),
    ISNUMBER(SEARCH("inactive", tblDocketedComments[[#This Row],[Docketed Consumer Comments]]))
  ),
  0,
  1
)</f>
        <v>1</v>
      </c>
    </row>
    <row r="848" spans="1:22">
      <c r="A848" s="2">
        <v>45906</v>
      </c>
      <c r="B848" s="1" t="s">
        <v>2452</v>
      </c>
      <c r="C848" s="1" t="s">
        <v>2395</v>
      </c>
      <c r="D848" s="1" t="s">
        <v>63</v>
      </c>
      <c r="E848" s="1">
        <v>85050</v>
      </c>
      <c r="F848" s="1" t="s">
        <v>310</v>
      </c>
      <c r="G848" s="1" t="s">
        <v>2364</v>
      </c>
      <c r="H848" s="4" t="s">
        <v>27</v>
      </c>
      <c r="V848" s="46">
        <f>IF(
  OR(
    ISNUMBER(SEARCH("unable to locate acct", tblDocketedComments[[#This Row],[Docketed Consumer Comments]])),
    ISNUMBER(SEARCH("unknown", tblDocketedComments[[#This Row],[Docketed Consumer Comments]])),
    ISNUMBER(SEARCH("inactive", tblDocketedComments[[#This Row],[Docketed Consumer Comments]]))
  ),
  0,
  1
)</f>
        <v>1</v>
      </c>
    </row>
    <row r="849" spans="1:22">
      <c r="A849" s="2">
        <v>45906</v>
      </c>
      <c r="B849" s="1" t="s">
        <v>2453</v>
      </c>
      <c r="C849" s="1" t="s">
        <v>2454</v>
      </c>
      <c r="D849" s="1" t="s">
        <v>63</v>
      </c>
      <c r="E849" s="1">
        <v>85024</v>
      </c>
      <c r="F849" s="1" t="s">
        <v>310</v>
      </c>
      <c r="G849" s="1" t="s">
        <v>2364</v>
      </c>
      <c r="H849" s="4" t="s">
        <v>2455</v>
      </c>
      <c r="I849" s="5" t="s">
        <v>57</v>
      </c>
      <c r="J849" s="5" t="s">
        <v>37</v>
      </c>
      <c r="K849" s="5" t="s">
        <v>37</v>
      </c>
      <c r="L849" s="5" t="s">
        <v>2456</v>
      </c>
      <c r="M849" s="5" t="s">
        <v>37</v>
      </c>
      <c r="N849" s="5" t="s">
        <v>37</v>
      </c>
      <c r="O849" s="5" t="s">
        <v>38</v>
      </c>
      <c r="P849" s="5" t="s">
        <v>39</v>
      </c>
      <c r="Q849" s="2">
        <v>45964</v>
      </c>
      <c r="V849" s="46">
        <f>IF(
  OR(
    ISNUMBER(SEARCH("unable to locate acct", tblDocketedComments[[#This Row],[Docketed Consumer Comments]])),
    ISNUMBER(SEARCH("unknown", tblDocketedComments[[#This Row],[Docketed Consumer Comments]])),
    ISNUMBER(SEARCH("inactive", tblDocketedComments[[#This Row],[Docketed Consumer Comments]]))
  ),
  0,
  1
)</f>
        <v>1</v>
      </c>
    </row>
    <row r="850" spans="1:22">
      <c r="A850" s="2">
        <v>45906</v>
      </c>
      <c r="B850" s="1" t="s">
        <v>2457</v>
      </c>
      <c r="C850" s="1" t="s">
        <v>2458</v>
      </c>
      <c r="D850" s="1" t="s">
        <v>635</v>
      </c>
      <c r="E850" s="1">
        <v>85281</v>
      </c>
      <c r="F850" s="1" t="s">
        <v>31</v>
      </c>
      <c r="G850" s="1" t="s">
        <v>2364</v>
      </c>
      <c r="H850" s="4" t="s">
        <v>2459</v>
      </c>
      <c r="I850" s="5" t="s">
        <v>196</v>
      </c>
      <c r="J850" s="5" t="s">
        <v>37</v>
      </c>
      <c r="K850" s="5" t="s">
        <v>37</v>
      </c>
      <c r="L850" s="5" t="s">
        <v>2460</v>
      </c>
      <c r="M850" s="5" t="s">
        <v>37</v>
      </c>
      <c r="N850" s="5" t="s">
        <v>37</v>
      </c>
      <c r="O850" s="5" t="s">
        <v>38</v>
      </c>
      <c r="P850" s="5" t="s">
        <v>39</v>
      </c>
      <c r="Q850" s="2">
        <v>45964</v>
      </c>
      <c r="V850" s="46">
        <f>IF(
  OR(
    ISNUMBER(SEARCH("unable to locate acct", tblDocketedComments[[#This Row],[Docketed Consumer Comments]])),
    ISNUMBER(SEARCH("unknown", tblDocketedComments[[#This Row],[Docketed Consumer Comments]])),
    ISNUMBER(SEARCH("inactive", tblDocketedComments[[#This Row],[Docketed Consumer Comments]]))
  ),
  0,
  1
)</f>
        <v>1</v>
      </c>
    </row>
    <row r="851" spans="1:22">
      <c r="A851" s="2">
        <v>45906</v>
      </c>
      <c r="B851" s="1" t="s">
        <v>370</v>
      </c>
      <c r="C851" s="1" t="s">
        <v>768</v>
      </c>
      <c r="D851" s="1" t="s">
        <v>63</v>
      </c>
      <c r="E851" s="1">
        <v>85024</v>
      </c>
      <c r="F851" s="1" t="s">
        <v>2461</v>
      </c>
      <c r="G851" s="1" t="s">
        <v>2364</v>
      </c>
      <c r="H851" s="4" t="s">
        <v>2462</v>
      </c>
      <c r="I851" s="5" t="s">
        <v>57</v>
      </c>
      <c r="J851" s="5" t="s">
        <v>37</v>
      </c>
      <c r="K851" s="5" t="s">
        <v>37</v>
      </c>
      <c r="L851" s="7" t="s">
        <v>2463</v>
      </c>
      <c r="M851" s="5" t="s">
        <v>37</v>
      </c>
      <c r="N851" s="5" t="s">
        <v>37</v>
      </c>
      <c r="O851" s="5" t="s">
        <v>38</v>
      </c>
      <c r="P851" s="5" t="s">
        <v>39</v>
      </c>
      <c r="Q851" s="2">
        <v>45964</v>
      </c>
      <c r="R851" s="1" t="s">
        <v>2464</v>
      </c>
      <c r="V851" s="46">
        <f>IF(
  OR(
    ISNUMBER(SEARCH("unable to locate acct", tblDocketedComments[[#This Row],[Docketed Consumer Comments]])),
    ISNUMBER(SEARCH("unknown", tblDocketedComments[[#This Row],[Docketed Consumer Comments]])),
    ISNUMBER(SEARCH("inactive", tblDocketedComments[[#This Row],[Docketed Consumer Comments]]))
  ),
  0,
  1
)</f>
        <v>1</v>
      </c>
    </row>
    <row r="852" spans="1:22">
      <c r="A852" s="2">
        <v>45906</v>
      </c>
      <c r="B852" s="1" t="s">
        <v>2465</v>
      </c>
      <c r="C852" s="1" t="s">
        <v>2466</v>
      </c>
      <c r="D852" s="1" t="s">
        <v>63</v>
      </c>
      <c r="E852" s="1">
        <v>85018</v>
      </c>
      <c r="F852" s="1" t="s">
        <v>310</v>
      </c>
      <c r="G852" s="1" t="s">
        <v>2364</v>
      </c>
      <c r="H852" s="4" t="s">
        <v>27</v>
      </c>
      <c r="V852" s="46">
        <f>IF(
  OR(
    ISNUMBER(SEARCH("unable to locate acct", tblDocketedComments[[#This Row],[Docketed Consumer Comments]])),
    ISNUMBER(SEARCH("unknown", tblDocketedComments[[#This Row],[Docketed Consumer Comments]])),
    ISNUMBER(SEARCH("inactive", tblDocketedComments[[#This Row],[Docketed Consumer Comments]]))
  ),
  0,
  1
)</f>
        <v>1</v>
      </c>
    </row>
    <row r="853" spans="1:22">
      <c r="A853" s="2">
        <v>45906</v>
      </c>
      <c r="B853" s="1" t="s">
        <v>2467</v>
      </c>
      <c r="C853" s="1" t="s">
        <v>382</v>
      </c>
      <c r="D853" s="1" t="s">
        <v>63</v>
      </c>
      <c r="E853" s="1">
        <v>85023</v>
      </c>
      <c r="F853" s="1" t="s">
        <v>310</v>
      </c>
      <c r="G853" s="1" t="s">
        <v>2364</v>
      </c>
      <c r="H853" s="4" t="s">
        <v>90</v>
      </c>
      <c r="V853" s="46">
        <f>IF(
  OR(
    ISNUMBER(SEARCH("unable to locate acct", tblDocketedComments[[#This Row],[Docketed Consumer Comments]])),
    ISNUMBER(SEARCH("unknown", tblDocketedComments[[#This Row],[Docketed Consumer Comments]])),
    ISNUMBER(SEARCH("inactive", tblDocketedComments[[#This Row],[Docketed Consumer Comments]]))
  ),
  0,
  1
)</f>
        <v>1</v>
      </c>
    </row>
    <row r="854" spans="1:22" ht="11.45" customHeight="1">
      <c r="A854" s="2">
        <v>45906</v>
      </c>
      <c r="B854" s="1" t="s">
        <v>2468</v>
      </c>
      <c r="C854" s="1" t="s">
        <v>481</v>
      </c>
      <c r="D854" s="1" t="s">
        <v>504</v>
      </c>
      <c r="E854" s="1">
        <v>86005</v>
      </c>
      <c r="F854" s="1" t="s">
        <v>310</v>
      </c>
      <c r="G854" s="1" t="s">
        <v>2364</v>
      </c>
      <c r="H854" s="4" t="s">
        <v>2469</v>
      </c>
      <c r="I854" s="5" t="s">
        <v>73</v>
      </c>
      <c r="J854" s="5" t="s">
        <v>37</v>
      </c>
      <c r="K854" s="5" t="s">
        <v>37</v>
      </c>
      <c r="L854" s="5" t="s">
        <v>38</v>
      </c>
      <c r="M854" s="5" t="s">
        <v>37</v>
      </c>
      <c r="N854" s="5" t="s">
        <v>37</v>
      </c>
      <c r="O854" s="5" t="s">
        <v>38</v>
      </c>
      <c r="P854" s="5" t="s">
        <v>39</v>
      </c>
      <c r="Q854" s="2">
        <v>45964</v>
      </c>
      <c r="V854" s="46">
        <f>IF(
  OR(
    ISNUMBER(SEARCH("unable to locate acct", tblDocketedComments[[#This Row],[Docketed Consumer Comments]])),
    ISNUMBER(SEARCH("unknown", tblDocketedComments[[#This Row],[Docketed Consumer Comments]])),
    ISNUMBER(SEARCH("inactive", tblDocketedComments[[#This Row],[Docketed Consumer Comments]]))
  ),
  0,
  1
)</f>
        <v>1</v>
      </c>
    </row>
    <row r="855" spans="1:22">
      <c r="A855" s="2">
        <v>45906</v>
      </c>
      <c r="B855" s="1" t="s">
        <v>262</v>
      </c>
      <c r="C855" s="1" t="s">
        <v>658</v>
      </c>
      <c r="D855" s="1" t="s">
        <v>63</v>
      </c>
      <c r="E855" s="1">
        <v>85028</v>
      </c>
      <c r="F855" s="1" t="s">
        <v>310</v>
      </c>
      <c r="G855" s="1" t="s">
        <v>2364</v>
      </c>
      <c r="H855" s="4" t="s">
        <v>2470</v>
      </c>
      <c r="I855" s="5" t="s">
        <v>46</v>
      </c>
      <c r="J855" s="5" t="s">
        <v>37</v>
      </c>
      <c r="K855" s="5" t="s">
        <v>37</v>
      </c>
      <c r="L855" s="5" t="s">
        <v>38</v>
      </c>
      <c r="M855" s="5" t="s">
        <v>37</v>
      </c>
      <c r="N855" s="5" t="s">
        <v>37</v>
      </c>
      <c r="O855" s="5" t="s">
        <v>38</v>
      </c>
      <c r="P855" s="5" t="s">
        <v>39</v>
      </c>
      <c r="Q855" s="2">
        <v>45964</v>
      </c>
      <c r="V855" s="46">
        <f>IF(
  OR(
    ISNUMBER(SEARCH("unable to locate acct", tblDocketedComments[[#This Row],[Docketed Consumer Comments]])),
    ISNUMBER(SEARCH("unknown", tblDocketedComments[[#This Row],[Docketed Consumer Comments]])),
    ISNUMBER(SEARCH("inactive", tblDocketedComments[[#This Row],[Docketed Consumer Comments]]))
  ),
  0,
  1
)</f>
        <v>1</v>
      </c>
    </row>
    <row r="856" spans="1:22">
      <c r="A856" s="2">
        <v>45906</v>
      </c>
      <c r="B856" s="1" t="s">
        <v>2471</v>
      </c>
      <c r="C856" s="1" t="s">
        <v>376</v>
      </c>
      <c r="D856" s="1" t="s">
        <v>68</v>
      </c>
      <c r="E856" s="1">
        <v>85331</v>
      </c>
      <c r="F856" s="1" t="s">
        <v>310</v>
      </c>
      <c r="G856" s="1" t="s">
        <v>2364</v>
      </c>
      <c r="H856" s="4" t="s">
        <v>2472</v>
      </c>
      <c r="I856" s="5" t="s">
        <v>196</v>
      </c>
      <c r="J856" s="5" t="s">
        <v>37</v>
      </c>
      <c r="K856" s="5" t="s">
        <v>37</v>
      </c>
      <c r="L856" s="7" t="s">
        <v>2473</v>
      </c>
      <c r="M856" s="5" t="s">
        <v>37</v>
      </c>
      <c r="N856" s="5" t="s">
        <v>37</v>
      </c>
      <c r="O856" s="5" t="s">
        <v>38</v>
      </c>
      <c r="P856" s="2">
        <v>45939</v>
      </c>
      <c r="Q856" s="2">
        <v>45964</v>
      </c>
      <c r="R856" s="28" t="s">
        <v>2474</v>
      </c>
      <c r="V856" s="46">
        <f>IF(
  OR(
    ISNUMBER(SEARCH("unable to locate acct", tblDocketedComments[[#This Row],[Docketed Consumer Comments]])),
    ISNUMBER(SEARCH("unknown", tblDocketedComments[[#This Row],[Docketed Consumer Comments]])),
    ISNUMBER(SEARCH("inactive", tblDocketedComments[[#This Row],[Docketed Consumer Comments]]))
  ),
  0,
  1
)</f>
        <v>1</v>
      </c>
    </row>
    <row r="857" spans="1:22">
      <c r="A857" s="2">
        <v>45906</v>
      </c>
      <c r="B857" s="1" t="s">
        <v>2475</v>
      </c>
      <c r="C857" s="1" t="s">
        <v>2476</v>
      </c>
      <c r="D857" s="1" t="s">
        <v>63</v>
      </c>
      <c r="E857" s="1">
        <v>85032</v>
      </c>
      <c r="F857" s="1" t="s">
        <v>310</v>
      </c>
      <c r="G857" s="1" t="s">
        <v>2364</v>
      </c>
      <c r="H857" s="4" t="s">
        <v>2477</v>
      </c>
      <c r="I857" s="5" t="s">
        <v>418</v>
      </c>
      <c r="J857" s="5" t="s">
        <v>37</v>
      </c>
      <c r="K857" s="5" t="s">
        <v>37</v>
      </c>
      <c r="L857" s="5" t="s">
        <v>389</v>
      </c>
      <c r="M857" s="5" t="s">
        <v>37</v>
      </c>
      <c r="N857" s="5" t="s">
        <v>37</v>
      </c>
      <c r="O857" s="5" t="s">
        <v>38</v>
      </c>
      <c r="P857" s="5" t="s">
        <v>39</v>
      </c>
      <c r="Q857" s="2">
        <v>45964</v>
      </c>
      <c r="V857" s="46">
        <f>IF(
  OR(
    ISNUMBER(SEARCH("unable to locate acct", tblDocketedComments[[#This Row],[Docketed Consumer Comments]])),
    ISNUMBER(SEARCH("unknown", tblDocketedComments[[#This Row],[Docketed Consumer Comments]])),
    ISNUMBER(SEARCH("inactive", tblDocketedComments[[#This Row],[Docketed Consumer Comments]]))
  ),
  0,
  1
)</f>
        <v>1</v>
      </c>
    </row>
    <row r="858" spans="1:22">
      <c r="A858" s="2">
        <v>45906</v>
      </c>
      <c r="B858" s="1" t="s">
        <v>657</v>
      </c>
      <c r="C858" s="1" t="s">
        <v>2478</v>
      </c>
      <c r="D858" s="1" t="s">
        <v>129</v>
      </c>
      <c r="E858" s="1">
        <v>85234</v>
      </c>
      <c r="F858" s="1" t="s">
        <v>31</v>
      </c>
      <c r="G858" s="1" t="s">
        <v>2364</v>
      </c>
      <c r="H858" s="4" t="s">
        <v>2479</v>
      </c>
      <c r="I858" s="5" t="s">
        <v>126</v>
      </c>
      <c r="J858" s="5" t="s">
        <v>37</v>
      </c>
      <c r="K858" s="5" t="s">
        <v>37</v>
      </c>
      <c r="L858" s="5" t="s">
        <v>38</v>
      </c>
      <c r="M858" s="5" t="s">
        <v>37</v>
      </c>
      <c r="N858" s="5" t="s">
        <v>37</v>
      </c>
      <c r="O858" s="5" t="s">
        <v>38</v>
      </c>
      <c r="P858" s="5" t="s">
        <v>39</v>
      </c>
      <c r="Q858" s="2">
        <v>45964</v>
      </c>
      <c r="V858" s="46">
        <f>IF(
  OR(
    ISNUMBER(SEARCH("unable to locate acct", tblDocketedComments[[#This Row],[Docketed Consumer Comments]])),
    ISNUMBER(SEARCH("unknown", tblDocketedComments[[#This Row],[Docketed Consumer Comments]])),
    ISNUMBER(SEARCH("inactive", tblDocketedComments[[#This Row],[Docketed Consumer Comments]]))
  ),
  0,
  1
)</f>
        <v>1</v>
      </c>
    </row>
    <row r="859" spans="1:22">
      <c r="A859" s="2">
        <v>45906</v>
      </c>
      <c r="B859" s="1" t="s">
        <v>2480</v>
      </c>
      <c r="C859" s="1" t="s">
        <v>363</v>
      </c>
      <c r="D859" s="1" t="s">
        <v>619</v>
      </c>
      <c r="E859" s="1">
        <v>85367</v>
      </c>
      <c r="F859" s="1" t="s">
        <v>31</v>
      </c>
      <c r="G859" s="1" t="s">
        <v>2364</v>
      </c>
      <c r="H859" s="4" t="s">
        <v>2481</v>
      </c>
      <c r="I859" s="5" t="s">
        <v>46</v>
      </c>
      <c r="J859" s="5" t="s">
        <v>37</v>
      </c>
      <c r="K859" s="5" t="s">
        <v>37</v>
      </c>
      <c r="L859" s="5" t="s">
        <v>38</v>
      </c>
      <c r="M859" s="5" t="s">
        <v>38</v>
      </c>
      <c r="N859" s="13">
        <v>122.88</v>
      </c>
      <c r="O859" s="5" t="s">
        <v>38</v>
      </c>
      <c r="P859" s="5" t="s">
        <v>39</v>
      </c>
      <c r="Q859" s="2">
        <v>45964</v>
      </c>
      <c r="V859" s="46">
        <f>IF(
  OR(
    ISNUMBER(SEARCH("unable to locate acct", tblDocketedComments[[#This Row],[Docketed Consumer Comments]])),
    ISNUMBER(SEARCH("unknown", tblDocketedComments[[#This Row],[Docketed Consumer Comments]])),
    ISNUMBER(SEARCH("inactive", tblDocketedComments[[#This Row],[Docketed Consumer Comments]]))
  ),
  0,
  1
)</f>
        <v>1</v>
      </c>
    </row>
    <row r="860" spans="1:22">
      <c r="A860" s="2">
        <v>45906</v>
      </c>
      <c r="B860" s="1" t="s">
        <v>2482</v>
      </c>
      <c r="C860" s="1" t="s">
        <v>62</v>
      </c>
      <c r="D860" s="1" t="s">
        <v>63</v>
      </c>
      <c r="E860" s="1">
        <v>85024</v>
      </c>
      <c r="F860" s="1" t="s">
        <v>2366</v>
      </c>
      <c r="G860" s="1" t="s">
        <v>2364</v>
      </c>
      <c r="H860" s="4" t="s">
        <v>2483</v>
      </c>
      <c r="I860" s="5" t="s">
        <v>36</v>
      </c>
      <c r="J860" s="5" t="s">
        <v>37</v>
      </c>
      <c r="K860" s="5" t="s">
        <v>37</v>
      </c>
      <c r="L860" s="5" t="s">
        <v>38</v>
      </c>
      <c r="M860" s="5" t="s">
        <v>37</v>
      </c>
      <c r="N860" s="5" t="s">
        <v>37</v>
      </c>
      <c r="O860" s="5" t="s">
        <v>38</v>
      </c>
      <c r="P860" s="5" t="s">
        <v>39</v>
      </c>
      <c r="Q860" s="2">
        <v>45964</v>
      </c>
      <c r="V860" s="46">
        <f>IF(
  OR(
    ISNUMBER(SEARCH("unable to locate acct", tblDocketedComments[[#This Row],[Docketed Consumer Comments]])),
    ISNUMBER(SEARCH("unknown", tblDocketedComments[[#This Row],[Docketed Consumer Comments]])),
    ISNUMBER(SEARCH("inactive", tblDocketedComments[[#This Row],[Docketed Consumer Comments]]))
  ),
  0,
  1
)</f>
        <v>1</v>
      </c>
    </row>
    <row r="861" spans="1:22">
      <c r="A861" s="2">
        <v>45906</v>
      </c>
      <c r="B861" s="1" t="s">
        <v>2484</v>
      </c>
      <c r="C861" s="1" t="s">
        <v>320</v>
      </c>
      <c r="D861" s="1" t="s">
        <v>504</v>
      </c>
      <c r="E861" s="1">
        <v>86005</v>
      </c>
      <c r="F861" s="1" t="s">
        <v>310</v>
      </c>
      <c r="G861" s="1" t="s">
        <v>2364</v>
      </c>
      <c r="H861" s="4" t="s">
        <v>27</v>
      </c>
      <c r="V861" s="46">
        <f>IF(
  OR(
    ISNUMBER(SEARCH("unable to locate acct", tblDocketedComments[[#This Row],[Docketed Consumer Comments]])),
    ISNUMBER(SEARCH("unknown", tblDocketedComments[[#This Row],[Docketed Consumer Comments]])),
    ISNUMBER(SEARCH("inactive", tblDocketedComments[[#This Row],[Docketed Consumer Comments]]))
  ),
  0,
  1
)</f>
        <v>1</v>
      </c>
    </row>
    <row r="862" spans="1:22">
      <c r="A862" s="2">
        <v>45906</v>
      </c>
      <c r="B862" s="1" t="s">
        <v>2485</v>
      </c>
      <c r="C862" s="1" t="s">
        <v>757</v>
      </c>
      <c r="D862" s="1" t="s">
        <v>635</v>
      </c>
      <c r="E862" s="1">
        <v>85281</v>
      </c>
      <c r="F862" s="1" t="s">
        <v>310</v>
      </c>
      <c r="G862" s="1" t="s">
        <v>2364</v>
      </c>
      <c r="H862" s="4" t="s">
        <v>2486</v>
      </c>
      <c r="I862" s="5" t="s">
        <v>36</v>
      </c>
      <c r="J862" s="5" t="s">
        <v>37</v>
      </c>
      <c r="K862" s="5" t="s">
        <v>37</v>
      </c>
      <c r="L862" s="5" t="s">
        <v>38</v>
      </c>
      <c r="M862" s="5" t="s">
        <v>37</v>
      </c>
      <c r="N862" s="5" t="s">
        <v>37</v>
      </c>
      <c r="O862" s="5" t="s">
        <v>38</v>
      </c>
      <c r="P862" s="5" t="s">
        <v>39</v>
      </c>
      <c r="Q862" s="2">
        <v>45964</v>
      </c>
      <c r="V862" s="46">
        <f>IF(
  OR(
    ISNUMBER(SEARCH("unable to locate acct", tblDocketedComments[[#This Row],[Docketed Consumer Comments]])),
    ISNUMBER(SEARCH("unknown", tblDocketedComments[[#This Row],[Docketed Consumer Comments]])),
    ISNUMBER(SEARCH("inactive", tblDocketedComments[[#This Row],[Docketed Consumer Comments]]))
  ),
  0,
  1
)</f>
        <v>1</v>
      </c>
    </row>
    <row r="863" spans="1:22">
      <c r="A863" s="2">
        <v>45906</v>
      </c>
      <c r="B863" s="1" t="s">
        <v>419</v>
      </c>
      <c r="C863" s="1" t="s">
        <v>2487</v>
      </c>
      <c r="D863" s="1" t="s">
        <v>24</v>
      </c>
      <c r="E863" s="1">
        <v>85301</v>
      </c>
      <c r="F863" s="1" t="s">
        <v>310</v>
      </c>
      <c r="G863" s="1" t="s">
        <v>2364</v>
      </c>
      <c r="H863" s="4" t="s">
        <v>27</v>
      </c>
      <c r="V863" s="46">
        <f>IF(
  OR(
    ISNUMBER(SEARCH("unable to locate acct", tblDocketedComments[[#This Row],[Docketed Consumer Comments]])),
    ISNUMBER(SEARCH("unknown", tblDocketedComments[[#This Row],[Docketed Consumer Comments]])),
    ISNUMBER(SEARCH("inactive", tblDocketedComments[[#This Row],[Docketed Consumer Comments]]))
  ),
  0,
  1
)</f>
        <v>1</v>
      </c>
    </row>
    <row r="864" spans="1:22">
      <c r="A864" s="2">
        <v>45906</v>
      </c>
      <c r="B864" s="1" t="s">
        <v>2488</v>
      </c>
      <c r="C864" s="1" t="s">
        <v>481</v>
      </c>
      <c r="D864" s="1" t="s">
        <v>63</v>
      </c>
      <c r="E864" s="1">
        <v>85004</v>
      </c>
      <c r="F864" s="1" t="s">
        <v>310</v>
      </c>
      <c r="G864" s="1" t="s">
        <v>2364</v>
      </c>
      <c r="H864" s="4" t="s">
        <v>2489</v>
      </c>
      <c r="I864" s="5" t="s">
        <v>126</v>
      </c>
      <c r="J864" s="5" t="s">
        <v>37</v>
      </c>
      <c r="K864" s="5" t="s">
        <v>37</v>
      </c>
      <c r="L864" s="5" t="s">
        <v>2490</v>
      </c>
      <c r="M864" s="5" t="s">
        <v>37</v>
      </c>
      <c r="N864" s="5" t="s">
        <v>37</v>
      </c>
      <c r="O864" s="5" t="s">
        <v>38</v>
      </c>
      <c r="P864" s="5" t="s">
        <v>39</v>
      </c>
      <c r="Q864" s="2">
        <v>45964</v>
      </c>
      <c r="V864" s="46">
        <f>IF(
  OR(
    ISNUMBER(SEARCH("unable to locate acct", tblDocketedComments[[#This Row],[Docketed Consumer Comments]])),
    ISNUMBER(SEARCH("unknown", tblDocketedComments[[#This Row],[Docketed Consumer Comments]])),
    ISNUMBER(SEARCH("inactive", tblDocketedComments[[#This Row],[Docketed Consumer Comments]]))
  ),
  0,
  1
)</f>
        <v>1</v>
      </c>
    </row>
    <row r="865" spans="1:22">
      <c r="A865" s="2">
        <v>45906</v>
      </c>
      <c r="B865" s="1" t="s">
        <v>2491</v>
      </c>
      <c r="C865" s="1" t="s">
        <v>2492</v>
      </c>
      <c r="D865" s="1" t="s">
        <v>202</v>
      </c>
      <c r="E865" s="1">
        <v>85382</v>
      </c>
      <c r="F865" s="1" t="s">
        <v>310</v>
      </c>
      <c r="G865" s="1" t="s">
        <v>2364</v>
      </c>
      <c r="H865" s="4" t="s">
        <v>2493</v>
      </c>
      <c r="I865" s="5" t="s">
        <v>36</v>
      </c>
      <c r="J865" s="5" t="s">
        <v>37</v>
      </c>
      <c r="K865" s="5" t="s">
        <v>37</v>
      </c>
      <c r="L865" s="5" t="s">
        <v>38</v>
      </c>
      <c r="M865" s="5" t="s">
        <v>37</v>
      </c>
      <c r="N865" s="5" t="s">
        <v>37</v>
      </c>
      <c r="O865" s="5" t="s">
        <v>38</v>
      </c>
      <c r="P865" s="5" t="s">
        <v>39</v>
      </c>
      <c r="Q865" s="2">
        <v>45964</v>
      </c>
      <c r="V865" s="46">
        <f>IF(
  OR(
    ISNUMBER(SEARCH("unable to locate acct", tblDocketedComments[[#This Row],[Docketed Consumer Comments]])),
    ISNUMBER(SEARCH("unknown", tblDocketedComments[[#This Row],[Docketed Consumer Comments]])),
    ISNUMBER(SEARCH("inactive", tblDocketedComments[[#This Row],[Docketed Consumer Comments]]))
  ),
  0,
  1
)</f>
        <v>1</v>
      </c>
    </row>
    <row r="866" spans="1:22" ht="11.45" customHeight="1">
      <c r="A866" s="2">
        <v>45906</v>
      </c>
      <c r="B866" s="1" t="s">
        <v>2494</v>
      </c>
      <c r="C866" s="1" t="s">
        <v>2495</v>
      </c>
      <c r="D866" s="1" t="s">
        <v>63</v>
      </c>
      <c r="E866" s="1">
        <v>85014</v>
      </c>
      <c r="F866" s="1" t="s">
        <v>310</v>
      </c>
      <c r="G866" s="1" t="s">
        <v>2364</v>
      </c>
      <c r="H866" s="4" t="s">
        <v>2496</v>
      </c>
      <c r="I866" s="5" t="s">
        <v>196</v>
      </c>
      <c r="J866" s="5" t="s">
        <v>37</v>
      </c>
      <c r="K866" s="5" t="s">
        <v>37</v>
      </c>
      <c r="L866" s="5" t="s">
        <v>2497</v>
      </c>
      <c r="M866" s="5" t="s">
        <v>37</v>
      </c>
      <c r="N866" s="5" t="s">
        <v>37</v>
      </c>
      <c r="O866" s="5" t="s">
        <v>38</v>
      </c>
      <c r="P866" s="5" t="s">
        <v>39</v>
      </c>
      <c r="Q866" s="2">
        <v>45964</v>
      </c>
      <c r="V866" s="46">
        <f>IF(
  OR(
    ISNUMBER(SEARCH("unable to locate acct", tblDocketedComments[[#This Row],[Docketed Consumer Comments]])),
    ISNUMBER(SEARCH("unknown", tblDocketedComments[[#This Row],[Docketed Consumer Comments]])),
    ISNUMBER(SEARCH("inactive", tblDocketedComments[[#This Row],[Docketed Consumer Comments]]))
  ),
  0,
  1
)</f>
        <v>1</v>
      </c>
    </row>
    <row r="867" spans="1:22" ht="11.45" customHeight="1">
      <c r="A867" s="2">
        <v>45906</v>
      </c>
      <c r="B867" s="1" t="s">
        <v>2498</v>
      </c>
      <c r="C867" s="1" t="s">
        <v>2499</v>
      </c>
      <c r="D867" s="1" t="s">
        <v>202</v>
      </c>
      <c r="E867" s="1">
        <v>85383</v>
      </c>
      <c r="F867" s="1" t="s">
        <v>2500</v>
      </c>
      <c r="G867" s="1" t="s">
        <v>2364</v>
      </c>
      <c r="H867" s="4" t="s">
        <v>2501</v>
      </c>
      <c r="I867" s="5" t="s">
        <v>46</v>
      </c>
      <c r="J867" s="5" t="s">
        <v>37</v>
      </c>
      <c r="K867" s="5" t="s">
        <v>37</v>
      </c>
      <c r="L867" s="5" t="s">
        <v>2502</v>
      </c>
      <c r="M867" s="5" t="s">
        <v>37</v>
      </c>
      <c r="N867" s="5" t="s">
        <v>37</v>
      </c>
      <c r="O867" s="5" t="s">
        <v>38</v>
      </c>
      <c r="P867" s="2">
        <v>45939</v>
      </c>
      <c r="Q867" s="2">
        <v>45964</v>
      </c>
      <c r="R867" s="1" t="s">
        <v>2503</v>
      </c>
      <c r="V867" s="46">
        <f>IF(
  OR(
    ISNUMBER(SEARCH("unable to locate acct", tblDocketedComments[[#This Row],[Docketed Consumer Comments]])),
    ISNUMBER(SEARCH("unknown", tblDocketedComments[[#This Row],[Docketed Consumer Comments]])),
    ISNUMBER(SEARCH("inactive", tblDocketedComments[[#This Row],[Docketed Consumer Comments]]))
  ),
  0,
  1
)</f>
        <v>1</v>
      </c>
    </row>
    <row r="868" spans="1:22" ht="11.45" customHeight="1">
      <c r="A868" s="2">
        <v>45906</v>
      </c>
      <c r="B868" s="1" t="s">
        <v>2504</v>
      </c>
      <c r="C868" s="1" t="s">
        <v>2505</v>
      </c>
      <c r="D868" s="1" t="s">
        <v>68</v>
      </c>
      <c r="E868" s="1">
        <v>85331</v>
      </c>
      <c r="F868" s="1" t="s">
        <v>310</v>
      </c>
      <c r="G868" s="1" t="s">
        <v>2364</v>
      </c>
      <c r="H868" s="4" t="s">
        <v>2506</v>
      </c>
      <c r="I868" s="5" t="s">
        <v>196</v>
      </c>
      <c r="J868" s="5" t="s">
        <v>37</v>
      </c>
      <c r="K868" s="5" t="s">
        <v>37</v>
      </c>
      <c r="L868" s="5" t="s">
        <v>38</v>
      </c>
      <c r="M868" s="5" t="s">
        <v>37</v>
      </c>
      <c r="N868" s="5" t="s">
        <v>37</v>
      </c>
      <c r="O868" s="5" t="s">
        <v>38</v>
      </c>
      <c r="P868" s="5" t="s">
        <v>39</v>
      </c>
      <c r="Q868" s="2">
        <v>45964</v>
      </c>
      <c r="V868" s="46">
        <f>IF(
  OR(
    ISNUMBER(SEARCH("unable to locate acct", tblDocketedComments[[#This Row],[Docketed Consumer Comments]])),
    ISNUMBER(SEARCH("unknown", tblDocketedComments[[#This Row],[Docketed Consumer Comments]])),
    ISNUMBER(SEARCH("inactive", tblDocketedComments[[#This Row],[Docketed Consumer Comments]]))
  ),
  0,
  1
)</f>
        <v>1</v>
      </c>
    </row>
    <row r="869" spans="1:22" ht="11.45" customHeight="1">
      <c r="A869" s="2">
        <v>45906</v>
      </c>
      <c r="B869" s="1" t="s">
        <v>2507</v>
      </c>
      <c r="C869" s="1" t="s">
        <v>67</v>
      </c>
      <c r="D869" s="1" t="s">
        <v>112</v>
      </c>
      <c r="E869" s="1">
        <v>85378</v>
      </c>
      <c r="F869" s="1" t="s">
        <v>741</v>
      </c>
      <c r="G869" s="1" t="s">
        <v>2364</v>
      </c>
      <c r="H869" s="4" t="s">
        <v>2508</v>
      </c>
      <c r="I869" s="5" t="s">
        <v>36</v>
      </c>
      <c r="J869" s="5" t="s">
        <v>37</v>
      </c>
      <c r="K869" s="5" t="s">
        <v>37</v>
      </c>
      <c r="L869" s="5" t="s">
        <v>38</v>
      </c>
      <c r="M869" s="5" t="s">
        <v>37</v>
      </c>
      <c r="N869" s="5" t="s">
        <v>37</v>
      </c>
      <c r="O869" s="5" t="s">
        <v>38</v>
      </c>
      <c r="P869" s="5" t="s">
        <v>39</v>
      </c>
      <c r="Q869" s="2">
        <v>45964</v>
      </c>
      <c r="R869" s="1" t="s">
        <v>2509</v>
      </c>
      <c r="V869" s="46">
        <f>IF(
  OR(
    ISNUMBER(SEARCH("unable to locate acct", tblDocketedComments[[#This Row],[Docketed Consumer Comments]])),
    ISNUMBER(SEARCH("unknown", tblDocketedComments[[#This Row],[Docketed Consumer Comments]])),
    ISNUMBER(SEARCH("inactive", tblDocketedComments[[#This Row],[Docketed Consumer Comments]]))
  ),
  0,
  1
)</f>
        <v>1</v>
      </c>
    </row>
    <row r="870" spans="1:22" ht="11.45" customHeight="1">
      <c r="A870" s="2">
        <v>45906</v>
      </c>
      <c r="B870" s="1" t="s">
        <v>2510</v>
      </c>
      <c r="C870" s="1" t="s">
        <v>363</v>
      </c>
      <c r="D870" s="1" t="s">
        <v>63</v>
      </c>
      <c r="E870" s="1">
        <v>85083</v>
      </c>
      <c r="F870" s="1" t="s">
        <v>31</v>
      </c>
      <c r="G870" s="1" t="s">
        <v>2364</v>
      </c>
      <c r="H870" s="4" t="s">
        <v>2511</v>
      </c>
      <c r="I870" s="5" t="s">
        <v>36</v>
      </c>
      <c r="J870" s="5" t="s">
        <v>37</v>
      </c>
      <c r="K870" s="5" t="s">
        <v>37</v>
      </c>
      <c r="L870" s="5" t="s">
        <v>38</v>
      </c>
      <c r="M870" s="5" t="s">
        <v>37</v>
      </c>
      <c r="N870" s="5" t="s">
        <v>37</v>
      </c>
      <c r="O870" s="5" t="s">
        <v>38</v>
      </c>
      <c r="P870" s="5" t="s">
        <v>39</v>
      </c>
      <c r="Q870" s="2">
        <v>45964</v>
      </c>
      <c r="V870" s="46">
        <f>IF(
  OR(
    ISNUMBER(SEARCH("unable to locate acct", tblDocketedComments[[#This Row],[Docketed Consumer Comments]])),
    ISNUMBER(SEARCH("unknown", tblDocketedComments[[#This Row],[Docketed Consumer Comments]])),
    ISNUMBER(SEARCH("inactive", tblDocketedComments[[#This Row],[Docketed Consumer Comments]]))
  ),
  0,
  1
)</f>
        <v>1</v>
      </c>
    </row>
    <row r="871" spans="1:22" ht="11.45" customHeight="1">
      <c r="A871" s="2">
        <v>45906</v>
      </c>
      <c r="B871" s="1" t="s">
        <v>2512</v>
      </c>
      <c r="C871" s="1" t="s">
        <v>575</v>
      </c>
      <c r="D871" s="1" t="s">
        <v>68</v>
      </c>
      <c r="E871" s="1">
        <v>85331</v>
      </c>
      <c r="F871" s="1" t="s">
        <v>310</v>
      </c>
      <c r="G871" s="1" t="s">
        <v>2364</v>
      </c>
      <c r="H871" s="4" t="s">
        <v>27</v>
      </c>
      <c r="V871" s="46">
        <f>IF(
  OR(
    ISNUMBER(SEARCH("unable to locate acct", tblDocketedComments[[#This Row],[Docketed Consumer Comments]])),
    ISNUMBER(SEARCH("unknown", tblDocketedComments[[#This Row],[Docketed Consumer Comments]])),
    ISNUMBER(SEARCH("inactive", tblDocketedComments[[#This Row],[Docketed Consumer Comments]]))
  ),
  0,
  1
)</f>
        <v>1</v>
      </c>
    </row>
    <row r="872" spans="1:22" ht="11.45" customHeight="1">
      <c r="A872" s="2">
        <v>45906</v>
      </c>
      <c r="B872" s="1" t="s">
        <v>650</v>
      </c>
      <c r="C872" s="1" t="s">
        <v>1815</v>
      </c>
      <c r="D872" s="1" t="s">
        <v>125</v>
      </c>
      <c r="E872" s="1">
        <v>85260</v>
      </c>
      <c r="F872" s="1" t="s">
        <v>310</v>
      </c>
      <c r="G872" s="1" t="s">
        <v>2364</v>
      </c>
      <c r="H872" s="4" t="s">
        <v>2513</v>
      </c>
      <c r="I872" s="5" t="s">
        <v>73</v>
      </c>
      <c r="J872" s="5" t="s">
        <v>37</v>
      </c>
      <c r="K872" s="5" t="s">
        <v>37</v>
      </c>
      <c r="L872" s="5" t="s">
        <v>401</v>
      </c>
      <c r="M872" s="5" t="s">
        <v>37</v>
      </c>
      <c r="N872" s="5" t="s">
        <v>37</v>
      </c>
      <c r="O872" s="5" t="s">
        <v>38</v>
      </c>
      <c r="P872" s="5" t="s">
        <v>39</v>
      </c>
      <c r="Q872" s="2">
        <v>45964</v>
      </c>
      <c r="V872" s="46">
        <f>IF(
  OR(
    ISNUMBER(SEARCH("unable to locate acct", tblDocketedComments[[#This Row],[Docketed Consumer Comments]])),
    ISNUMBER(SEARCH("unknown", tblDocketedComments[[#This Row],[Docketed Consumer Comments]])),
    ISNUMBER(SEARCH("inactive", tblDocketedComments[[#This Row],[Docketed Consumer Comments]]))
  ),
  0,
  1
)</f>
        <v>1</v>
      </c>
    </row>
    <row r="873" spans="1:22" ht="11.45" customHeight="1">
      <c r="A873" s="2">
        <v>45906</v>
      </c>
      <c r="B873" s="1" t="s">
        <v>2514</v>
      </c>
      <c r="C873" s="1" t="s">
        <v>1876</v>
      </c>
      <c r="D873" s="1" t="s">
        <v>125</v>
      </c>
      <c r="E873" s="1">
        <v>85260</v>
      </c>
      <c r="F873" s="1" t="s">
        <v>31</v>
      </c>
      <c r="G873" s="1" t="s">
        <v>2364</v>
      </c>
      <c r="H873" s="4" t="s">
        <v>2515</v>
      </c>
      <c r="I873" s="5" t="s">
        <v>36</v>
      </c>
      <c r="J873" s="5" t="s">
        <v>37</v>
      </c>
      <c r="K873" s="5" t="s">
        <v>37</v>
      </c>
      <c r="L873" s="5" t="s">
        <v>38</v>
      </c>
      <c r="M873" s="5" t="s">
        <v>37</v>
      </c>
      <c r="N873" s="5" t="s">
        <v>37</v>
      </c>
      <c r="O873" s="5" t="s">
        <v>38</v>
      </c>
      <c r="P873" s="5" t="s">
        <v>39</v>
      </c>
      <c r="Q873" s="2">
        <v>45964</v>
      </c>
      <c r="V873" s="46">
        <f>IF(
  OR(
    ISNUMBER(SEARCH("unable to locate acct", tblDocketedComments[[#This Row],[Docketed Consumer Comments]])),
    ISNUMBER(SEARCH("unknown", tblDocketedComments[[#This Row],[Docketed Consumer Comments]])),
    ISNUMBER(SEARCH("inactive", tblDocketedComments[[#This Row],[Docketed Consumer Comments]]))
  ),
  0,
  1
)</f>
        <v>1</v>
      </c>
    </row>
    <row r="874" spans="1:22" ht="11.45" customHeight="1">
      <c r="A874" s="2">
        <v>45906</v>
      </c>
      <c r="B874" s="1" t="s">
        <v>2516</v>
      </c>
      <c r="C874" s="1" t="s">
        <v>1140</v>
      </c>
      <c r="D874" s="1" t="s">
        <v>125</v>
      </c>
      <c r="E874" s="1">
        <v>85260</v>
      </c>
      <c r="F874" s="1" t="s">
        <v>310</v>
      </c>
      <c r="G874" s="1" t="s">
        <v>2364</v>
      </c>
      <c r="H874" s="4" t="s">
        <v>2517</v>
      </c>
      <c r="I874" s="5" t="s">
        <v>126</v>
      </c>
      <c r="J874" s="5" t="s">
        <v>37</v>
      </c>
      <c r="K874" s="5" t="s">
        <v>37</v>
      </c>
      <c r="L874" s="5" t="s">
        <v>38</v>
      </c>
      <c r="M874" s="5" t="s">
        <v>37</v>
      </c>
      <c r="N874" s="5" t="s">
        <v>37</v>
      </c>
      <c r="O874" s="5" t="s">
        <v>38</v>
      </c>
      <c r="P874" s="5" t="s">
        <v>39</v>
      </c>
      <c r="Q874" s="2">
        <v>45964</v>
      </c>
      <c r="V874" s="46">
        <f>IF(
  OR(
    ISNUMBER(SEARCH("unable to locate acct", tblDocketedComments[[#This Row],[Docketed Consumer Comments]])),
    ISNUMBER(SEARCH("unknown", tblDocketedComments[[#This Row],[Docketed Consumer Comments]])),
    ISNUMBER(SEARCH("inactive", tblDocketedComments[[#This Row],[Docketed Consumer Comments]]))
  ),
  0,
  1
)</f>
        <v>1</v>
      </c>
    </row>
    <row r="875" spans="1:22" ht="11.45" customHeight="1">
      <c r="A875" s="2">
        <v>45906</v>
      </c>
      <c r="B875" s="1" t="s">
        <v>333</v>
      </c>
      <c r="C875" s="1" t="s">
        <v>145</v>
      </c>
      <c r="D875" s="1" t="s">
        <v>63</v>
      </c>
      <c r="E875" s="1">
        <v>85085</v>
      </c>
      <c r="F875" s="1" t="s">
        <v>2518</v>
      </c>
      <c r="G875" s="1" t="s">
        <v>2364</v>
      </c>
      <c r="H875" s="4" t="s">
        <v>2519</v>
      </c>
      <c r="I875" s="5" t="s">
        <v>36</v>
      </c>
      <c r="J875" s="5" t="s">
        <v>37</v>
      </c>
      <c r="K875" s="5" t="s">
        <v>37</v>
      </c>
      <c r="L875" s="5" t="s">
        <v>38</v>
      </c>
      <c r="M875" s="5" t="s">
        <v>37</v>
      </c>
      <c r="N875" s="5" t="s">
        <v>37</v>
      </c>
      <c r="O875" s="5" t="s">
        <v>38</v>
      </c>
      <c r="P875" s="5" t="s">
        <v>39</v>
      </c>
      <c r="Q875" s="2">
        <v>45964</v>
      </c>
      <c r="V875" s="46">
        <f>IF(
  OR(
    ISNUMBER(SEARCH("unable to locate acct", tblDocketedComments[[#This Row],[Docketed Consumer Comments]])),
    ISNUMBER(SEARCH("unknown", tblDocketedComments[[#This Row],[Docketed Consumer Comments]])),
    ISNUMBER(SEARCH("inactive", tblDocketedComments[[#This Row],[Docketed Consumer Comments]]))
  ),
  0,
  1
)</f>
        <v>1</v>
      </c>
    </row>
    <row r="876" spans="1:22" ht="11.45" customHeight="1">
      <c r="A876" s="2">
        <v>45906</v>
      </c>
      <c r="B876" s="1" t="s">
        <v>2520</v>
      </c>
      <c r="C876" s="1" t="s">
        <v>2521</v>
      </c>
      <c r="D876" s="1" t="s">
        <v>169</v>
      </c>
      <c r="E876" s="1">
        <v>85338</v>
      </c>
      <c r="F876" s="1" t="s">
        <v>2522</v>
      </c>
      <c r="G876" s="1" t="s">
        <v>2364</v>
      </c>
      <c r="H876" s="4" t="s">
        <v>27</v>
      </c>
      <c r="V876" s="46">
        <f>IF(
  OR(
    ISNUMBER(SEARCH("unable to locate acct", tblDocketedComments[[#This Row],[Docketed Consumer Comments]])),
    ISNUMBER(SEARCH("unknown", tblDocketedComments[[#This Row],[Docketed Consumer Comments]])),
    ISNUMBER(SEARCH("inactive", tblDocketedComments[[#This Row],[Docketed Consumer Comments]]))
  ),
  0,
  1
)</f>
        <v>1</v>
      </c>
    </row>
    <row r="877" spans="1:22" ht="11.45" customHeight="1">
      <c r="A877" s="2">
        <v>45906</v>
      </c>
      <c r="B877" s="1" t="s">
        <v>2523</v>
      </c>
      <c r="C877" s="1" t="s">
        <v>760</v>
      </c>
      <c r="D877" s="1" t="s">
        <v>2524</v>
      </c>
      <c r="E877" s="1">
        <v>85122</v>
      </c>
      <c r="F877" s="1" t="s">
        <v>2525</v>
      </c>
      <c r="G877" s="1" t="s">
        <v>2364</v>
      </c>
      <c r="H877" s="4" t="s">
        <v>2526</v>
      </c>
      <c r="I877" s="5" t="s">
        <v>36</v>
      </c>
      <c r="J877" s="5" t="s">
        <v>37</v>
      </c>
      <c r="K877" s="5" t="s">
        <v>37</v>
      </c>
      <c r="L877" s="5" t="s">
        <v>38</v>
      </c>
      <c r="M877" s="5" t="s">
        <v>37</v>
      </c>
      <c r="N877" s="5" t="s">
        <v>37</v>
      </c>
      <c r="O877" s="5" t="s">
        <v>38</v>
      </c>
      <c r="P877" s="5" t="s">
        <v>39</v>
      </c>
      <c r="Q877" s="2">
        <v>45964</v>
      </c>
      <c r="V877" s="46">
        <f>IF(
  OR(
    ISNUMBER(SEARCH("unable to locate acct", tblDocketedComments[[#This Row],[Docketed Consumer Comments]])),
    ISNUMBER(SEARCH("unknown", tblDocketedComments[[#This Row],[Docketed Consumer Comments]])),
    ISNUMBER(SEARCH("inactive", tblDocketedComments[[#This Row],[Docketed Consumer Comments]]))
  ),
  0,
  1
)</f>
        <v>1</v>
      </c>
    </row>
    <row r="878" spans="1:22" ht="11.45" customHeight="1">
      <c r="A878" s="2">
        <v>45906</v>
      </c>
      <c r="B878" s="1" t="s">
        <v>2527</v>
      </c>
      <c r="C878" s="1" t="s">
        <v>2528</v>
      </c>
      <c r="D878" s="1" t="s">
        <v>202</v>
      </c>
      <c r="E878" s="1">
        <v>85383</v>
      </c>
      <c r="F878" s="1" t="s">
        <v>310</v>
      </c>
      <c r="G878" s="1" t="s">
        <v>2364</v>
      </c>
      <c r="H878" s="4" t="s">
        <v>2529</v>
      </c>
      <c r="I878" s="5" t="s">
        <v>57</v>
      </c>
      <c r="J878" s="5" t="s">
        <v>37</v>
      </c>
      <c r="K878" s="5" t="s">
        <v>37</v>
      </c>
      <c r="L878" s="7" t="s">
        <v>2530</v>
      </c>
      <c r="M878" s="5" t="s">
        <v>37</v>
      </c>
      <c r="N878" s="5" t="s">
        <v>37</v>
      </c>
      <c r="O878" s="5" t="s">
        <v>38</v>
      </c>
      <c r="P878" s="2">
        <v>45939</v>
      </c>
      <c r="Q878" s="2">
        <v>45964</v>
      </c>
      <c r="R878" s="1" t="s">
        <v>2474</v>
      </c>
      <c r="V878" s="46">
        <f>IF(
  OR(
    ISNUMBER(SEARCH("unable to locate acct", tblDocketedComments[[#This Row],[Docketed Consumer Comments]])),
    ISNUMBER(SEARCH("unknown", tblDocketedComments[[#This Row],[Docketed Consumer Comments]])),
    ISNUMBER(SEARCH("inactive", tblDocketedComments[[#This Row],[Docketed Consumer Comments]]))
  ),
  0,
  1
)</f>
        <v>1</v>
      </c>
    </row>
    <row r="879" spans="1:22" ht="11.45" customHeight="1">
      <c r="A879" s="2">
        <v>45906</v>
      </c>
      <c r="B879" s="1" t="s">
        <v>2531</v>
      </c>
      <c r="C879" s="1" t="s">
        <v>529</v>
      </c>
      <c r="D879" s="1" t="s">
        <v>24</v>
      </c>
      <c r="E879" s="1">
        <v>85307</v>
      </c>
      <c r="F879" s="1" t="s">
        <v>2532</v>
      </c>
      <c r="G879" s="1" t="s">
        <v>2364</v>
      </c>
      <c r="H879" s="4" t="s">
        <v>2533</v>
      </c>
      <c r="I879" s="5" t="s">
        <v>46</v>
      </c>
      <c r="J879" s="5" t="s">
        <v>37</v>
      </c>
      <c r="K879" s="5" t="s">
        <v>37</v>
      </c>
      <c r="L879" s="5" t="s">
        <v>38</v>
      </c>
      <c r="M879" s="5" t="s">
        <v>37</v>
      </c>
      <c r="N879" s="5" t="s">
        <v>37</v>
      </c>
      <c r="O879" s="5" t="s">
        <v>38</v>
      </c>
      <c r="P879" s="5" t="s">
        <v>39</v>
      </c>
      <c r="Q879" s="2">
        <v>45964</v>
      </c>
      <c r="V879" s="46">
        <f>IF(
  OR(
    ISNUMBER(SEARCH("unable to locate acct", tblDocketedComments[[#This Row],[Docketed Consumer Comments]])),
    ISNUMBER(SEARCH("unknown", tblDocketedComments[[#This Row],[Docketed Consumer Comments]])),
    ISNUMBER(SEARCH("inactive", tblDocketedComments[[#This Row],[Docketed Consumer Comments]]))
  ),
  0,
  1
)</f>
        <v>1</v>
      </c>
    </row>
    <row r="880" spans="1:22" ht="11.45" customHeight="1">
      <c r="A880" s="2">
        <v>45906</v>
      </c>
      <c r="B880" s="1" t="s">
        <v>2534</v>
      </c>
      <c r="C880" s="1" t="s">
        <v>177</v>
      </c>
      <c r="D880" s="1" t="s">
        <v>63</v>
      </c>
      <c r="E880" s="1">
        <v>85053</v>
      </c>
      <c r="F880" s="1" t="s">
        <v>310</v>
      </c>
      <c r="G880" s="1" t="s">
        <v>2364</v>
      </c>
      <c r="H880" s="4" t="s">
        <v>2535</v>
      </c>
      <c r="I880" s="5" t="s">
        <v>36</v>
      </c>
      <c r="J880" s="5" t="s">
        <v>37</v>
      </c>
      <c r="K880" s="5" t="s">
        <v>37</v>
      </c>
      <c r="L880" s="5" t="s">
        <v>38</v>
      </c>
      <c r="M880" s="5" t="s">
        <v>37</v>
      </c>
      <c r="N880" s="5" t="s">
        <v>37</v>
      </c>
      <c r="O880" s="5" t="s">
        <v>38</v>
      </c>
      <c r="P880" s="5" t="s">
        <v>39</v>
      </c>
      <c r="Q880" s="2">
        <v>45964</v>
      </c>
      <c r="V880" s="46">
        <f>IF(
  OR(
    ISNUMBER(SEARCH("unable to locate acct", tblDocketedComments[[#This Row],[Docketed Consumer Comments]])),
    ISNUMBER(SEARCH("unknown", tblDocketedComments[[#This Row],[Docketed Consumer Comments]])),
    ISNUMBER(SEARCH("inactive", tblDocketedComments[[#This Row],[Docketed Consumer Comments]]))
  ),
  0,
  1
)</f>
        <v>1</v>
      </c>
    </row>
    <row r="881" spans="1:22" ht="11.45" customHeight="1">
      <c r="A881" s="2">
        <v>45906</v>
      </c>
      <c r="B881" s="1" t="s">
        <v>2536</v>
      </c>
      <c r="C881" s="1" t="s">
        <v>135</v>
      </c>
      <c r="D881" s="1" t="s">
        <v>89</v>
      </c>
      <c r="E881" s="1">
        <v>86336</v>
      </c>
      <c r="F881" s="1" t="s">
        <v>2129</v>
      </c>
      <c r="G881" s="1" t="s">
        <v>2364</v>
      </c>
      <c r="H881" s="4" t="s">
        <v>2537</v>
      </c>
      <c r="I881" s="5" t="s">
        <v>243</v>
      </c>
      <c r="J881" s="5" t="s">
        <v>37</v>
      </c>
      <c r="K881" s="5" t="s">
        <v>37</v>
      </c>
      <c r="L881" s="5" t="s">
        <v>389</v>
      </c>
      <c r="M881" s="5" t="s">
        <v>37</v>
      </c>
      <c r="N881" s="5" t="s">
        <v>37</v>
      </c>
      <c r="O881" s="5" t="s">
        <v>38</v>
      </c>
      <c r="P881" s="5" t="s">
        <v>39</v>
      </c>
      <c r="Q881" s="2">
        <v>45964</v>
      </c>
      <c r="V881" s="46">
        <f>IF(
  OR(
    ISNUMBER(SEARCH("unable to locate acct", tblDocketedComments[[#This Row],[Docketed Consumer Comments]])),
    ISNUMBER(SEARCH("unknown", tblDocketedComments[[#This Row],[Docketed Consumer Comments]])),
    ISNUMBER(SEARCH("inactive", tblDocketedComments[[#This Row],[Docketed Consumer Comments]]))
  ),
  0,
  1
)</f>
        <v>1</v>
      </c>
    </row>
    <row r="882" spans="1:22" ht="11.45" customHeight="1">
      <c r="A882" s="2">
        <v>45906</v>
      </c>
      <c r="B882" s="1" t="s">
        <v>2538</v>
      </c>
      <c r="C882" s="1" t="s">
        <v>2144</v>
      </c>
      <c r="D882" s="1" t="s">
        <v>63</v>
      </c>
      <c r="E882" s="1">
        <v>85012</v>
      </c>
      <c r="F882" s="1" t="s">
        <v>310</v>
      </c>
      <c r="G882" s="1" t="s">
        <v>2364</v>
      </c>
      <c r="H882" s="4" t="s">
        <v>2539</v>
      </c>
      <c r="I882" s="5" t="s">
        <v>36</v>
      </c>
      <c r="J882" s="5" t="s">
        <v>37</v>
      </c>
      <c r="K882" s="5" t="s">
        <v>37</v>
      </c>
      <c r="L882" s="5" t="s">
        <v>401</v>
      </c>
      <c r="M882" s="5" t="s">
        <v>37</v>
      </c>
      <c r="N882" s="5" t="s">
        <v>37</v>
      </c>
      <c r="O882" s="5" t="s">
        <v>38</v>
      </c>
      <c r="P882" s="5" t="s">
        <v>39</v>
      </c>
      <c r="Q882" s="2">
        <v>45964</v>
      </c>
      <c r="V882" s="46">
        <f>IF(
  OR(
    ISNUMBER(SEARCH("unable to locate acct", tblDocketedComments[[#This Row],[Docketed Consumer Comments]])),
    ISNUMBER(SEARCH("unknown", tblDocketedComments[[#This Row],[Docketed Consumer Comments]])),
    ISNUMBER(SEARCH("inactive", tblDocketedComments[[#This Row],[Docketed Consumer Comments]]))
  ),
  0,
  1
)</f>
        <v>1</v>
      </c>
    </row>
    <row r="883" spans="1:22" ht="11.45" customHeight="1">
      <c r="A883" s="2">
        <v>45906</v>
      </c>
      <c r="B883" s="1" t="s">
        <v>2540</v>
      </c>
      <c r="C883" s="1" t="s">
        <v>2541</v>
      </c>
      <c r="D883" s="1" t="s">
        <v>2542</v>
      </c>
      <c r="E883" s="1">
        <v>86325</v>
      </c>
      <c r="F883" s="1" t="s">
        <v>2543</v>
      </c>
      <c r="G883" s="1" t="s">
        <v>2364</v>
      </c>
      <c r="H883" s="4" t="s">
        <v>2544</v>
      </c>
      <c r="I883" s="5" t="s">
        <v>73</v>
      </c>
      <c r="J883" s="5" t="s">
        <v>37</v>
      </c>
      <c r="K883" s="5" t="s">
        <v>37</v>
      </c>
      <c r="L883" s="5" t="s">
        <v>38</v>
      </c>
      <c r="M883" s="5" t="s">
        <v>37</v>
      </c>
      <c r="N883" s="5" t="s">
        <v>37</v>
      </c>
      <c r="O883" s="5" t="s">
        <v>38</v>
      </c>
      <c r="P883" s="5" t="s">
        <v>39</v>
      </c>
      <c r="Q883" s="2">
        <v>45964</v>
      </c>
      <c r="V883" s="46">
        <f>IF(
  OR(
    ISNUMBER(SEARCH("unable to locate acct", tblDocketedComments[[#This Row],[Docketed Consumer Comments]])),
    ISNUMBER(SEARCH("unknown", tblDocketedComments[[#This Row],[Docketed Consumer Comments]])),
    ISNUMBER(SEARCH("inactive", tblDocketedComments[[#This Row],[Docketed Consumer Comments]]))
  ),
  0,
  1
)</f>
        <v>1</v>
      </c>
    </row>
    <row r="884" spans="1:22" ht="11.45" customHeight="1">
      <c r="A884" s="2">
        <v>45906</v>
      </c>
      <c r="B884" s="1" t="s">
        <v>2545</v>
      </c>
      <c r="C884" s="1" t="s">
        <v>543</v>
      </c>
      <c r="D884" s="1" t="s">
        <v>63</v>
      </c>
      <c r="E884" s="1">
        <v>85003</v>
      </c>
      <c r="F884" s="1" t="s">
        <v>310</v>
      </c>
      <c r="G884" s="1" t="s">
        <v>2364</v>
      </c>
      <c r="H884" s="4" t="s">
        <v>2546</v>
      </c>
      <c r="I884" s="5" t="s">
        <v>73</v>
      </c>
      <c r="J884" s="5" t="s">
        <v>37</v>
      </c>
      <c r="K884" s="5" t="s">
        <v>37</v>
      </c>
      <c r="L884" s="5" t="s">
        <v>38</v>
      </c>
      <c r="M884" s="5" t="s">
        <v>37</v>
      </c>
      <c r="N884" s="5" t="s">
        <v>37</v>
      </c>
      <c r="O884" s="5" t="s">
        <v>38</v>
      </c>
      <c r="P884" s="5" t="s">
        <v>39</v>
      </c>
      <c r="Q884" s="2">
        <v>45964</v>
      </c>
      <c r="V884" s="46">
        <f>IF(
  OR(
    ISNUMBER(SEARCH("unable to locate acct", tblDocketedComments[[#This Row],[Docketed Consumer Comments]])),
    ISNUMBER(SEARCH("unknown", tblDocketedComments[[#This Row],[Docketed Consumer Comments]])),
    ISNUMBER(SEARCH("inactive", tblDocketedComments[[#This Row],[Docketed Consumer Comments]]))
  ),
  0,
  1
)</f>
        <v>1</v>
      </c>
    </row>
    <row r="885" spans="1:22" ht="11.45" customHeight="1">
      <c r="A885" s="2">
        <v>45906</v>
      </c>
      <c r="B885" s="1" t="s">
        <v>2547</v>
      </c>
      <c r="C885" s="1" t="s">
        <v>611</v>
      </c>
      <c r="D885" s="1" t="s">
        <v>202</v>
      </c>
      <c r="E885" s="1">
        <v>85383</v>
      </c>
      <c r="F885" s="1" t="s">
        <v>2548</v>
      </c>
      <c r="G885" s="1" t="s">
        <v>2364</v>
      </c>
      <c r="H885" s="4" t="s">
        <v>2549</v>
      </c>
      <c r="I885" s="5" t="s">
        <v>418</v>
      </c>
      <c r="J885" s="5" t="s">
        <v>38</v>
      </c>
      <c r="K885" s="5" t="s">
        <v>37</v>
      </c>
      <c r="L885" s="5" t="s">
        <v>389</v>
      </c>
      <c r="M885" s="5" t="s">
        <v>37</v>
      </c>
      <c r="N885" s="5" t="s">
        <v>37</v>
      </c>
      <c r="O885" s="5" t="s">
        <v>38</v>
      </c>
      <c r="P885" s="5" t="s">
        <v>39</v>
      </c>
      <c r="Q885" s="2">
        <v>45964</v>
      </c>
      <c r="V885" s="46">
        <f>IF(
  OR(
    ISNUMBER(SEARCH("unable to locate acct", tblDocketedComments[[#This Row],[Docketed Consumer Comments]])),
    ISNUMBER(SEARCH("unknown", tblDocketedComments[[#This Row],[Docketed Consumer Comments]])),
    ISNUMBER(SEARCH("inactive", tblDocketedComments[[#This Row],[Docketed Consumer Comments]]))
  ),
  0,
  1
)</f>
        <v>1</v>
      </c>
    </row>
    <row r="886" spans="1:22" ht="11.45" customHeight="1">
      <c r="A886" s="2">
        <v>45906</v>
      </c>
      <c r="B886" s="1" t="s">
        <v>2550</v>
      </c>
      <c r="C886" s="1" t="s">
        <v>2551</v>
      </c>
      <c r="D886" s="1" t="s">
        <v>169</v>
      </c>
      <c r="E886" s="1">
        <v>85338</v>
      </c>
      <c r="F886" s="1" t="s">
        <v>31</v>
      </c>
      <c r="G886" s="1" t="s">
        <v>2364</v>
      </c>
      <c r="H886" s="4" t="s">
        <v>2552</v>
      </c>
      <c r="I886" s="5" t="s">
        <v>36</v>
      </c>
      <c r="J886" s="5" t="s">
        <v>37</v>
      </c>
      <c r="K886" s="5" t="s">
        <v>37</v>
      </c>
      <c r="L886" s="5" t="s">
        <v>38</v>
      </c>
      <c r="M886" s="5" t="s">
        <v>37</v>
      </c>
      <c r="N886" s="5" t="s">
        <v>37</v>
      </c>
      <c r="O886" s="5" t="s">
        <v>38</v>
      </c>
      <c r="P886" s="5" t="s">
        <v>39</v>
      </c>
      <c r="Q886" s="2">
        <v>45964</v>
      </c>
      <c r="V886" s="46">
        <f>IF(
  OR(
    ISNUMBER(SEARCH("unable to locate acct", tblDocketedComments[[#This Row],[Docketed Consumer Comments]])),
    ISNUMBER(SEARCH("unknown", tblDocketedComments[[#This Row],[Docketed Consumer Comments]])),
    ISNUMBER(SEARCH("inactive", tblDocketedComments[[#This Row],[Docketed Consumer Comments]]))
  ),
  0,
  1
)</f>
        <v>1</v>
      </c>
    </row>
    <row r="887" spans="1:22" ht="11.45" customHeight="1">
      <c r="A887" s="2">
        <v>45906</v>
      </c>
      <c r="B887" s="1" t="s">
        <v>2553</v>
      </c>
      <c r="C887" s="1" t="s">
        <v>2554</v>
      </c>
      <c r="D887" s="1" t="s">
        <v>63</v>
      </c>
      <c r="E887" s="1">
        <v>85032</v>
      </c>
      <c r="F887" s="1" t="s">
        <v>310</v>
      </c>
      <c r="G887" s="1" t="s">
        <v>2364</v>
      </c>
      <c r="H887" s="19" t="s">
        <v>2555</v>
      </c>
      <c r="I887" s="5" t="s">
        <v>57</v>
      </c>
      <c r="J887" s="5" t="s">
        <v>37</v>
      </c>
      <c r="K887" s="5" t="s">
        <v>37</v>
      </c>
      <c r="L887" s="5" t="s">
        <v>2556</v>
      </c>
      <c r="M887" s="5" t="s">
        <v>37</v>
      </c>
      <c r="N887" s="5" t="s">
        <v>37</v>
      </c>
      <c r="O887" s="5" t="s">
        <v>38</v>
      </c>
      <c r="P887" s="5" t="s">
        <v>39</v>
      </c>
      <c r="Q887" s="2">
        <v>45964</v>
      </c>
      <c r="V887" s="46">
        <f>IF(
  OR(
    ISNUMBER(SEARCH("unable to locate acct", tblDocketedComments[[#This Row],[Docketed Consumer Comments]])),
    ISNUMBER(SEARCH("unknown", tblDocketedComments[[#This Row],[Docketed Consumer Comments]])),
    ISNUMBER(SEARCH("inactive", tblDocketedComments[[#This Row],[Docketed Consumer Comments]]))
  ),
  0,
  1
)</f>
        <v>1</v>
      </c>
    </row>
    <row r="888" spans="1:22" ht="11.45" customHeight="1">
      <c r="A888" s="2">
        <v>45906</v>
      </c>
      <c r="B888" s="1" t="s">
        <v>2557</v>
      </c>
      <c r="C888" s="1" t="s">
        <v>2558</v>
      </c>
      <c r="D888" s="1" t="s">
        <v>63</v>
      </c>
      <c r="E888" s="1">
        <v>85014</v>
      </c>
      <c r="F888" s="1" t="s">
        <v>2559</v>
      </c>
      <c r="G888" s="1" t="s">
        <v>2364</v>
      </c>
      <c r="H888" s="4" t="s">
        <v>2560</v>
      </c>
      <c r="I888" s="5" t="s">
        <v>73</v>
      </c>
      <c r="J888" s="5" t="s">
        <v>37</v>
      </c>
      <c r="K888" s="5" t="s">
        <v>37</v>
      </c>
      <c r="L888" s="5" t="s">
        <v>38</v>
      </c>
      <c r="M888" s="5" t="s">
        <v>37</v>
      </c>
      <c r="N888" s="5" t="s">
        <v>37</v>
      </c>
      <c r="O888" s="5" t="s">
        <v>38</v>
      </c>
      <c r="P888" s="5" t="s">
        <v>39</v>
      </c>
      <c r="Q888" s="2">
        <v>45964</v>
      </c>
      <c r="V888" s="46">
        <f>IF(
  OR(
    ISNUMBER(SEARCH("unable to locate acct", tblDocketedComments[[#This Row],[Docketed Consumer Comments]])),
    ISNUMBER(SEARCH("unknown", tblDocketedComments[[#This Row],[Docketed Consumer Comments]])),
    ISNUMBER(SEARCH("inactive", tblDocketedComments[[#This Row],[Docketed Consumer Comments]]))
  ),
  0,
  1
)</f>
        <v>1</v>
      </c>
    </row>
    <row r="889" spans="1:22" ht="11.45" customHeight="1">
      <c r="A889" s="2">
        <v>45906</v>
      </c>
      <c r="B889" s="1" t="s">
        <v>2561</v>
      </c>
      <c r="C889" s="1" t="s">
        <v>2562</v>
      </c>
      <c r="D889" s="1" t="s">
        <v>112</v>
      </c>
      <c r="E889" s="1">
        <v>85388</v>
      </c>
      <c r="F889" s="1" t="s">
        <v>310</v>
      </c>
      <c r="G889" s="1" t="s">
        <v>2563</v>
      </c>
      <c r="H889" s="4" t="s">
        <v>2564</v>
      </c>
      <c r="I889" s="5" t="s">
        <v>46</v>
      </c>
      <c r="J889" s="5" t="s">
        <v>37</v>
      </c>
      <c r="K889" s="5" t="s">
        <v>37</v>
      </c>
      <c r="L889" s="5" t="s">
        <v>1586</v>
      </c>
      <c r="M889" s="5" t="s">
        <v>37</v>
      </c>
      <c r="N889" s="5" t="s">
        <v>37</v>
      </c>
      <c r="O889" s="5" t="s">
        <v>38</v>
      </c>
      <c r="P889" s="5" t="s">
        <v>39</v>
      </c>
      <c r="Q889" s="2">
        <v>45960</v>
      </c>
      <c r="R889" s="1" t="s">
        <v>2565</v>
      </c>
      <c r="V889" s="46">
        <f>IF(
  OR(
    ISNUMBER(SEARCH("unable to locate acct", tblDocketedComments[[#This Row],[Docketed Consumer Comments]])),
    ISNUMBER(SEARCH("unknown", tblDocketedComments[[#This Row],[Docketed Consumer Comments]])),
    ISNUMBER(SEARCH("inactive", tblDocketedComments[[#This Row],[Docketed Consumer Comments]]))
  ),
  0,
  1
)</f>
        <v>1</v>
      </c>
    </row>
    <row r="890" spans="1:22" ht="11.45" customHeight="1">
      <c r="A890" s="2">
        <v>45906</v>
      </c>
      <c r="B890" s="1" t="s">
        <v>2566</v>
      </c>
      <c r="C890" s="1" t="s">
        <v>440</v>
      </c>
      <c r="D890" s="1" t="s">
        <v>112</v>
      </c>
      <c r="E890" s="1">
        <v>85379</v>
      </c>
      <c r="F890" s="1" t="s">
        <v>2567</v>
      </c>
      <c r="G890" s="1" t="s">
        <v>2364</v>
      </c>
      <c r="H890" s="4" t="s">
        <v>27</v>
      </c>
      <c r="V890" s="46">
        <f>IF(
  OR(
    ISNUMBER(SEARCH("unable to locate acct", tblDocketedComments[[#This Row],[Docketed Consumer Comments]])),
    ISNUMBER(SEARCH("unknown", tblDocketedComments[[#This Row],[Docketed Consumer Comments]])),
    ISNUMBER(SEARCH("inactive", tblDocketedComments[[#This Row],[Docketed Consumer Comments]]))
  ),
  0,
  1
)</f>
        <v>1</v>
      </c>
    </row>
    <row r="891" spans="1:22" ht="11.45" customHeight="1">
      <c r="A891" s="2">
        <v>45906</v>
      </c>
      <c r="B891" s="1" t="s">
        <v>2568</v>
      </c>
      <c r="C891" s="1" t="s">
        <v>2569</v>
      </c>
      <c r="D891" s="1" t="s">
        <v>202</v>
      </c>
      <c r="E891" s="1">
        <v>85383</v>
      </c>
      <c r="F891" s="1" t="s">
        <v>25</v>
      </c>
      <c r="G891" s="1" t="s">
        <v>2364</v>
      </c>
      <c r="H891" s="19" t="s">
        <v>2570</v>
      </c>
      <c r="I891" s="5" t="s">
        <v>36</v>
      </c>
      <c r="J891" s="5" t="s">
        <v>37</v>
      </c>
      <c r="K891" s="5" t="s">
        <v>37</v>
      </c>
      <c r="L891" s="5" t="s">
        <v>38</v>
      </c>
      <c r="M891" s="5" t="s">
        <v>37</v>
      </c>
      <c r="N891" s="5" t="s">
        <v>37</v>
      </c>
      <c r="O891" s="5" t="s">
        <v>38</v>
      </c>
      <c r="P891" s="5" t="s">
        <v>39</v>
      </c>
      <c r="Q891" s="2">
        <v>45964</v>
      </c>
      <c r="V891" s="46">
        <f>IF(
  OR(
    ISNUMBER(SEARCH("unable to locate acct", tblDocketedComments[[#This Row],[Docketed Consumer Comments]])),
    ISNUMBER(SEARCH("unknown", tblDocketedComments[[#This Row],[Docketed Consumer Comments]])),
    ISNUMBER(SEARCH("inactive", tblDocketedComments[[#This Row],[Docketed Consumer Comments]]))
  ),
  0,
  1
)</f>
        <v>1</v>
      </c>
    </row>
    <row r="892" spans="1:22" ht="11.45" customHeight="1">
      <c r="A892" s="2">
        <v>45907</v>
      </c>
      <c r="B892" s="1" t="s">
        <v>2571</v>
      </c>
      <c r="C892" s="1" t="s">
        <v>2572</v>
      </c>
      <c r="D892" s="1" t="s">
        <v>619</v>
      </c>
      <c r="E892" s="1">
        <v>85364</v>
      </c>
      <c r="F892" s="1" t="s">
        <v>310</v>
      </c>
      <c r="G892" s="1" t="s">
        <v>2364</v>
      </c>
      <c r="H892" s="4" t="s">
        <v>209</v>
      </c>
      <c r="V892" s="46">
        <f>IF(
  OR(
    ISNUMBER(SEARCH("unable to locate acct", tblDocketedComments[[#This Row],[Docketed Consumer Comments]])),
    ISNUMBER(SEARCH("unknown", tblDocketedComments[[#This Row],[Docketed Consumer Comments]])),
    ISNUMBER(SEARCH("inactive", tblDocketedComments[[#This Row],[Docketed Consumer Comments]]))
  ),
  0,
  1
)</f>
        <v>1</v>
      </c>
    </row>
    <row r="893" spans="1:22" ht="11.45" customHeight="1">
      <c r="A893" s="2">
        <v>45907</v>
      </c>
      <c r="B893" s="1" t="s">
        <v>2573</v>
      </c>
      <c r="C893" s="1" t="s">
        <v>312</v>
      </c>
      <c r="D893" s="1" t="s">
        <v>125</v>
      </c>
      <c r="E893" s="1">
        <v>85254</v>
      </c>
      <c r="F893" s="1" t="s">
        <v>2574</v>
      </c>
      <c r="G893" s="1" t="s">
        <v>2364</v>
      </c>
      <c r="H893" s="4" t="s">
        <v>2575</v>
      </c>
      <c r="I893" s="5" t="s">
        <v>36</v>
      </c>
      <c r="J893" s="5" t="s">
        <v>37</v>
      </c>
      <c r="K893" s="5" t="s">
        <v>37</v>
      </c>
      <c r="L893" s="5" t="s">
        <v>38</v>
      </c>
      <c r="M893" s="5" t="s">
        <v>37</v>
      </c>
      <c r="N893" s="5" t="s">
        <v>37</v>
      </c>
      <c r="O893" s="5" t="s">
        <v>38</v>
      </c>
      <c r="P893" s="5" t="s">
        <v>39</v>
      </c>
      <c r="Q893" s="2">
        <v>45964</v>
      </c>
      <c r="V893" s="46">
        <f>IF(
  OR(
    ISNUMBER(SEARCH("unable to locate acct", tblDocketedComments[[#This Row],[Docketed Consumer Comments]])),
    ISNUMBER(SEARCH("unknown", tblDocketedComments[[#This Row],[Docketed Consumer Comments]])),
    ISNUMBER(SEARCH("inactive", tblDocketedComments[[#This Row],[Docketed Consumer Comments]]))
  ),
  0,
  1
)</f>
        <v>1</v>
      </c>
    </row>
    <row r="894" spans="1:22" ht="11.45" customHeight="1">
      <c r="A894" s="2">
        <v>45907</v>
      </c>
      <c r="B894" s="1" t="s">
        <v>2576</v>
      </c>
      <c r="C894" s="1" t="s">
        <v>2577</v>
      </c>
      <c r="D894" s="1" t="s">
        <v>202</v>
      </c>
      <c r="E894" s="1">
        <v>85382</v>
      </c>
      <c r="F894" s="1" t="s">
        <v>310</v>
      </c>
      <c r="G894" s="1" t="s">
        <v>2364</v>
      </c>
      <c r="H894" s="4" t="s">
        <v>2578</v>
      </c>
      <c r="I894" s="5" t="s">
        <v>196</v>
      </c>
      <c r="J894" s="5" t="s">
        <v>37</v>
      </c>
      <c r="K894" s="5" t="s">
        <v>37</v>
      </c>
      <c r="L894" s="7" t="s">
        <v>2579</v>
      </c>
      <c r="M894" s="5" t="s">
        <v>37</v>
      </c>
      <c r="N894" s="5" t="s">
        <v>37</v>
      </c>
      <c r="O894" s="5" t="s">
        <v>38</v>
      </c>
      <c r="P894" s="2">
        <v>45939</v>
      </c>
      <c r="Q894" s="2">
        <v>45964</v>
      </c>
      <c r="R894" s="1" t="s">
        <v>2474</v>
      </c>
      <c r="V894" s="46">
        <f>IF(
  OR(
    ISNUMBER(SEARCH("unable to locate acct", tblDocketedComments[[#This Row],[Docketed Consumer Comments]])),
    ISNUMBER(SEARCH("unknown", tblDocketedComments[[#This Row],[Docketed Consumer Comments]])),
    ISNUMBER(SEARCH("inactive", tblDocketedComments[[#This Row],[Docketed Consumer Comments]]))
  ),
  0,
  1
)</f>
        <v>1</v>
      </c>
    </row>
    <row r="895" spans="1:22" ht="11.45" customHeight="1">
      <c r="A895" s="2">
        <v>45907</v>
      </c>
      <c r="B895" s="1" t="s">
        <v>2580</v>
      </c>
      <c r="C895" s="1" t="s">
        <v>962</v>
      </c>
      <c r="D895" s="1" t="s">
        <v>63</v>
      </c>
      <c r="E895" s="1">
        <v>85022</v>
      </c>
      <c r="F895" s="1" t="s">
        <v>2581</v>
      </c>
      <c r="G895" s="1" t="s">
        <v>2364</v>
      </c>
      <c r="H895" s="4" t="s">
        <v>2582</v>
      </c>
      <c r="I895" s="5" t="s">
        <v>36</v>
      </c>
      <c r="J895" s="5" t="s">
        <v>37</v>
      </c>
      <c r="K895" s="5" t="s">
        <v>37</v>
      </c>
      <c r="L895" s="5" t="s">
        <v>38</v>
      </c>
      <c r="M895" s="5" t="s">
        <v>37</v>
      </c>
      <c r="N895" s="5" t="s">
        <v>37</v>
      </c>
      <c r="O895" s="5" t="s">
        <v>38</v>
      </c>
      <c r="P895" s="5" t="s">
        <v>39</v>
      </c>
      <c r="Q895" s="2">
        <v>45964</v>
      </c>
      <c r="V895" s="46">
        <f>IF(
  OR(
    ISNUMBER(SEARCH("unable to locate acct", tblDocketedComments[[#This Row],[Docketed Consumer Comments]])),
    ISNUMBER(SEARCH("unknown", tblDocketedComments[[#This Row],[Docketed Consumer Comments]])),
    ISNUMBER(SEARCH("inactive", tblDocketedComments[[#This Row],[Docketed Consumer Comments]]))
  ),
  0,
  1
)</f>
        <v>1</v>
      </c>
    </row>
    <row r="896" spans="1:22" ht="11.45" customHeight="1">
      <c r="A896" s="2">
        <v>45907</v>
      </c>
      <c r="B896" s="1" t="s">
        <v>2583</v>
      </c>
      <c r="C896" s="1" t="s">
        <v>2476</v>
      </c>
      <c r="D896" s="1" t="s">
        <v>63</v>
      </c>
      <c r="E896" s="1">
        <v>85024</v>
      </c>
      <c r="F896" s="1" t="s">
        <v>310</v>
      </c>
      <c r="G896" s="1" t="s">
        <v>2364</v>
      </c>
      <c r="H896" s="4" t="s">
        <v>27</v>
      </c>
      <c r="V896" s="46">
        <f>IF(
  OR(
    ISNUMBER(SEARCH("unable to locate acct", tblDocketedComments[[#This Row],[Docketed Consumer Comments]])),
    ISNUMBER(SEARCH("unknown", tblDocketedComments[[#This Row],[Docketed Consumer Comments]])),
    ISNUMBER(SEARCH("inactive", tblDocketedComments[[#This Row],[Docketed Consumer Comments]]))
  ),
  0,
  1
)</f>
        <v>1</v>
      </c>
    </row>
    <row r="897" spans="1:22" ht="11.45" customHeight="1">
      <c r="A897" s="2">
        <v>45907</v>
      </c>
      <c r="B897" s="1" t="s">
        <v>2584</v>
      </c>
      <c r="C897" s="1" t="s">
        <v>359</v>
      </c>
      <c r="D897" s="1" t="s">
        <v>112</v>
      </c>
      <c r="E897" s="1">
        <v>85387</v>
      </c>
      <c r="F897" s="1" t="s">
        <v>310</v>
      </c>
      <c r="G897" s="1" t="s">
        <v>2364</v>
      </c>
      <c r="H897" s="4" t="s">
        <v>2585</v>
      </c>
      <c r="I897" s="5" t="s">
        <v>196</v>
      </c>
      <c r="J897" s="5" t="s">
        <v>37</v>
      </c>
      <c r="K897" s="5" t="s">
        <v>37</v>
      </c>
      <c r="L897" s="5" t="s">
        <v>38</v>
      </c>
      <c r="M897" s="5" t="s">
        <v>37</v>
      </c>
      <c r="N897" s="5" t="s">
        <v>37</v>
      </c>
      <c r="O897" s="5" t="s">
        <v>38</v>
      </c>
      <c r="P897" s="5" t="s">
        <v>39</v>
      </c>
      <c r="Q897" s="2">
        <v>45964</v>
      </c>
      <c r="V897" s="46">
        <f>IF(
  OR(
    ISNUMBER(SEARCH("unable to locate acct", tblDocketedComments[[#This Row],[Docketed Consumer Comments]])),
    ISNUMBER(SEARCH("unknown", tblDocketedComments[[#This Row],[Docketed Consumer Comments]])),
    ISNUMBER(SEARCH("inactive", tblDocketedComments[[#This Row],[Docketed Consumer Comments]]))
  ),
  0,
  1
)</f>
        <v>1</v>
      </c>
    </row>
    <row r="898" spans="1:22" ht="11.45" customHeight="1">
      <c r="A898" s="2">
        <v>45907</v>
      </c>
      <c r="B898" s="1" t="s">
        <v>2586</v>
      </c>
      <c r="C898" s="1" t="s">
        <v>2587</v>
      </c>
      <c r="D898" s="1" t="s">
        <v>125</v>
      </c>
      <c r="E898" s="1">
        <v>85251</v>
      </c>
      <c r="F898" s="1" t="s">
        <v>2588</v>
      </c>
      <c r="G898" s="1" t="s">
        <v>2364</v>
      </c>
      <c r="H898" s="19" t="s">
        <v>2589</v>
      </c>
      <c r="I898" s="5" t="s">
        <v>73</v>
      </c>
      <c r="J898" s="5" t="s">
        <v>37</v>
      </c>
      <c r="K898" s="5" t="s">
        <v>37</v>
      </c>
      <c r="L898" s="5" t="s">
        <v>38</v>
      </c>
      <c r="M898" s="5" t="s">
        <v>37</v>
      </c>
      <c r="N898" s="5" t="s">
        <v>37</v>
      </c>
      <c r="O898" s="5" t="s">
        <v>38</v>
      </c>
      <c r="P898" s="5" t="s">
        <v>39</v>
      </c>
      <c r="Q898" s="2">
        <v>45964</v>
      </c>
      <c r="V898" s="46">
        <f>IF(
  OR(
    ISNUMBER(SEARCH("unable to locate acct", tblDocketedComments[[#This Row],[Docketed Consumer Comments]])),
    ISNUMBER(SEARCH("unknown", tblDocketedComments[[#This Row],[Docketed Consumer Comments]])),
    ISNUMBER(SEARCH("inactive", tblDocketedComments[[#This Row],[Docketed Consumer Comments]]))
  ),
  0,
  1
)</f>
        <v>1</v>
      </c>
    </row>
    <row r="899" spans="1:22" ht="11.45" customHeight="1">
      <c r="A899" s="2">
        <v>45907</v>
      </c>
      <c r="B899" s="1" t="s">
        <v>2590</v>
      </c>
      <c r="C899" s="1" t="s">
        <v>1824</v>
      </c>
      <c r="D899" s="1" t="s">
        <v>112</v>
      </c>
      <c r="E899" s="1">
        <v>85379</v>
      </c>
      <c r="F899" s="1" t="s">
        <v>2591</v>
      </c>
      <c r="G899" s="1" t="s">
        <v>2364</v>
      </c>
      <c r="H899" s="4" t="s">
        <v>2592</v>
      </c>
      <c r="I899" s="5" t="s">
        <v>196</v>
      </c>
      <c r="J899" s="5" t="s">
        <v>37</v>
      </c>
      <c r="K899" s="5" t="s">
        <v>37</v>
      </c>
      <c r="L899" s="5" t="s">
        <v>2593</v>
      </c>
      <c r="M899" s="5" t="s">
        <v>38</v>
      </c>
      <c r="N899" s="15">
        <v>803.66</v>
      </c>
      <c r="O899" s="5" t="s">
        <v>38</v>
      </c>
      <c r="P899" s="7"/>
      <c r="Q899" s="2">
        <v>45964</v>
      </c>
      <c r="R899" s="1" t="s">
        <v>495</v>
      </c>
      <c r="V899" s="46">
        <f>IF(
  OR(
    ISNUMBER(SEARCH("unable to locate acct", tblDocketedComments[[#This Row],[Docketed Consumer Comments]])),
    ISNUMBER(SEARCH("unknown", tblDocketedComments[[#This Row],[Docketed Consumer Comments]])),
    ISNUMBER(SEARCH("inactive", tblDocketedComments[[#This Row],[Docketed Consumer Comments]]))
  ),
  0,
  1
)</f>
        <v>1</v>
      </c>
    </row>
    <row r="900" spans="1:22" ht="11.45" customHeight="1">
      <c r="A900" s="2">
        <v>45907</v>
      </c>
      <c r="B900" s="1" t="s">
        <v>2594</v>
      </c>
      <c r="C900" s="1" t="s">
        <v>2595</v>
      </c>
      <c r="D900" s="1" t="s">
        <v>659</v>
      </c>
      <c r="E900" s="1">
        <v>85350</v>
      </c>
      <c r="F900" s="1" t="s">
        <v>2596</v>
      </c>
      <c r="G900" s="1" t="s">
        <v>2364</v>
      </c>
      <c r="H900" s="4" t="s">
        <v>2597</v>
      </c>
      <c r="I900" s="5" t="s">
        <v>36</v>
      </c>
      <c r="J900" s="5" t="s">
        <v>38</v>
      </c>
      <c r="K900" s="5" t="s">
        <v>37</v>
      </c>
      <c r="L900" s="5" t="s">
        <v>38</v>
      </c>
      <c r="M900" s="5" t="s">
        <v>38</v>
      </c>
      <c r="N900" s="15">
        <v>1530.91</v>
      </c>
      <c r="O900" s="5" t="s">
        <v>38</v>
      </c>
      <c r="P900" s="7"/>
      <c r="Q900" s="2">
        <v>45964</v>
      </c>
      <c r="R900" s="1" t="s">
        <v>495</v>
      </c>
      <c r="V900" s="46">
        <f>IF(
  OR(
    ISNUMBER(SEARCH("unable to locate acct", tblDocketedComments[[#This Row],[Docketed Consumer Comments]])),
    ISNUMBER(SEARCH("unknown", tblDocketedComments[[#This Row],[Docketed Consumer Comments]])),
    ISNUMBER(SEARCH("inactive", tblDocketedComments[[#This Row],[Docketed Consumer Comments]]))
  ),
  0,
  1
)</f>
        <v>1</v>
      </c>
    </row>
    <row r="901" spans="1:22" ht="11.45" customHeight="1">
      <c r="A901" s="2">
        <v>45907</v>
      </c>
      <c r="B901" s="1" t="s">
        <v>2598</v>
      </c>
      <c r="C901" s="1" t="s">
        <v>2450</v>
      </c>
      <c r="D901" s="1" t="s">
        <v>698</v>
      </c>
      <c r="E901" s="1">
        <v>85375</v>
      </c>
      <c r="F901" s="1" t="s">
        <v>2599</v>
      </c>
      <c r="G901" s="1" t="s">
        <v>2364</v>
      </c>
      <c r="H901" s="4" t="s">
        <v>27</v>
      </c>
      <c r="V901" s="46">
        <f>IF(
  OR(
    ISNUMBER(SEARCH("unable to locate acct", tblDocketedComments[[#This Row],[Docketed Consumer Comments]])),
    ISNUMBER(SEARCH("unknown", tblDocketedComments[[#This Row],[Docketed Consumer Comments]])),
    ISNUMBER(SEARCH("inactive", tblDocketedComments[[#This Row],[Docketed Consumer Comments]]))
  ),
  0,
  1
)</f>
        <v>1</v>
      </c>
    </row>
    <row r="902" spans="1:22" ht="11.45" customHeight="1">
      <c r="A902" s="2">
        <v>45907</v>
      </c>
      <c r="B902" s="1" t="s">
        <v>2600</v>
      </c>
      <c r="C902" s="1" t="s">
        <v>2601</v>
      </c>
      <c r="D902" s="1" t="s">
        <v>43</v>
      </c>
      <c r="E902" s="1">
        <v>85363</v>
      </c>
      <c r="F902" s="1" t="s">
        <v>310</v>
      </c>
      <c r="G902" s="1" t="s">
        <v>2364</v>
      </c>
      <c r="H902" s="4" t="s">
        <v>2602</v>
      </c>
      <c r="I902" s="5" t="s">
        <v>196</v>
      </c>
      <c r="J902" s="5" t="s">
        <v>37</v>
      </c>
      <c r="K902" s="5" t="s">
        <v>37</v>
      </c>
      <c r="L902" s="7" t="s">
        <v>2603</v>
      </c>
      <c r="M902" s="5" t="s">
        <v>37</v>
      </c>
      <c r="N902" s="5" t="s">
        <v>37</v>
      </c>
      <c r="O902" s="5" t="s">
        <v>38</v>
      </c>
      <c r="P902" s="2">
        <v>45964</v>
      </c>
      <c r="Q902" s="2">
        <v>45964</v>
      </c>
      <c r="R902" s="1" t="s">
        <v>2398</v>
      </c>
      <c r="V902" s="46">
        <f>IF(
  OR(
    ISNUMBER(SEARCH("unable to locate acct", tblDocketedComments[[#This Row],[Docketed Consumer Comments]])),
    ISNUMBER(SEARCH("unknown", tblDocketedComments[[#This Row],[Docketed Consumer Comments]])),
    ISNUMBER(SEARCH("inactive", tblDocketedComments[[#This Row],[Docketed Consumer Comments]]))
  ),
  0,
  1
)</f>
        <v>1</v>
      </c>
    </row>
    <row r="903" spans="1:22" ht="11.45" customHeight="1">
      <c r="A903" s="2">
        <v>45907</v>
      </c>
      <c r="B903" s="1" t="s">
        <v>2566</v>
      </c>
      <c r="C903" s="1" t="s">
        <v>2377</v>
      </c>
      <c r="D903" s="1" t="s">
        <v>698</v>
      </c>
      <c r="E903" s="1">
        <v>85376</v>
      </c>
      <c r="F903" s="1" t="s">
        <v>2604</v>
      </c>
      <c r="G903" s="1" t="s">
        <v>2364</v>
      </c>
      <c r="H903" s="4" t="s">
        <v>2605</v>
      </c>
      <c r="I903" s="5" t="s">
        <v>196</v>
      </c>
      <c r="J903" s="5" t="s">
        <v>37</v>
      </c>
      <c r="K903" s="5" t="s">
        <v>37</v>
      </c>
      <c r="L903" s="7" t="s">
        <v>2606</v>
      </c>
      <c r="M903" s="5" t="s">
        <v>37</v>
      </c>
      <c r="N903" s="5" t="s">
        <v>37</v>
      </c>
      <c r="O903" s="5" t="s">
        <v>38</v>
      </c>
      <c r="P903" s="5" t="s">
        <v>39</v>
      </c>
      <c r="Q903" s="2">
        <v>45964</v>
      </c>
      <c r="R903" s="1" t="s">
        <v>2607</v>
      </c>
      <c r="V903" s="46">
        <f>IF(
  OR(
    ISNUMBER(SEARCH("unable to locate acct", tblDocketedComments[[#This Row],[Docketed Consumer Comments]])),
    ISNUMBER(SEARCH("unknown", tblDocketedComments[[#This Row],[Docketed Consumer Comments]])),
    ISNUMBER(SEARCH("inactive", tblDocketedComments[[#This Row],[Docketed Consumer Comments]]))
  ),
  0,
  1
)</f>
        <v>1</v>
      </c>
    </row>
    <row r="904" spans="1:22" ht="11.45" customHeight="1">
      <c r="A904" s="2">
        <v>45907</v>
      </c>
      <c r="B904" s="1" t="s">
        <v>2608</v>
      </c>
      <c r="C904" s="1" t="s">
        <v>2609</v>
      </c>
      <c r="D904" s="1" t="s">
        <v>63</v>
      </c>
      <c r="E904" s="1">
        <v>85024</v>
      </c>
      <c r="F904" s="1" t="s">
        <v>310</v>
      </c>
      <c r="G904" s="1" t="s">
        <v>2364</v>
      </c>
      <c r="H904" s="4" t="s">
        <v>2610</v>
      </c>
      <c r="I904" s="5" t="s">
        <v>57</v>
      </c>
      <c r="J904" s="5" t="s">
        <v>37</v>
      </c>
      <c r="K904" s="5" t="s">
        <v>37</v>
      </c>
      <c r="L904" s="7" t="s">
        <v>2611</v>
      </c>
      <c r="M904" s="5" t="s">
        <v>37</v>
      </c>
      <c r="N904" s="5" t="s">
        <v>37</v>
      </c>
      <c r="O904" s="5" t="s">
        <v>38</v>
      </c>
      <c r="P904" s="2">
        <v>45939</v>
      </c>
      <c r="Q904" s="2">
        <v>45964</v>
      </c>
      <c r="R904" s="1" t="s">
        <v>2474</v>
      </c>
      <c r="V904" s="46">
        <f>IF(
  OR(
    ISNUMBER(SEARCH("unable to locate acct", tblDocketedComments[[#This Row],[Docketed Consumer Comments]])),
    ISNUMBER(SEARCH("unknown", tblDocketedComments[[#This Row],[Docketed Consumer Comments]])),
    ISNUMBER(SEARCH("inactive", tblDocketedComments[[#This Row],[Docketed Consumer Comments]]))
  ),
  0,
  1
)</f>
        <v>1</v>
      </c>
    </row>
    <row r="905" spans="1:22" ht="11.65" customHeight="1">
      <c r="A905" s="2">
        <v>45907</v>
      </c>
      <c r="B905" s="1" t="s">
        <v>2612</v>
      </c>
      <c r="C905" s="1" t="s">
        <v>471</v>
      </c>
      <c r="D905" s="1" t="s">
        <v>112</v>
      </c>
      <c r="E905" s="1">
        <v>85387</v>
      </c>
      <c r="F905" s="1" t="s">
        <v>2613</v>
      </c>
      <c r="G905" s="1" t="s">
        <v>2364</v>
      </c>
      <c r="H905" s="4" t="s">
        <v>2614</v>
      </c>
      <c r="I905" s="5" t="s">
        <v>196</v>
      </c>
      <c r="J905" s="5" t="s">
        <v>37</v>
      </c>
      <c r="K905" s="5" t="s">
        <v>37</v>
      </c>
      <c r="L905" s="7" t="s">
        <v>2615</v>
      </c>
      <c r="M905" s="5" t="s">
        <v>37</v>
      </c>
      <c r="N905" s="5" t="s">
        <v>37</v>
      </c>
      <c r="O905" s="5" t="s">
        <v>38</v>
      </c>
      <c r="P905" s="5" t="s">
        <v>39</v>
      </c>
      <c r="Q905" s="2">
        <v>45964</v>
      </c>
      <c r="R905" s="1" t="s">
        <v>2616</v>
      </c>
      <c r="V905" s="46">
        <f>IF(
  OR(
    ISNUMBER(SEARCH("unable to locate acct", tblDocketedComments[[#This Row],[Docketed Consumer Comments]])),
    ISNUMBER(SEARCH("unknown", tblDocketedComments[[#This Row],[Docketed Consumer Comments]])),
    ISNUMBER(SEARCH("inactive", tblDocketedComments[[#This Row],[Docketed Consumer Comments]]))
  ),
  0,
  1
)</f>
        <v>1</v>
      </c>
    </row>
    <row r="906" spans="1:22" ht="11.65" customHeight="1">
      <c r="A906" s="2">
        <v>45907</v>
      </c>
      <c r="B906" s="1" t="s">
        <v>2617</v>
      </c>
      <c r="C906" s="1" t="s">
        <v>1918</v>
      </c>
      <c r="D906" s="1" t="s">
        <v>63</v>
      </c>
      <c r="E906" s="1">
        <v>85032</v>
      </c>
      <c r="F906" s="1" t="s">
        <v>2618</v>
      </c>
      <c r="G906" s="1" t="s">
        <v>2364</v>
      </c>
      <c r="H906" s="4" t="s">
        <v>2619</v>
      </c>
      <c r="I906" s="5" t="s">
        <v>73</v>
      </c>
      <c r="J906" s="5" t="s">
        <v>37</v>
      </c>
      <c r="K906" s="5" t="s">
        <v>37</v>
      </c>
      <c r="L906" s="5" t="s">
        <v>38</v>
      </c>
      <c r="M906" s="5" t="s">
        <v>37</v>
      </c>
      <c r="N906" s="5" t="s">
        <v>37</v>
      </c>
      <c r="O906" s="5" t="s">
        <v>38</v>
      </c>
      <c r="P906" s="5" t="s">
        <v>39</v>
      </c>
      <c r="Q906" s="2">
        <v>45964</v>
      </c>
      <c r="R906" s="1" t="s">
        <v>2620</v>
      </c>
      <c r="V906" s="46">
        <f>IF(
  OR(
    ISNUMBER(SEARCH("unable to locate acct", tblDocketedComments[[#This Row],[Docketed Consumer Comments]])),
    ISNUMBER(SEARCH("unknown", tblDocketedComments[[#This Row],[Docketed Consumer Comments]])),
    ISNUMBER(SEARCH("inactive", tblDocketedComments[[#This Row],[Docketed Consumer Comments]]))
  ),
  0,
  1
)</f>
        <v>1</v>
      </c>
    </row>
    <row r="907" spans="1:22" ht="11.65" customHeight="1">
      <c r="A907" s="2">
        <v>45907</v>
      </c>
      <c r="B907" s="1" t="s">
        <v>2621</v>
      </c>
      <c r="C907" s="1" t="s">
        <v>771</v>
      </c>
      <c r="D907" s="1" t="s">
        <v>264</v>
      </c>
      <c r="E907" s="1">
        <v>85541</v>
      </c>
      <c r="F907" s="1" t="s">
        <v>310</v>
      </c>
      <c r="G907" s="1" t="s">
        <v>2364</v>
      </c>
      <c r="H907" s="4" t="s">
        <v>27</v>
      </c>
      <c r="V907" s="46">
        <f>IF(
  OR(
    ISNUMBER(SEARCH("unable to locate acct", tblDocketedComments[[#This Row],[Docketed Consumer Comments]])),
    ISNUMBER(SEARCH("unknown", tblDocketedComments[[#This Row],[Docketed Consumer Comments]])),
    ISNUMBER(SEARCH("inactive", tblDocketedComments[[#This Row],[Docketed Consumer Comments]]))
  ),
  0,
  1
)</f>
        <v>1</v>
      </c>
    </row>
    <row r="908" spans="1:22" ht="11.65" customHeight="1">
      <c r="A908" s="2">
        <v>45907</v>
      </c>
      <c r="B908" s="1" t="s">
        <v>1190</v>
      </c>
      <c r="C908" s="1" t="s">
        <v>312</v>
      </c>
      <c r="D908" s="1" t="s">
        <v>63</v>
      </c>
      <c r="E908" s="1">
        <v>85027</v>
      </c>
      <c r="F908" s="1" t="s">
        <v>812</v>
      </c>
      <c r="G908" s="1" t="s">
        <v>2364</v>
      </c>
      <c r="H908" s="4" t="s">
        <v>2622</v>
      </c>
      <c r="I908" s="5" t="s">
        <v>36</v>
      </c>
      <c r="J908" s="5" t="s">
        <v>37</v>
      </c>
      <c r="K908" s="5" t="s">
        <v>37</v>
      </c>
      <c r="L908" s="5" t="s">
        <v>38</v>
      </c>
      <c r="M908" s="5" t="s">
        <v>37</v>
      </c>
      <c r="N908" s="5" t="s">
        <v>37</v>
      </c>
      <c r="O908" s="5" t="s">
        <v>38</v>
      </c>
      <c r="P908" s="5" t="s">
        <v>39</v>
      </c>
      <c r="Q908" s="2">
        <v>45964</v>
      </c>
      <c r="V908" s="46">
        <f>IF(
  OR(
    ISNUMBER(SEARCH("unable to locate acct", tblDocketedComments[[#This Row],[Docketed Consumer Comments]])),
    ISNUMBER(SEARCH("unknown", tblDocketedComments[[#This Row],[Docketed Consumer Comments]])),
    ISNUMBER(SEARCH("inactive", tblDocketedComments[[#This Row],[Docketed Consumer Comments]]))
  ),
  0,
  1
)</f>
        <v>1</v>
      </c>
    </row>
    <row r="909" spans="1:22" ht="11.65" customHeight="1">
      <c r="A909" s="2">
        <v>45907</v>
      </c>
      <c r="B909" s="1" t="s">
        <v>2623</v>
      </c>
      <c r="C909" s="1" t="s">
        <v>1447</v>
      </c>
      <c r="D909" s="1" t="s">
        <v>63</v>
      </c>
      <c r="E909" s="1">
        <v>85008</v>
      </c>
      <c r="F909" s="1" t="s">
        <v>310</v>
      </c>
      <c r="G909" s="1" t="s">
        <v>2364</v>
      </c>
      <c r="H909" s="4" t="s">
        <v>2624</v>
      </c>
      <c r="I909" s="5" t="s">
        <v>126</v>
      </c>
      <c r="J909" s="5" t="s">
        <v>37</v>
      </c>
      <c r="K909" s="5" t="s">
        <v>37</v>
      </c>
      <c r="L909" s="5" t="s">
        <v>2625</v>
      </c>
      <c r="M909" s="5" t="s">
        <v>37</v>
      </c>
      <c r="N909" s="5" t="s">
        <v>37</v>
      </c>
      <c r="O909" s="5" t="s">
        <v>38</v>
      </c>
      <c r="P909" s="5" t="s">
        <v>39</v>
      </c>
      <c r="Q909" s="2">
        <v>45964</v>
      </c>
      <c r="V909" s="46">
        <f>IF(
  OR(
    ISNUMBER(SEARCH("unable to locate acct", tblDocketedComments[[#This Row],[Docketed Consumer Comments]])),
    ISNUMBER(SEARCH("unknown", tblDocketedComments[[#This Row],[Docketed Consumer Comments]])),
    ISNUMBER(SEARCH("inactive", tblDocketedComments[[#This Row],[Docketed Consumer Comments]]))
  ),
  0,
  1
)</f>
        <v>1</v>
      </c>
    </row>
    <row r="910" spans="1:22" ht="11.65" customHeight="1">
      <c r="A910" s="2">
        <v>45907</v>
      </c>
      <c r="B910" s="1" t="s">
        <v>2626</v>
      </c>
      <c r="C910" s="1" t="s">
        <v>427</v>
      </c>
      <c r="D910" s="1" t="s">
        <v>112</v>
      </c>
      <c r="E910" s="1">
        <v>85379</v>
      </c>
      <c r="F910" s="1" t="s">
        <v>2414</v>
      </c>
      <c r="G910" s="1" t="s">
        <v>2364</v>
      </c>
      <c r="H910" s="4" t="s">
        <v>2627</v>
      </c>
      <c r="I910" s="5" t="s">
        <v>73</v>
      </c>
      <c r="J910" s="5" t="s">
        <v>37</v>
      </c>
      <c r="K910" s="5" t="s">
        <v>37</v>
      </c>
      <c r="L910" s="7" t="s">
        <v>2628</v>
      </c>
      <c r="M910" s="5" t="s">
        <v>37</v>
      </c>
      <c r="N910" s="5" t="s">
        <v>37</v>
      </c>
      <c r="O910" s="5" t="s">
        <v>38</v>
      </c>
      <c r="P910" s="2">
        <v>45939</v>
      </c>
      <c r="Q910" s="2">
        <v>45964</v>
      </c>
      <c r="R910" s="1" t="s">
        <v>2629</v>
      </c>
      <c r="V910" s="46">
        <f>IF(
  OR(
    ISNUMBER(SEARCH("unable to locate acct", tblDocketedComments[[#This Row],[Docketed Consumer Comments]])),
    ISNUMBER(SEARCH("unknown", tblDocketedComments[[#This Row],[Docketed Consumer Comments]])),
    ISNUMBER(SEARCH("inactive", tblDocketedComments[[#This Row],[Docketed Consumer Comments]]))
  ),
  0,
  1
)</f>
        <v>1</v>
      </c>
    </row>
    <row r="911" spans="1:22" ht="11.65" customHeight="1">
      <c r="A911" s="2">
        <v>45907</v>
      </c>
      <c r="B911" s="1" t="s">
        <v>2630</v>
      </c>
      <c r="C911" s="1" t="s">
        <v>131</v>
      </c>
      <c r="D911" s="1" t="s">
        <v>370</v>
      </c>
      <c r="E911" s="1">
        <v>85225</v>
      </c>
      <c r="F911" s="1" t="s">
        <v>310</v>
      </c>
      <c r="G911" s="1" t="s">
        <v>2364</v>
      </c>
      <c r="H911" s="4" t="s">
        <v>2631</v>
      </c>
      <c r="I911" s="5" t="s">
        <v>243</v>
      </c>
      <c r="J911" s="5" t="s">
        <v>37</v>
      </c>
      <c r="K911" s="5" t="s">
        <v>37</v>
      </c>
      <c r="L911" s="5" t="s">
        <v>389</v>
      </c>
      <c r="M911" s="5" t="s">
        <v>37</v>
      </c>
      <c r="N911" s="5" t="s">
        <v>37</v>
      </c>
      <c r="O911" s="5" t="s">
        <v>38</v>
      </c>
      <c r="P911" s="5" t="s">
        <v>39</v>
      </c>
      <c r="Q911" s="2">
        <v>45964</v>
      </c>
      <c r="V911" s="46">
        <f>IF(
  OR(
    ISNUMBER(SEARCH("unable to locate acct", tblDocketedComments[[#This Row],[Docketed Consumer Comments]])),
    ISNUMBER(SEARCH("unknown", tblDocketedComments[[#This Row],[Docketed Consumer Comments]])),
    ISNUMBER(SEARCH("inactive", tblDocketedComments[[#This Row],[Docketed Consumer Comments]]))
  ),
  0,
  1
)</f>
        <v>1</v>
      </c>
    </row>
    <row r="912" spans="1:22" ht="11.65" customHeight="1">
      <c r="A912" s="2">
        <v>45907</v>
      </c>
      <c r="B912" s="1" t="s">
        <v>2632</v>
      </c>
      <c r="C912" s="1" t="s">
        <v>2633</v>
      </c>
      <c r="D912" s="1" t="s">
        <v>125</v>
      </c>
      <c r="E912" s="1">
        <v>85259</v>
      </c>
      <c r="F912" s="1" t="s">
        <v>310</v>
      </c>
      <c r="G912" s="1" t="s">
        <v>2364</v>
      </c>
      <c r="H912" s="4" t="s">
        <v>27</v>
      </c>
      <c r="V912" s="46">
        <f>IF(
  OR(
    ISNUMBER(SEARCH("unable to locate acct", tblDocketedComments[[#This Row],[Docketed Consumer Comments]])),
    ISNUMBER(SEARCH("unknown", tblDocketedComments[[#This Row],[Docketed Consumer Comments]])),
    ISNUMBER(SEARCH("inactive", tblDocketedComments[[#This Row],[Docketed Consumer Comments]]))
  ),
  0,
  1
)</f>
        <v>1</v>
      </c>
    </row>
    <row r="913" spans="1:22" ht="11.65" customHeight="1">
      <c r="A913" s="2">
        <v>45907</v>
      </c>
      <c r="B913" s="1" t="s">
        <v>2634</v>
      </c>
      <c r="C913" s="1" t="s">
        <v>2562</v>
      </c>
      <c r="D913" s="1" t="s">
        <v>1204</v>
      </c>
      <c r="E913" s="1">
        <v>85355</v>
      </c>
      <c r="F913" s="1" t="s">
        <v>2635</v>
      </c>
      <c r="G913" s="1" t="s">
        <v>2364</v>
      </c>
      <c r="H913" s="4" t="s">
        <v>2636</v>
      </c>
      <c r="I913" s="5" t="s">
        <v>36</v>
      </c>
      <c r="J913" s="5" t="s">
        <v>37</v>
      </c>
      <c r="K913" s="5" t="s">
        <v>37</v>
      </c>
      <c r="L913" s="5" t="s">
        <v>38</v>
      </c>
      <c r="M913" s="5" t="s">
        <v>38</v>
      </c>
      <c r="N913" s="13">
        <v>189.57</v>
      </c>
      <c r="O913" s="5" t="s">
        <v>38</v>
      </c>
      <c r="P913" s="5" t="s">
        <v>39</v>
      </c>
      <c r="Q913" s="2">
        <v>45964</v>
      </c>
      <c r="V913" s="46">
        <f>IF(
  OR(
    ISNUMBER(SEARCH("unable to locate acct", tblDocketedComments[[#This Row],[Docketed Consumer Comments]])),
    ISNUMBER(SEARCH("unknown", tblDocketedComments[[#This Row],[Docketed Consumer Comments]])),
    ISNUMBER(SEARCH("inactive", tblDocketedComments[[#This Row],[Docketed Consumer Comments]]))
  ),
  0,
  1
)</f>
        <v>1</v>
      </c>
    </row>
    <row r="914" spans="1:22" ht="11.65" customHeight="1">
      <c r="A914" s="2">
        <v>45907</v>
      </c>
      <c r="B914" s="1" t="s">
        <v>2637</v>
      </c>
      <c r="C914" s="1" t="s">
        <v>2638</v>
      </c>
      <c r="D914" s="1" t="s">
        <v>202</v>
      </c>
      <c r="E914" s="1">
        <v>85383</v>
      </c>
      <c r="F914" s="1" t="s">
        <v>31</v>
      </c>
      <c r="G914" s="1" t="s">
        <v>2364</v>
      </c>
      <c r="H914" s="19" t="s">
        <v>2639</v>
      </c>
      <c r="I914" s="5" t="s">
        <v>36</v>
      </c>
      <c r="J914" s="5" t="s">
        <v>37</v>
      </c>
      <c r="K914" s="5" t="s">
        <v>37</v>
      </c>
      <c r="L914" s="5" t="s">
        <v>38</v>
      </c>
      <c r="M914" s="5" t="s">
        <v>37</v>
      </c>
      <c r="N914" s="5" t="s">
        <v>37</v>
      </c>
      <c r="O914" s="5" t="s">
        <v>38</v>
      </c>
      <c r="P914" s="5" t="s">
        <v>39</v>
      </c>
      <c r="Q914" s="2">
        <v>45964</v>
      </c>
      <c r="V914" s="46">
        <f>IF(
  OR(
    ISNUMBER(SEARCH("unable to locate acct", tblDocketedComments[[#This Row],[Docketed Consumer Comments]])),
    ISNUMBER(SEARCH("unknown", tblDocketedComments[[#This Row],[Docketed Consumer Comments]])),
    ISNUMBER(SEARCH("inactive", tblDocketedComments[[#This Row],[Docketed Consumer Comments]]))
  ),
  0,
  1
)</f>
        <v>1</v>
      </c>
    </row>
    <row r="915" spans="1:22" ht="11.65" customHeight="1">
      <c r="A915" s="2">
        <v>45907</v>
      </c>
      <c r="B915" s="1" t="s">
        <v>2640</v>
      </c>
      <c r="C915" s="1" t="s">
        <v>757</v>
      </c>
      <c r="D915" s="1" t="s">
        <v>2641</v>
      </c>
      <c r="E915" s="1">
        <v>85087</v>
      </c>
      <c r="F915" s="1" t="s">
        <v>31</v>
      </c>
      <c r="G915" s="1" t="s">
        <v>2364</v>
      </c>
      <c r="H915" s="4" t="s">
        <v>2642</v>
      </c>
      <c r="I915" s="5" t="s">
        <v>250</v>
      </c>
      <c r="J915" s="5" t="s">
        <v>37</v>
      </c>
      <c r="K915" s="5" t="s">
        <v>37</v>
      </c>
      <c r="L915" s="5" t="s">
        <v>38</v>
      </c>
      <c r="M915" s="5" t="s">
        <v>37</v>
      </c>
      <c r="N915" s="5" t="s">
        <v>37</v>
      </c>
      <c r="O915" s="5" t="s">
        <v>38</v>
      </c>
      <c r="P915" s="5" t="s">
        <v>39</v>
      </c>
      <c r="Q915" s="2">
        <v>45964</v>
      </c>
      <c r="V915" s="46">
        <f>IF(
  OR(
    ISNUMBER(SEARCH("unable to locate acct", tblDocketedComments[[#This Row],[Docketed Consumer Comments]])),
    ISNUMBER(SEARCH("unknown", tblDocketedComments[[#This Row],[Docketed Consumer Comments]])),
    ISNUMBER(SEARCH("inactive", tblDocketedComments[[#This Row],[Docketed Consumer Comments]]))
  ),
  0,
  1
)</f>
        <v>1</v>
      </c>
    </row>
    <row r="916" spans="1:22" ht="11.65" customHeight="1">
      <c r="A916" s="2">
        <v>45907</v>
      </c>
      <c r="B916" s="1" t="s">
        <v>841</v>
      </c>
      <c r="C916" s="1" t="s">
        <v>2643</v>
      </c>
      <c r="D916" s="1" t="s">
        <v>63</v>
      </c>
      <c r="E916" s="1">
        <v>85013</v>
      </c>
      <c r="F916" s="1" t="s">
        <v>310</v>
      </c>
      <c r="G916" s="1" t="s">
        <v>2364</v>
      </c>
      <c r="H916" s="4" t="s">
        <v>2644</v>
      </c>
      <c r="I916" s="5" t="s">
        <v>126</v>
      </c>
      <c r="J916" s="5" t="s">
        <v>37</v>
      </c>
      <c r="K916" s="5" t="s">
        <v>37</v>
      </c>
      <c r="L916" s="5" t="s">
        <v>38</v>
      </c>
      <c r="M916" s="5" t="s">
        <v>37</v>
      </c>
      <c r="N916" s="5" t="s">
        <v>37</v>
      </c>
      <c r="O916" s="5" t="s">
        <v>38</v>
      </c>
      <c r="P916" s="5" t="s">
        <v>39</v>
      </c>
      <c r="Q916" s="2">
        <v>45964</v>
      </c>
      <c r="V916" s="46">
        <f>IF(
  OR(
    ISNUMBER(SEARCH("unable to locate acct", tblDocketedComments[[#This Row],[Docketed Consumer Comments]])),
    ISNUMBER(SEARCH("unknown", tblDocketedComments[[#This Row],[Docketed Consumer Comments]])),
    ISNUMBER(SEARCH("inactive", tblDocketedComments[[#This Row],[Docketed Consumer Comments]]))
  ),
  0,
  1
)</f>
        <v>1</v>
      </c>
    </row>
    <row r="917" spans="1:22" ht="11.65" customHeight="1">
      <c r="A917" s="2">
        <v>45907</v>
      </c>
      <c r="B917" s="1" t="s">
        <v>2645</v>
      </c>
      <c r="C917" s="1" t="s">
        <v>2646</v>
      </c>
      <c r="D917" s="1" t="s">
        <v>63</v>
      </c>
      <c r="E917" s="1">
        <v>85023</v>
      </c>
      <c r="F917" s="1" t="s">
        <v>2647</v>
      </c>
      <c r="G917" s="1" t="s">
        <v>2364</v>
      </c>
      <c r="H917" s="4" t="s">
        <v>2648</v>
      </c>
      <c r="I917" s="5" t="s">
        <v>73</v>
      </c>
      <c r="J917" s="5" t="s">
        <v>37</v>
      </c>
      <c r="K917" s="5" t="s">
        <v>37</v>
      </c>
      <c r="L917" s="5" t="s">
        <v>38</v>
      </c>
      <c r="M917" s="5" t="s">
        <v>37</v>
      </c>
      <c r="N917" s="5" t="s">
        <v>37</v>
      </c>
      <c r="O917" s="5" t="s">
        <v>38</v>
      </c>
      <c r="P917" s="5" t="s">
        <v>39</v>
      </c>
      <c r="Q917" s="2">
        <v>45964</v>
      </c>
      <c r="V917" s="46">
        <f>IF(
  OR(
    ISNUMBER(SEARCH("unable to locate acct", tblDocketedComments[[#This Row],[Docketed Consumer Comments]])),
    ISNUMBER(SEARCH("unknown", tblDocketedComments[[#This Row],[Docketed Consumer Comments]])),
    ISNUMBER(SEARCH("inactive", tblDocketedComments[[#This Row],[Docketed Consumer Comments]]))
  ),
  0,
  1
)</f>
        <v>1</v>
      </c>
    </row>
    <row r="918" spans="1:22" ht="11.65" customHeight="1">
      <c r="A918" s="2">
        <v>45907</v>
      </c>
      <c r="B918" s="1" t="s">
        <v>2649</v>
      </c>
      <c r="C918" s="1" t="s">
        <v>2650</v>
      </c>
      <c r="D918" s="1" t="s">
        <v>63</v>
      </c>
      <c r="E918" s="1">
        <v>85027</v>
      </c>
      <c r="F918" s="1" t="s">
        <v>31</v>
      </c>
      <c r="G918" s="1" t="s">
        <v>2364</v>
      </c>
      <c r="H918" s="4" t="s">
        <v>27</v>
      </c>
      <c r="V918" s="46">
        <f>IF(
  OR(
    ISNUMBER(SEARCH("unable to locate acct", tblDocketedComments[[#This Row],[Docketed Consumer Comments]])),
    ISNUMBER(SEARCH("unknown", tblDocketedComments[[#This Row],[Docketed Consumer Comments]])),
    ISNUMBER(SEARCH("inactive", tblDocketedComments[[#This Row],[Docketed Consumer Comments]]))
  ),
  0,
  1
)</f>
        <v>1</v>
      </c>
    </row>
    <row r="919" spans="1:22" ht="11.65" customHeight="1">
      <c r="A919" s="2">
        <v>45907</v>
      </c>
      <c r="B919" s="1" t="s">
        <v>2651</v>
      </c>
      <c r="C919" s="1" t="s">
        <v>2652</v>
      </c>
      <c r="D919" s="1" t="s">
        <v>202</v>
      </c>
      <c r="E919" s="1">
        <v>85383</v>
      </c>
      <c r="F919" s="1" t="s">
        <v>2653</v>
      </c>
      <c r="G919" s="1" t="s">
        <v>2364</v>
      </c>
      <c r="H919" s="4" t="s">
        <v>2654</v>
      </c>
      <c r="I919" s="5" t="s">
        <v>36</v>
      </c>
      <c r="J919" s="5" t="s">
        <v>37</v>
      </c>
      <c r="K919" s="5" t="s">
        <v>37</v>
      </c>
      <c r="L919" s="5" t="s">
        <v>38</v>
      </c>
      <c r="M919" s="5" t="s">
        <v>37</v>
      </c>
      <c r="N919" s="5" t="s">
        <v>37</v>
      </c>
      <c r="O919" s="5" t="s">
        <v>38</v>
      </c>
      <c r="P919" s="5" t="s">
        <v>39</v>
      </c>
      <c r="Q919" s="2">
        <v>45964</v>
      </c>
      <c r="V919" s="46">
        <f>IF(
  OR(
    ISNUMBER(SEARCH("unable to locate acct", tblDocketedComments[[#This Row],[Docketed Consumer Comments]])),
    ISNUMBER(SEARCH("unknown", tblDocketedComments[[#This Row],[Docketed Consumer Comments]])),
    ISNUMBER(SEARCH("inactive", tblDocketedComments[[#This Row],[Docketed Consumer Comments]]))
  ),
  0,
  1
)</f>
        <v>1</v>
      </c>
    </row>
    <row r="920" spans="1:22" ht="11.65" customHeight="1">
      <c r="A920" s="2">
        <v>45907</v>
      </c>
      <c r="B920" s="1" t="s">
        <v>508</v>
      </c>
      <c r="C920" s="1" t="s">
        <v>965</v>
      </c>
      <c r="D920" s="1" t="s">
        <v>125</v>
      </c>
      <c r="E920" s="1">
        <v>85266</v>
      </c>
      <c r="F920" s="1" t="s">
        <v>31</v>
      </c>
      <c r="G920" s="1" t="s">
        <v>2364</v>
      </c>
      <c r="H920" s="19" t="s">
        <v>2655</v>
      </c>
      <c r="I920" s="5" t="s">
        <v>36</v>
      </c>
      <c r="J920" s="5" t="s">
        <v>37</v>
      </c>
      <c r="K920" s="5" t="s">
        <v>37</v>
      </c>
      <c r="L920" s="5" t="s">
        <v>38</v>
      </c>
      <c r="M920" s="5" t="s">
        <v>37</v>
      </c>
      <c r="N920" s="5" t="s">
        <v>37</v>
      </c>
      <c r="O920" s="5" t="s">
        <v>38</v>
      </c>
      <c r="P920" s="5" t="s">
        <v>39</v>
      </c>
      <c r="Q920" s="2">
        <v>45964</v>
      </c>
      <c r="V920" s="46">
        <f>IF(
  OR(
    ISNUMBER(SEARCH("unable to locate acct", tblDocketedComments[[#This Row],[Docketed Consumer Comments]])),
    ISNUMBER(SEARCH("unknown", tblDocketedComments[[#This Row],[Docketed Consumer Comments]])),
    ISNUMBER(SEARCH("inactive", tblDocketedComments[[#This Row],[Docketed Consumer Comments]]))
  ),
  0,
  1
)</f>
        <v>1</v>
      </c>
    </row>
    <row r="921" spans="1:22" ht="11.65" customHeight="1">
      <c r="A921" s="2">
        <v>45907</v>
      </c>
      <c r="B921" s="1" t="s">
        <v>686</v>
      </c>
      <c r="C921" s="1" t="s">
        <v>481</v>
      </c>
      <c r="D921" s="1" t="s">
        <v>202</v>
      </c>
      <c r="E921" s="1">
        <v>85383</v>
      </c>
      <c r="F921" s="1" t="s">
        <v>310</v>
      </c>
      <c r="G921" s="1" t="s">
        <v>2364</v>
      </c>
      <c r="H921" s="4" t="s">
        <v>209</v>
      </c>
      <c r="V921" s="46">
        <f>IF(
  OR(
    ISNUMBER(SEARCH("unable to locate acct", tblDocketedComments[[#This Row],[Docketed Consumer Comments]])),
    ISNUMBER(SEARCH("unknown", tblDocketedComments[[#This Row],[Docketed Consumer Comments]])),
    ISNUMBER(SEARCH("inactive", tblDocketedComments[[#This Row],[Docketed Consumer Comments]]))
  ),
  0,
  1
)</f>
        <v>1</v>
      </c>
    </row>
    <row r="922" spans="1:22" ht="11.65" customHeight="1">
      <c r="A922" s="2">
        <v>45907</v>
      </c>
      <c r="B922" s="1" t="s">
        <v>2656</v>
      </c>
      <c r="C922" s="1" t="s">
        <v>2657</v>
      </c>
      <c r="D922" s="1" t="s">
        <v>202</v>
      </c>
      <c r="E922" s="1">
        <v>85381</v>
      </c>
      <c r="F922" s="1" t="s">
        <v>310</v>
      </c>
      <c r="G922" s="1" t="s">
        <v>2364</v>
      </c>
      <c r="H922" s="4" t="s">
        <v>27</v>
      </c>
      <c r="V922" s="46">
        <f>IF(
  OR(
    ISNUMBER(SEARCH("unable to locate acct", tblDocketedComments[[#This Row],[Docketed Consumer Comments]])),
    ISNUMBER(SEARCH("unknown", tblDocketedComments[[#This Row],[Docketed Consumer Comments]])),
    ISNUMBER(SEARCH("inactive", tblDocketedComments[[#This Row],[Docketed Consumer Comments]]))
  ),
  0,
  1
)</f>
        <v>1</v>
      </c>
    </row>
    <row r="923" spans="1:22" ht="11.65" customHeight="1">
      <c r="A923" s="2">
        <v>45907</v>
      </c>
      <c r="B923" s="1" t="s">
        <v>1500</v>
      </c>
      <c r="C923" s="1" t="s">
        <v>2658</v>
      </c>
      <c r="D923" s="1" t="s">
        <v>169</v>
      </c>
      <c r="E923" s="1">
        <v>85395</v>
      </c>
      <c r="F923" s="1" t="s">
        <v>31</v>
      </c>
      <c r="G923" s="1" t="s">
        <v>2364</v>
      </c>
      <c r="H923" s="19" t="s">
        <v>2659</v>
      </c>
      <c r="I923" s="5" t="s">
        <v>1684</v>
      </c>
      <c r="J923" s="5" t="s">
        <v>37</v>
      </c>
      <c r="K923" s="5" t="s">
        <v>37</v>
      </c>
      <c r="L923" s="5" t="s">
        <v>38</v>
      </c>
      <c r="M923" s="5" t="s">
        <v>37</v>
      </c>
      <c r="N923" s="5" t="s">
        <v>37</v>
      </c>
      <c r="O923" s="5" t="s">
        <v>38</v>
      </c>
      <c r="P923" s="5" t="s">
        <v>39</v>
      </c>
      <c r="Q923" s="2">
        <v>45964</v>
      </c>
      <c r="V923" s="46">
        <f>IF(
  OR(
    ISNUMBER(SEARCH("unable to locate acct", tblDocketedComments[[#This Row],[Docketed Consumer Comments]])),
    ISNUMBER(SEARCH("unknown", tblDocketedComments[[#This Row],[Docketed Consumer Comments]])),
    ISNUMBER(SEARCH("inactive", tblDocketedComments[[#This Row],[Docketed Consumer Comments]]))
  ),
  0,
  1
)</f>
        <v>1</v>
      </c>
    </row>
    <row r="924" spans="1:22" ht="11.65" customHeight="1">
      <c r="A924" s="2">
        <v>45907</v>
      </c>
      <c r="B924" s="1" t="s">
        <v>2660</v>
      </c>
      <c r="C924" s="1" t="s">
        <v>2019</v>
      </c>
      <c r="D924" s="1" t="s">
        <v>169</v>
      </c>
      <c r="E924" s="1">
        <v>85395</v>
      </c>
      <c r="F924" s="1" t="s">
        <v>2548</v>
      </c>
      <c r="G924" s="1" t="s">
        <v>2364</v>
      </c>
      <c r="H924" s="4" t="s">
        <v>2661</v>
      </c>
      <c r="I924" s="5" t="s">
        <v>36</v>
      </c>
      <c r="J924" s="5" t="s">
        <v>37</v>
      </c>
      <c r="K924" s="5" t="s">
        <v>37</v>
      </c>
      <c r="L924" s="5" t="s">
        <v>38</v>
      </c>
      <c r="M924" s="5" t="s">
        <v>37</v>
      </c>
      <c r="N924" s="5" t="s">
        <v>37</v>
      </c>
      <c r="O924" s="5" t="s">
        <v>38</v>
      </c>
      <c r="P924" s="5" t="s">
        <v>39</v>
      </c>
      <c r="Q924" s="2">
        <v>45964</v>
      </c>
      <c r="V924" s="46">
        <f>IF(
  OR(
    ISNUMBER(SEARCH("unable to locate acct", tblDocketedComments[[#This Row],[Docketed Consumer Comments]])),
    ISNUMBER(SEARCH("unknown", tblDocketedComments[[#This Row],[Docketed Consumer Comments]])),
    ISNUMBER(SEARCH("inactive", tblDocketedComments[[#This Row],[Docketed Consumer Comments]]))
  ),
  0,
  1
)</f>
        <v>1</v>
      </c>
    </row>
    <row r="925" spans="1:22" ht="11.65" customHeight="1">
      <c r="A925" s="2">
        <v>45907</v>
      </c>
      <c r="B925" s="1" t="s">
        <v>2662</v>
      </c>
      <c r="C925" s="1" t="s">
        <v>2663</v>
      </c>
      <c r="D925" s="1" t="s">
        <v>129</v>
      </c>
      <c r="E925" s="1">
        <v>85223</v>
      </c>
      <c r="F925" s="1" t="s">
        <v>310</v>
      </c>
      <c r="G925" s="1" t="s">
        <v>2364</v>
      </c>
      <c r="H925" s="4" t="s">
        <v>2664</v>
      </c>
      <c r="I925" s="5" t="s">
        <v>57</v>
      </c>
      <c r="J925" s="5" t="s">
        <v>37</v>
      </c>
      <c r="K925" s="5" t="s">
        <v>37</v>
      </c>
      <c r="L925" s="5" t="s">
        <v>2665</v>
      </c>
      <c r="M925" s="5" t="s">
        <v>37</v>
      </c>
      <c r="N925" s="5" t="s">
        <v>37</v>
      </c>
      <c r="O925" s="5" t="s">
        <v>38</v>
      </c>
      <c r="P925" s="5" t="s">
        <v>39</v>
      </c>
      <c r="Q925" s="2">
        <v>45964</v>
      </c>
      <c r="V925" s="46">
        <f>IF(
  OR(
    ISNUMBER(SEARCH("unable to locate acct", tblDocketedComments[[#This Row],[Docketed Consumer Comments]])),
    ISNUMBER(SEARCH("unknown", tblDocketedComments[[#This Row],[Docketed Consumer Comments]])),
    ISNUMBER(SEARCH("inactive", tblDocketedComments[[#This Row],[Docketed Consumer Comments]]))
  ),
  0,
  1
)</f>
        <v>1</v>
      </c>
    </row>
    <row r="926" spans="1:22" ht="11.65" customHeight="1">
      <c r="A926" s="2">
        <v>45907</v>
      </c>
      <c r="B926" s="1" t="s">
        <v>2666</v>
      </c>
      <c r="C926" s="1" t="s">
        <v>2667</v>
      </c>
      <c r="D926" s="1" t="s">
        <v>2668</v>
      </c>
      <c r="E926" s="1">
        <v>85086</v>
      </c>
      <c r="F926" s="1" t="s">
        <v>2669</v>
      </c>
      <c r="G926" s="1" t="s">
        <v>2364</v>
      </c>
      <c r="H926" s="4" t="s">
        <v>27</v>
      </c>
      <c r="V926" s="46">
        <f>IF(
  OR(
    ISNUMBER(SEARCH("unable to locate acct", tblDocketedComments[[#This Row],[Docketed Consumer Comments]])),
    ISNUMBER(SEARCH("unknown", tblDocketedComments[[#This Row],[Docketed Consumer Comments]])),
    ISNUMBER(SEARCH("inactive", tblDocketedComments[[#This Row],[Docketed Consumer Comments]]))
  ),
  0,
  1
)</f>
        <v>1</v>
      </c>
    </row>
    <row r="927" spans="1:22" ht="11.65" customHeight="1">
      <c r="A927" s="2">
        <v>45907</v>
      </c>
      <c r="B927" s="1" t="s">
        <v>2670</v>
      </c>
      <c r="C927" s="1" t="s">
        <v>2671</v>
      </c>
      <c r="D927" s="1" t="s">
        <v>136</v>
      </c>
      <c r="E927" s="1">
        <v>85377</v>
      </c>
      <c r="F927" s="1" t="s">
        <v>2672</v>
      </c>
      <c r="G927" s="1" t="s">
        <v>2364</v>
      </c>
      <c r="H927" s="4" t="s">
        <v>2673</v>
      </c>
      <c r="I927" s="5" t="s">
        <v>36</v>
      </c>
      <c r="J927" s="5" t="s">
        <v>37</v>
      </c>
      <c r="K927" s="5" t="s">
        <v>37</v>
      </c>
      <c r="L927" s="5" t="s">
        <v>38</v>
      </c>
      <c r="M927" s="5" t="s">
        <v>37</v>
      </c>
      <c r="N927" s="5" t="s">
        <v>37</v>
      </c>
      <c r="O927" s="5" t="s">
        <v>38</v>
      </c>
      <c r="P927" s="5" t="s">
        <v>39</v>
      </c>
      <c r="Q927" s="2">
        <v>45961</v>
      </c>
      <c r="V927" s="46">
        <f>IF(
  OR(
    ISNUMBER(SEARCH("unable to locate acct", tblDocketedComments[[#This Row],[Docketed Consumer Comments]])),
    ISNUMBER(SEARCH("unknown", tblDocketedComments[[#This Row],[Docketed Consumer Comments]])),
    ISNUMBER(SEARCH("inactive", tblDocketedComments[[#This Row],[Docketed Consumer Comments]]))
  ),
  0,
  1
)</f>
        <v>1</v>
      </c>
    </row>
    <row r="928" spans="1:22" ht="11.65" customHeight="1">
      <c r="A928" s="2">
        <v>45907</v>
      </c>
      <c r="B928" s="1" t="s">
        <v>2674</v>
      </c>
      <c r="C928" s="1" t="s">
        <v>2675</v>
      </c>
      <c r="D928" s="1" t="s">
        <v>880</v>
      </c>
      <c r="E928" s="1">
        <v>85086</v>
      </c>
      <c r="F928" s="1" t="s">
        <v>2676</v>
      </c>
      <c r="G928" s="1" t="s">
        <v>2364</v>
      </c>
      <c r="H928" s="4" t="s">
        <v>2677</v>
      </c>
      <c r="I928" s="5" t="s">
        <v>196</v>
      </c>
      <c r="J928" s="5" t="s">
        <v>37</v>
      </c>
      <c r="K928" s="5" t="s">
        <v>37</v>
      </c>
      <c r="L928" s="5" t="s">
        <v>2678</v>
      </c>
      <c r="M928" s="5" t="s">
        <v>37</v>
      </c>
      <c r="N928" s="5" t="s">
        <v>37</v>
      </c>
      <c r="O928" s="5" t="s">
        <v>38</v>
      </c>
      <c r="P928" s="5" t="s">
        <v>39</v>
      </c>
      <c r="Q928" s="2">
        <v>45961</v>
      </c>
      <c r="V928" s="46">
        <f>IF(
  OR(
    ISNUMBER(SEARCH("unable to locate acct", tblDocketedComments[[#This Row],[Docketed Consumer Comments]])),
    ISNUMBER(SEARCH("unknown", tblDocketedComments[[#This Row],[Docketed Consumer Comments]])),
    ISNUMBER(SEARCH("inactive", tblDocketedComments[[#This Row],[Docketed Consumer Comments]]))
  ),
  0,
  1
)</f>
        <v>1</v>
      </c>
    </row>
    <row r="929" spans="1:22" ht="11.65" customHeight="1">
      <c r="A929" s="2">
        <v>45907</v>
      </c>
      <c r="B929" s="1" t="s">
        <v>2679</v>
      </c>
      <c r="C929" s="1" t="s">
        <v>2680</v>
      </c>
      <c r="D929" s="1" t="s">
        <v>2681</v>
      </c>
      <c r="E929" s="1">
        <v>85342</v>
      </c>
      <c r="F929" s="1" t="s">
        <v>31</v>
      </c>
      <c r="G929" s="1" t="s">
        <v>2364</v>
      </c>
      <c r="H929" s="4" t="s">
        <v>27</v>
      </c>
      <c r="V929" s="46">
        <f>IF(
  OR(
    ISNUMBER(SEARCH("unable to locate acct", tblDocketedComments[[#This Row],[Docketed Consumer Comments]])),
    ISNUMBER(SEARCH("unknown", tblDocketedComments[[#This Row],[Docketed Consumer Comments]])),
    ISNUMBER(SEARCH("inactive", tblDocketedComments[[#This Row],[Docketed Consumer Comments]]))
  ),
  0,
  1
)</f>
        <v>1</v>
      </c>
    </row>
    <row r="930" spans="1:22" ht="11.65" customHeight="1">
      <c r="A930" s="2">
        <v>45907</v>
      </c>
      <c r="B930" s="1" t="s">
        <v>2682</v>
      </c>
      <c r="C930" s="1" t="s">
        <v>1127</v>
      </c>
      <c r="D930" s="1" t="s">
        <v>2681</v>
      </c>
      <c r="E930" s="1">
        <v>85342</v>
      </c>
      <c r="F930" s="1" t="s">
        <v>31</v>
      </c>
      <c r="G930" s="1" t="s">
        <v>2364</v>
      </c>
      <c r="H930" s="4" t="s">
        <v>2683</v>
      </c>
      <c r="I930" s="5" t="s">
        <v>36</v>
      </c>
      <c r="J930" s="5" t="s">
        <v>37</v>
      </c>
      <c r="K930" s="5" t="s">
        <v>37</v>
      </c>
      <c r="L930" s="5" t="s">
        <v>2684</v>
      </c>
      <c r="M930" s="5" t="s">
        <v>37</v>
      </c>
      <c r="N930" s="5" t="s">
        <v>37</v>
      </c>
      <c r="O930" s="5" t="s">
        <v>38</v>
      </c>
      <c r="P930" s="5" t="s">
        <v>39</v>
      </c>
      <c r="Q930" s="2">
        <v>45961</v>
      </c>
      <c r="V930" s="46">
        <f>IF(
  OR(
    ISNUMBER(SEARCH("unable to locate acct", tblDocketedComments[[#This Row],[Docketed Consumer Comments]])),
    ISNUMBER(SEARCH("unknown", tblDocketedComments[[#This Row],[Docketed Consumer Comments]])),
    ISNUMBER(SEARCH("inactive", tblDocketedComments[[#This Row],[Docketed Consumer Comments]]))
  ),
  0,
  1
)</f>
        <v>1</v>
      </c>
    </row>
    <row r="931" spans="1:22" ht="11.65" customHeight="1">
      <c r="A931" s="2">
        <v>45907</v>
      </c>
      <c r="B931" s="1" t="s">
        <v>2685</v>
      </c>
      <c r="C931" s="1" t="s">
        <v>2686</v>
      </c>
      <c r="D931" s="1" t="s">
        <v>202</v>
      </c>
      <c r="E931" s="1">
        <v>85383</v>
      </c>
      <c r="F931" s="1" t="s">
        <v>31</v>
      </c>
      <c r="G931" s="1" t="s">
        <v>2364</v>
      </c>
      <c r="H931" s="4" t="s">
        <v>2687</v>
      </c>
      <c r="I931" s="5" t="s">
        <v>73</v>
      </c>
      <c r="J931" s="5" t="s">
        <v>37</v>
      </c>
      <c r="K931" s="5" t="s">
        <v>37</v>
      </c>
      <c r="L931" s="5" t="s">
        <v>38</v>
      </c>
      <c r="M931" s="5" t="s">
        <v>37</v>
      </c>
      <c r="N931" s="5" t="s">
        <v>37</v>
      </c>
      <c r="O931" s="5" t="s">
        <v>38</v>
      </c>
      <c r="P931" s="5" t="s">
        <v>39</v>
      </c>
      <c r="Q931" s="2">
        <v>45961</v>
      </c>
      <c r="V931" s="46">
        <f>IF(
  OR(
    ISNUMBER(SEARCH("unable to locate acct", tblDocketedComments[[#This Row],[Docketed Consumer Comments]])),
    ISNUMBER(SEARCH("unknown", tblDocketedComments[[#This Row],[Docketed Consumer Comments]])),
    ISNUMBER(SEARCH("inactive", tblDocketedComments[[#This Row],[Docketed Consumer Comments]]))
  ),
  0,
  1
)</f>
        <v>1</v>
      </c>
    </row>
    <row r="932" spans="1:22" ht="11.65" customHeight="1">
      <c r="A932" s="2">
        <v>45907</v>
      </c>
      <c r="B932" s="1" t="s">
        <v>2688</v>
      </c>
      <c r="C932" s="1" t="s">
        <v>2689</v>
      </c>
      <c r="D932" s="1" t="s">
        <v>63</v>
      </c>
      <c r="E932" s="1">
        <v>85028</v>
      </c>
      <c r="F932" s="1" t="s">
        <v>310</v>
      </c>
      <c r="G932" s="1" t="s">
        <v>2364</v>
      </c>
      <c r="H932" s="4" t="s">
        <v>27</v>
      </c>
      <c r="V932" s="46">
        <f>IF(
  OR(
    ISNUMBER(SEARCH("unable to locate acct", tblDocketedComments[[#This Row],[Docketed Consumer Comments]])),
    ISNUMBER(SEARCH("unknown", tblDocketedComments[[#This Row],[Docketed Consumer Comments]])),
    ISNUMBER(SEARCH("inactive", tblDocketedComments[[#This Row],[Docketed Consumer Comments]]))
  ),
  0,
  1
)</f>
        <v>1</v>
      </c>
    </row>
    <row r="933" spans="1:22" ht="11.65" customHeight="1">
      <c r="A933" s="2">
        <v>45907</v>
      </c>
      <c r="B933" s="1" t="s">
        <v>2690</v>
      </c>
      <c r="C933" s="1" t="s">
        <v>2691</v>
      </c>
      <c r="D933" s="1" t="s">
        <v>112</v>
      </c>
      <c r="E933" s="1">
        <v>85388</v>
      </c>
      <c r="F933" s="1" t="s">
        <v>310</v>
      </c>
      <c r="G933" s="1" t="s">
        <v>2364</v>
      </c>
      <c r="H933" s="4" t="s">
        <v>2692</v>
      </c>
      <c r="I933" s="5" t="s">
        <v>250</v>
      </c>
      <c r="J933" s="5" t="s">
        <v>37</v>
      </c>
      <c r="K933" s="5" t="s">
        <v>37</v>
      </c>
      <c r="L933" s="5" t="s">
        <v>38</v>
      </c>
      <c r="M933" s="5" t="s">
        <v>37</v>
      </c>
      <c r="N933" s="5" t="s">
        <v>37</v>
      </c>
      <c r="O933" s="5" t="s">
        <v>38</v>
      </c>
      <c r="P933" s="5" t="s">
        <v>39</v>
      </c>
      <c r="Q933" s="2">
        <v>45961</v>
      </c>
      <c r="V933" s="46">
        <f>IF(
  OR(
    ISNUMBER(SEARCH("unable to locate acct", tblDocketedComments[[#This Row],[Docketed Consumer Comments]])),
    ISNUMBER(SEARCH("unknown", tblDocketedComments[[#This Row],[Docketed Consumer Comments]])),
    ISNUMBER(SEARCH("inactive", tblDocketedComments[[#This Row],[Docketed Consumer Comments]]))
  ),
  0,
  1
)</f>
        <v>1</v>
      </c>
    </row>
    <row r="934" spans="1:22" ht="11.65" customHeight="1">
      <c r="A934" s="2">
        <v>45907</v>
      </c>
      <c r="B934" s="1" t="s">
        <v>2693</v>
      </c>
      <c r="C934" s="1" t="s">
        <v>1824</v>
      </c>
      <c r="D934" s="1" t="s">
        <v>202</v>
      </c>
      <c r="E934" s="1">
        <v>85345</v>
      </c>
      <c r="F934" s="1" t="s">
        <v>310</v>
      </c>
      <c r="G934" s="1" t="s">
        <v>2364</v>
      </c>
      <c r="H934" s="4" t="s">
        <v>2694</v>
      </c>
      <c r="I934" s="5" t="s">
        <v>57</v>
      </c>
      <c r="J934" s="5" t="s">
        <v>37</v>
      </c>
      <c r="K934" s="5" t="s">
        <v>37</v>
      </c>
      <c r="L934" s="7" t="s">
        <v>2695</v>
      </c>
      <c r="M934" s="5" t="s">
        <v>37</v>
      </c>
      <c r="N934" s="5" t="s">
        <v>37</v>
      </c>
      <c r="O934" s="5" t="s">
        <v>38</v>
      </c>
      <c r="P934" s="2">
        <v>45939</v>
      </c>
      <c r="Q934" s="2">
        <v>45961</v>
      </c>
      <c r="R934" s="1" t="s">
        <v>2474</v>
      </c>
      <c r="V934" s="46">
        <f>IF(
  OR(
    ISNUMBER(SEARCH("unable to locate acct", tblDocketedComments[[#This Row],[Docketed Consumer Comments]])),
    ISNUMBER(SEARCH("unknown", tblDocketedComments[[#This Row],[Docketed Consumer Comments]])),
    ISNUMBER(SEARCH("inactive", tblDocketedComments[[#This Row],[Docketed Consumer Comments]]))
  ),
  0,
  1
)</f>
        <v>1</v>
      </c>
    </row>
    <row r="935" spans="1:22" ht="11.65" customHeight="1">
      <c r="A935" s="2">
        <v>45907</v>
      </c>
      <c r="B935" s="1" t="s">
        <v>2696</v>
      </c>
      <c r="C935" s="1" t="s">
        <v>1647</v>
      </c>
      <c r="D935" s="1" t="s">
        <v>125</v>
      </c>
      <c r="E935" s="1">
        <v>85260</v>
      </c>
      <c r="F935" s="1" t="s">
        <v>310</v>
      </c>
      <c r="G935" s="1" t="s">
        <v>2364</v>
      </c>
      <c r="H935" s="4" t="s">
        <v>2697</v>
      </c>
      <c r="I935" s="5" t="s">
        <v>196</v>
      </c>
      <c r="J935" s="5" t="s">
        <v>37</v>
      </c>
      <c r="K935" s="5" t="s">
        <v>37</v>
      </c>
      <c r="L935" s="5" t="s">
        <v>38</v>
      </c>
      <c r="M935" s="5" t="s">
        <v>37</v>
      </c>
      <c r="N935" s="5" t="s">
        <v>37</v>
      </c>
      <c r="O935" s="5" t="s">
        <v>38</v>
      </c>
      <c r="P935" s="2">
        <v>45938</v>
      </c>
      <c r="Q935" s="2">
        <v>45961</v>
      </c>
      <c r="R935" s="1" t="s">
        <v>2698</v>
      </c>
      <c r="V935" s="46">
        <f>IF(
  OR(
    ISNUMBER(SEARCH("unable to locate acct", tblDocketedComments[[#This Row],[Docketed Consumer Comments]])),
    ISNUMBER(SEARCH("unknown", tblDocketedComments[[#This Row],[Docketed Consumer Comments]])),
    ISNUMBER(SEARCH("inactive", tblDocketedComments[[#This Row],[Docketed Consumer Comments]]))
  ),
  0,
  1
)</f>
        <v>1</v>
      </c>
    </row>
    <row r="936" spans="1:22" ht="11.65" customHeight="1">
      <c r="A936" s="2">
        <v>45907</v>
      </c>
      <c r="B936" s="1" t="s">
        <v>538</v>
      </c>
      <c r="C936" s="1" t="s">
        <v>124</v>
      </c>
      <c r="D936" s="1" t="s">
        <v>504</v>
      </c>
      <c r="E936" s="1">
        <v>86001</v>
      </c>
      <c r="F936" s="1" t="s">
        <v>310</v>
      </c>
      <c r="G936" s="1" t="s">
        <v>2364</v>
      </c>
      <c r="H936" s="4" t="s">
        <v>2699</v>
      </c>
      <c r="I936" s="5" t="s">
        <v>73</v>
      </c>
      <c r="J936" s="5" t="s">
        <v>37</v>
      </c>
      <c r="K936" s="5" t="s">
        <v>37</v>
      </c>
      <c r="L936" s="5" t="s">
        <v>38</v>
      </c>
      <c r="M936" s="5" t="s">
        <v>37</v>
      </c>
      <c r="N936" s="5" t="s">
        <v>37</v>
      </c>
      <c r="O936" s="5" t="s">
        <v>38</v>
      </c>
      <c r="P936" s="5" t="s">
        <v>39</v>
      </c>
      <c r="Q936" s="2">
        <v>45961</v>
      </c>
      <c r="V936" s="46">
        <f>IF(
  OR(
    ISNUMBER(SEARCH("unable to locate acct", tblDocketedComments[[#This Row],[Docketed Consumer Comments]])),
    ISNUMBER(SEARCH("unknown", tblDocketedComments[[#This Row],[Docketed Consumer Comments]])),
    ISNUMBER(SEARCH("inactive", tblDocketedComments[[#This Row],[Docketed Consumer Comments]]))
  ),
  0,
  1
)</f>
        <v>1</v>
      </c>
    </row>
    <row r="937" spans="1:22" ht="11.65" customHeight="1">
      <c r="A937" s="2">
        <v>45907</v>
      </c>
      <c r="B937" s="1" t="s">
        <v>447</v>
      </c>
      <c r="C937" s="1" t="s">
        <v>135</v>
      </c>
      <c r="D937" s="1" t="s">
        <v>24</v>
      </c>
      <c r="E937" s="1">
        <v>85304</v>
      </c>
      <c r="F937" s="1" t="s">
        <v>2700</v>
      </c>
      <c r="G937" s="1" t="s">
        <v>2364</v>
      </c>
      <c r="H937" s="4" t="s">
        <v>209</v>
      </c>
      <c r="V937" s="46">
        <f>IF(
  OR(
    ISNUMBER(SEARCH("unable to locate acct", tblDocketedComments[[#This Row],[Docketed Consumer Comments]])),
    ISNUMBER(SEARCH("unknown", tblDocketedComments[[#This Row],[Docketed Consumer Comments]])),
    ISNUMBER(SEARCH("inactive", tblDocketedComments[[#This Row],[Docketed Consumer Comments]]))
  ),
  0,
  1
)</f>
        <v>1</v>
      </c>
    </row>
    <row r="938" spans="1:22" ht="11.65" customHeight="1">
      <c r="A938" s="2">
        <v>45907</v>
      </c>
      <c r="B938" s="1" t="s">
        <v>2701</v>
      </c>
      <c r="C938" s="1" t="s">
        <v>2702</v>
      </c>
      <c r="D938" s="1" t="s">
        <v>112</v>
      </c>
      <c r="E938" s="1">
        <v>85379</v>
      </c>
      <c r="F938" s="1" t="s">
        <v>2703</v>
      </c>
      <c r="G938" s="1" t="s">
        <v>2364</v>
      </c>
      <c r="H938" s="4" t="s">
        <v>2704</v>
      </c>
      <c r="I938" s="5" t="s">
        <v>126</v>
      </c>
      <c r="J938" s="5" t="s">
        <v>37</v>
      </c>
      <c r="K938" s="5" t="s">
        <v>37</v>
      </c>
      <c r="L938" s="5" t="s">
        <v>38</v>
      </c>
      <c r="M938" s="5" t="s">
        <v>37</v>
      </c>
      <c r="N938" s="5" t="s">
        <v>37</v>
      </c>
      <c r="O938" s="5" t="s">
        <v>38</v>
      </c>
      <c r="P938" s="5" t="s">
        <v>39</v>
      </c>
      <c r="Q938" s="2">
        <v>45961</v>
      </c>
      <c r="V938" s="46">
        <f>IF(
  OR(
    ISNUMBER(SEARCH("unable to locate acct", tblDocketedComments[[#This Row],[Docketed Consumer Comments]])),
    ISNUMBER(SEARCH("unknown", tblDocketedComments[[#This Row],[Docketed Consumer Comments]])),
    ISNUMBER(SEARCH("inactive", tblDocketedComments[[#This Row],[Docketed Consumer Comments]]))
  ),
  0,
  1
)</f>
        <v>1</v>
      </c>
    </row>
    <row r="939" spans="1:22" ht="11.65" customHeight="1">
      <c r="A939" s="2">
        <v>45907</v>
      </c>
      <c r="B939" s="1" t="s">
        <v>2705</v>
      </c>
      <c r="C939" s="1" t="s">
        <v>2706</v>
      </c>
      <c r="D939" s="1" t="s">
        <v>523</v>
      </c>
      <c r="E939" s="1">
        <v>85392</v>
      </c>
      <c r="F939" s="1" t="s">
        <v>1135</v>
      </c>
      <c r="G939" s="1" t="s">
        <v>2364</v>
      </c>
      <c r="H939" s="4" t="s">
        <v>2707</v>
      </c>
      <c r="I939" s="5" t="s">
        <v>1684</v>
      </c>
      <c r="J939" s="5" t="s">
        <v>37</v>
      </c>
      <c r="K939" s="5" t="s">
        <v>37</v>
      </c>
      <c r="L939" s="5" t="s">
        <v>401</v>
      </c>
      <c r="M939" s="5" t="s">
        <v>37</v>
      </c>
      <c r="N939" s="5" t="s">
        <v>37</v>
      </c>
      <c r="O939" s="5" t="s">
        <v>38</v>
      </c>
      <c r="P939" s="5" t="s">
        <v>39</v>
      </c>
      <c r="Q939" s="2">
        <v>45961</v>
      </c>
      <c r="R939" s="1" t="s">
        <v>2708</v>
      </c>
      <c r="V939" s="46">
        <f>IF(
  OR(
    ISNUMBER(SEARCH("unable to locate acct", tblDocketedComments[[#This Row],[Docketed Consumer Comments]])),
    ISNUMBER(SEARCH("unknown", tblDocketedComments[[#This Row],[Docketed Consumer Comments]])),
    ISNUMBER(SEARCH("inactive", tblDocketedComments[[#This Row],[Docketed Consumer Comments]]))
  ),
  0,
  1
)</f>
        <v>1</v>
      </c>
    </row>
    <row r="940" spans="1:22" ht="11.65" customHeight="1">
      <c r="A940" s="2">
        <v>45907</v>
      </c>
      <c r="B940" s="1" t="s">
        <v>1411</v>
      </c>
      <c r="C940" s="1" t="s">
        <v>2709</v>
      </c>
      <c r="D940" s="1" t="s">
        <v>202</v>
      </c>
      <c r="E940" s="1">
        <v>85382</v>
      </c>
      <c r="F940" s="1" t="s">
        <v>2274</v>
      </c>
      <c r="G940" s="1" t="s">
        <v>2364</v>
      </c>
      <c r="H940" s="4" t="s">
        <v>2710</v>
      </c>
      <c r="I940" s="5" t="s">
        <v>73</v>
      </c>
      <c r="J940" s="5" t="s">
        <v>37</v>
      </c>
      <c r="K940" s="5" t="s">
        <v>37</v>
      </c>
      <c r="L940" s="5" t="s">
        <v>38</v>
      </c>
      <c r="M940" s="5" t="s">
        <v>37</v>
      </c>
      <c r="N940" s="5" t="s">
        <v>37</v>
      </c>
      <c r="O940" s="5" t="s">
        <v>38</v>
      </c>
      <c r="P940" s="5" t="s">
        <v>39</v>
      </c>
      <c r="Q940" s="2">
        <v>45961</v>
      </c>
      <c r="V940" s="46">
        <f>IF(
  OR(
    ISNUMBER(SEARCH("unable to locate acct", tblDocketedComments[[#This Row],[Docketed Consumer Comments]])),
    ISNUMBER(SEARCH("unknown", tblDocketedComments[[#This Row],[Docketed Consumer Comments]])),
    ISNUMBER(SEARCH("inactive", tblDocketedComments[[#This Row],[Docketed Consumer Comments]]))
  ),
  0,
  1
)</f>
        <v>1</v>
      </c>
    </row>
    <row r="941" spans="1:22" ht="11.65" customHeight="1">
      <c r="A941" s="2">
        <v>45907</v>
      </c>
      <c r="B941" s="1" t="s">
        <v>2711</v>
      </c>
      <c r="C941" s="1" t="s">
        <v>2057</v>
      </c>
      <c r="D941" s="1" t="s">
        <v>2712</v>
      </c>
      <c r="E941" s="1">
        <v>86023</v>
      </c>
      <c r="F941" s="1" t="s">
        <v>310</v>
      </c>
      <c r="G941" s="1" t="s">
        <v>2364</v>
      </c>
      <c r="H941" s="4" t="s">
        <v>2713</v>
      </c>
      <c r="I941" s="5" t="s">
        <v>73</v>
      </c>
      <c r="J941" s="5" t="s">
        <v>37</v>
      </c>
      <c r="K941" s="5" t="s">
        <v>37</v>
      </c>
      <c r="L941" s="5" t="s">
        <v>38</v>
      </c>
      <c r="M941" s="5" t="s">
        <v>37</v>
      </c>
      <c r="N941" s="5" t="s">
        <v>37</v>
      </c>
      <c r="O941" s="5" t="s">
        <v>38</v>
      </c>
      <c r="P941" s="5" t="s">
        <v>39</v>
      </c>
      <c r="Q941" s="2">
        <v>45961</v>
      </c>
      <c r="V941" s="46">
        <f>IF(
  OR(
    ISNUMBER(SEARCH("unable to locate acct", tblDocketedComments[[#This Row],[Docketed Consumer Comments]])),
    ISNUMBER(SEARCH("unknown", tblDocketedComments[[#This Row],[Docketed Consumer Comments]])),
    ISNUMBER(SEARCH("inactive", tblDocketedComments[[#This Row],[Docketed Consumer Comments]]))
  ),
  0,
  1
)</f>
        <v>1</v>
      </c>
    </row>
    <row r="942" spans="1:22" ht="11.65" customHeight="1">
      <c r="A942" s="2">
        <v>45907</v>
      </c>
      <c r="B942" s="1" t="s">
        <v>2714</v>
      </c>
      <c r="C942" s="1" t="s">
        <v>471</v>
      </c>
      <c r="D942" s="1" t="s">
        <v>63</v>
      </c>
      <c r="E942" s="1">
        <v>85020</v>
      </c>
      <c r="F942" s="1" t="s">
        <v>310</v>
      </c>
      <c r="G942" s="1" t="s">
        <v>2364</v>
      </c>
      <c r="H942" s="4" t="s">
        <v>2715</v>
      </c>
      <c r="I942" s="5" t="s">
        <v>541</v>
      </c>
      <c r="J942" s="5" t="s">
        <v>37</v>
      </c>
      <c r="K942" s="5" t="s">
        <v>37</v>
      </c>
      <c r="L942" s="5" t="s">
        <v>389</v>
      </c>
      <c r="M942" s="5" t="s">
        <v>37</v>
      </c>
      <c r="N942" s="5" t="s">
        <v>37</v>
      </c>
      <c r="O942" s="5" t="s">
        <v>38</v>
      </c>
      <c r="P942" s="5" t="s">
        <v>39</v>
      </c>
      <c r="Q942" s="2">
        <v>45961</v>
      </c>
      <c r="V942" s="46">
        <f>IF(
  OR(
    ISNUMBER(SEARCH("unable to locate acct", tblDocketedComments[[#This Row],[Docketed Consumer Comments]])),
    ISNUMBER(SEARCH("unknown", tblDocketedComments[[#This Row],[Docketed Consumer Comments]])),
    ISNUMBER(SEARCH("inactive", tblDocketedComments[[#This Row],[Docketed Consumer Comments]]))
  ),
  0,
  1
)</f>
        <v>1</v>
      </c>
    </row>
    <row r="943" spans="1:22" ht="11.65" customHeight="1">
      <c r="A943" s="2">
        <v>45907</v>
      </c>
      <c r="B943" s="1" t="s">
        <v>2716</v>
      </c>
      <c r="C943" s="1" t="s">
        <v>2717</v>
      </c>
      <c r="D943" s="1" t="s">
        <v>63</v>
      </c>
      <c r="E943" s="1">
        <v>85006</v>
      </c>
      <c r="F943" s="1" t="s">
        <v>31</v>
      </c>
      <c r="G943" s="1" t="s">
        <v>2364</v>
      </c>
      <c r="H943" s="4" t="s">
        <v>90</v>
      </c>
      <c r="V943" s="46">
        <f>IF(
  OR(
    ISNUMBER(SEARCH("unable to locate acct", tblDocketedComments[[#This Row],[Docketed Consumer Comments]])),
    ISNUMBER(SEARCH("unknown", tblDocketedComments[[#This Row],[Docketed Consumer Comments]])),
    ISNUMBER(SEARCH("inactive", tblDocketedComments[[#This Row],[Docketed Consumer Comments]]))
  ),
  0,
  1
)</f>
        <v>1</v>
      </c>
    </row>
    <row r="944" spans="1:22" ht="11.65" customHeight="1">
      <c r="A944" s="2">
        <v>45907</v>
      </c>
      <c r="B944" s="1" t="s">
        <v>2718</v>
      </c>
      <c r="C944" s="1" t="s">
        <v>2719</v>
      </c>
      <c r="D944" s="1" t="s">
        <v>63</v>
      </c>
      <c r="E944" s="1">
        <v>85006</v>
      </c>
      <c r="F944" s="1" t="s">
        <v>2720</v>
      </c>
      <c r="G944" s="1" t="s">
        <v>2364</v>
      </c>
      <c r="H944" s="4" t="s">
        <v>27</v>
      </c>
      <c r="V944" s="46">
        <f>IF(
  OR(
    ISNUMBER(SEARCH("unable to locate acct", tblDocketedComments[[#This Row],[Docketed Consumer Comments]])),
    ISNUMBER(SEARCH("unknown", tblDocketedComments[[#This Row],[Docketed Consumer Comments]])),
    ISNUMBER(SEARCH("inactive", tblDocketedComments[[#This Row],[Docketed Consumer Comments]]))
  ),
  0,
  1
)</f>
        <v>1</v>
      </c>
    </row>
    <row r="945" spans="1:22" ht="11.65" customHeight="1">
      <c r="A945" s="2">
        <v>45907</v>
      </c>
      <c r="B945" s="1" t="s">
        <v>2721</v>
      </c>
      <c r="C945" s="1" t="s">
        <v>382</v>
      </c>
      <c r="D945" s="1" t="s">
        <v>112</v>
      </c>
      <c r="E945" s="1">
        <v>85374</v>
      </c>
      <c r="F945" s="1" t="s">
        <v>310</v>
      </c>
      <c r="G945" s="1" t="s">
        <v>2364</v>
      </c>
      <c r="H945" s="4" t="s">
        <v>2722</v>
      </c>
      <c r="I945" s="5" t="s">
        <v>196</v>
      </c>
      <c r="J945" s="5" t="s">
        <v>37</v>
      </c>
      <c r="K945" s="5" t="s">
        <v>37</v>
      </c>
      <c r="L945" s="5" t="s">
        <v>2723</v>
      </c>
      <c r="M945" s="5" t="s">
        <v>37</v>
      </c>
      <c r="N945" s="5" t="s">
        <v>37</v>
      </c>
      <c r="O945" s="5" t="s">
        <v>38</v>
      </c>
      <c r="P945" s="5" t="s">
        <v>39</v>
      </c>
      <c r="Q945" s="2">
        <v>45961</v>
      </c>
      <c r="V945" s="46">
        <f>IF(
  OR(
    ISNUMBER(SEARCH("unable to locate acct", tblDocketedComments[[#This Row],[Docketed Consumer Comments]])),
    ISNUMBER(SEARCH("unknown", tblDocketedComments[[#This Row],[Docketed Consumer Comments]])),
    ISNUMBER(SEARCH("inactive", tblDocketedComments[[#This Row],[Docketed Consumer Comments]]))
  ),
  0,
  1
)</f>
        <v>1</v>
      </c>
    </row>
    <row r="946" spans="1:22" ht="11.65" customHeight="1">
      <c r="A946" s="2">
        <v>45907</v>
      </c>
      <c r="B946" s="1" t="s">
        <v>431</v>
      </c>
      <c r="C946" s="1" t="s">
        <v>2724</v>
      </c>
      <c r="D946" s="1" t="s">
        <v>63</v>
      </c>
      <c r="E946" s="1">
        <v>85016</v>
      </c>
      <c r="F946" s="1" t="s">
        <v>310</v>
      </c>
      <c r="G946" s="1" t="s">
        <v>2364</v>
      </c>
      <c r="H946" s="4" t="s">
        <v>2725</v>
      </c>
      <c r="I946" s="5" t="s">
        <v>126</v>
      </c>
      <c r="J946" s="5" t="s">
        <v>37</v>
      </c>
      <c r="K946" s="5" t="s">
        <v>37</v>
      </c>
      <c r="L946" s="5" t="s">
        <v>38</v>
      </c>
      <c r="M946" s="5" t="s">
        <v>37</v>
      </c>
      <c r="N946" s="5" t="s">
        <v>37</v>
      </c>
      <c r="O946" s="5" t="s">
        <v>38</v>
      </c>
      <c r="P946" s="5" t="s">
        <v>39</v>
      </c>
      <c r="Q946" s="2">
        <v>45961</v>
      </c>
      <c r="V946" s="46">
        <f>IF(
  OR(
    ISNUMBER(SEARCH("unable to locate acct", tblDocketedComments[[#This Row],[Docketed Consumer Comments]])),
    ISNUMBER(SEARCH("unknown", tblDocketedComments[[#This Row],[Docketed Consumer Comments]])),
    ISNUMBER(SEARCH("inactive", tblDocketedComments[[#This Row],[Docketed Consumer Comments]]))
  ),
  0,
  1
)</f>
        <v>1</v>
      </c>
    </row>
    <row r="947" spans="1:22" ht="11.65" customHeight="1">
      <c r="A947" s="2">
        <v>45907</v>
      </c>
      <c r="B947" s="1" t="s">
        <v>2726</v>
      </c>
      <c r="C947" s="1" t="s">
        <v>611</v>
      </c>
      <c r="D947" s="1" t="s">
        <v>2429</v>
      </c>
      <c r="E947" s="1">
        <v>85132</v>
      </c>
      <c r="F947" s="1" t="s">
        <v>31</v>
      </c>
      <c r="G947" s="1" t="s">
        <v>2364</v>
      </c>
      <c r="H947" s="4" t="s">
        <v>27</v>
      </c>
      <c r="V947" s="46">
        <f>IF(
  OR(
    ISNUMBER(SEARCH("unable to locate acct", tblDocketedComments[[#This Row],[Docketed Consumer Comments]])),
    ISNUMBER(SEARCH("unknown", tblDocketedComments[[#This Row],[Docketed Consumer Comments]])),
    ISNUMBER(SEARCH("inactive", tblDocketedComments[[#This Row],[Docketed Consumer Comments]]))
  ),
  0,
  1
)</f>
        <v>1</v>
      </c>
    </row>
    <row r="948" spans="1:22" ht="11.65" customHeight="1">
      <c r="A948" s="2">
        <v>45907</v>
      </c>
      <c r="B948" s="1" t="s">
        <v>2727</v>
      </c>
      <c r="C948" s="1" t="s">
        <v>395</v>
      </c>
      <c r="D948" s="1" t="s">
        <v>63</v>
      </c>
      <c r="E948" s="1">
        <v>85012</v>
      </c>
      <c r="F948" s="1" t="s">
        <v>310</v>
      </c>
      <c r="G948" s="1" t="s">
        <v>2364</v>
      </c>
      <c r="H948" s="4" t="s">
        <v>2728</v>
      </c>
      <c r="I948" s="5" t="s">
        <v>126</v>
      </c>
      <c r="J948" s="5" t="s">
        <v>37</v>
      </c>
      <c r="K948" s="5" t="s">
        <v>37</v>
      </c>
      <c r="L948" s="5" t="s">
        <v>2729</v>
      </c>
      <c r="M948" s="5" t="s">
        <v>37</v>
      </c>
      <c r="N948" s="5" t="s">
        <v>37</v>
      </c>
      <c r="O948" s="5" t="s">
        <v>38</v>
      </c>
      <c r="P948" s="5" t="s">
        <v>39</v>
      </c>
      <c r="Q948" s="2">
        <v>45961</v>
      </c>
      <c r="V948" s="46">
        <f>IF(
  OR(
    ISNUMBER(SEARCH("unable to locate acct", tblDocketedComments[[#This Row],[Docketed Consumer Comments]])),
    ISNUMBER(SEARCH("unknown", tblDocketedComments[[#This Row],[Docketed Consumer Comments]])),
    ISNUMBER(SEARCH("inactive", tblDocketedComments[[#This Row],[Docketed Consumer Comments]]))
  ),
  0,
  1
)</f>
        <v>1</v>
      </c>
    </row>
    <row r="949" spans="1:22" ht="11.65" customHeight="1">
      <c r="A949" s="2">
        <v>45907</v>
      </c>
      <c r="B949" s="1" t="s">
        <v>1703</v>
      </c>
      <c r="C949" s="1" t="s">
        <v>2730</v>
      </c>
      <c r="D949" s="1" t="s">
        <v>63</v>
      </c>
      <c r="E949" s="1">
        <v>85032</v>
      </c>
      <c r="F949" s="1" t="s">
        <v>310</v>
      </c>
      <c r="G949" s="1" t="s">
        <v>2364</v>
      </c>
      <c r="H949" s="4" t="s">
        <v>209</v>
      </c>
      <c r="V949" s="46">
        <f>IF(
  OR(
    ISNUMBER(SEARCH("unable to locate acct", tblDocketedComments[[#This Row],[Docketed Consumer Comments]])),
    ISNUMBER(SEARCH("unknown", tblDocketedComments[[#This Row],[Docketed Consumer Comments]])),
    ISNUMBER(SEARCH("inactive", tblDocketedComments[[#This Row],[Docketed Consumer Comments]]))
  ),
  0,
  1
)</f>
        <v>1</v>
      </c>
    </row>
    <row r="950" spans="1:22" ht="11.65" customHeight="1">
      <c r="A950" s="2">
        <v>45907</v>
      </c>
      <c r="B950" s="1" t="s">
        <v>2025</v>
      </c>
      <c r="C950" s="1" t="s">
        <v>941</v>
      </c>
      <c r="D950" s="1" t="s">
        <v>63</v>
      </c>
      <c r="E950" s="1">
        <v>85012</v>
      </c>
      <c r="F950" s="1" t="s">
        <v>31</v>
      </c>
      <c r="G950" s="1" t="s">
        <v>2364</v>
      </c>
      <c r="H950" s="4" t="s">
        <v>2731</v>
      </c>
      <c r="I950" s="5" t="s">
        <v>126</v>
      </c>
      <c r="J950" s="5" t="s">
        <v>37</v>
      </c>
      <c r="K950" s="5" t="s">
        <v>37</v>
      </c>
      <c r="L950" s="5" t="s">
        <v>38</v>
      </c>
      <c r="M950" s="5" t="s">
        <v>37</v>
      </c>
      <c r="N950" s="5" t="s">
        <v>37</v>
      </c>
      <c r="O950" s="5" t="s">
        <v>38</v>
      </c>
      <c r="P950" s="5" t="s">
        <v>39</v>
      </c>
      <c r="Q950" s="2">
        <v>45961</v>
      </c>
      <c r="V950" s="46">
        <f>IF(
  OR(
    ISNUMBER(SEARCH("unable to locate acct", tblDocketedComments[[#This Row],[Docketed Consumer Comments]])),
    ISNUMBER(SEARCH("unknown", tblDocketedComments[[#This Row],[Docketed Consumer Comments]])),
    ISNUMBER(SEARCH("inactive", tblDocketedComments[[#This Row],[Docketed Consumer Comments]]))
  ),
  0,
  1
)</f>
        <v>1</v>
      </c>
    </row>
    <row r="951" spans="1:22" ht="11.65" customHeight="1">
      <c r="A951" s="2">
        <v>45907</v>
      </c>
      <c r="B951" s="1" t="s">
        <v>1703</v>
      </c>
      <c r="C951" s="1" t="s">
        <v>481</v>
      </c>
      <c r="D951" s="1" t="s">
        <v>63</v>
      </c>
      <c r="E951" s="1">
        <v>85032</v>
      </c>
      <c r="F951" s="1" t="s">
        <v>2732</v>
      </c>
      <c r="G951" s="1" t="s">
        <v>2364</v>
      </c>
      <c r="H951" s="4" t="s">
        <v>2733</v>
      </c>
      <c r="I951" s="5" t="s">
        <v>36</v>
      </c>
      <c r="J951" s="5" t="s">
        <v>37</v>
      </c>
      <c r="K951" s="5" t="s">
        <v>37</v>
      </c>
      <c r="L951" s="5" t="s">
        <v>36</v>
      </c>
      <c r="M951" s="5" t="s">
        <v>37</v>
      </c>
      <c r="N951" s="5" t="s">
        <v>37</v>
      </c>
      <c r="O951" s="5" t="s">
        <v>38</v>
      </c>
      <c r="P951" s="5" t="s">
        <v>39</v>
      </c>
      <c r="Q951" s="2">
        <v>45961</v>
      </c>
      <c r="V951" s="46">
        <f>IF(
  OR(
    ISNUMBER(SEARCH("unable to locate acct", tblDocketedComments[[#This Row],[Docketed Consumer Comments]])),
    ISNUMBER(SEARCH("unknown", tblDocketedComments[[#This Row],[Docketed Consumer Comments]])),
    ISNUMBER(SEARCH("inactive", tblDocketedComments[[#This Row],[Docketed Consumer Comments]]))
  ),
  0,
  1
)</f>
        <v>1</v>
      </c>
    </row>
    <row r="952" spans="1:22" ht="11.65" customHeight="1">
      <c r="A952" s="2">
        <v>45907</v>
      </c>
      <c r="B952" s="1" t="s">
        <v>449</v>
      </c>
      <c r="C952" s="1" t="s">
        <v>2734</v>
      </c>
      <c r="D952" s="1" t="s">
        <v>63</v>
      </c>
      <c r="E952" s="1">
        <v>85032</v>
      </c>
      <c r="F952" s="1" t="s">
        <v>310</v>
      </c>
      <c r="G952" s="1" t="s">
        <v>2364</v>
      </c>
      <c r="H952" s="4" t="s">
        <v>2735</v>
      </c>
      <c r="I952" s="5" t="s">
        <v>196</v>
      </c>
      <c r="J952" s="5" t="s">
        <v>37</v>
      </c>
      <c r="K952" s="5" t="s">
        <v>37</v>
      </c>
      <c r="L952" s="5" t="s">
        <v>2736</v>
      </c>
      <c r="M952" s="5" t="s">
        <v>37</v>
      </c>
      <c r="N952" s="5" t="s">
        <v>37</v>
      </c>
      <c r="O952" s="5" t="s">
        <v>38</v>
      </c>
      <c r="P952" s="5" t="s">
        <v>39</v>
      </c>
      <c r="Q952" s="2">
        <v>45961</v>
      </c>
      <c r="R952" s="1" t="s">
        <v>2737</v>
      </c>
      <c r="V952" s="46">
        <f>IF(
  OR(
    ISNUMBER(SEARCH("unable to locate acct", tblDocketedComments[[#This Row],[Docketed Consumer Comments]])),
    ISNUMBER(SEARCH("unknown", tblDocketedComments[[#This Row],[Docketed Consumer Comments]])),
    ISNUMBER(SEARCH("inactive", tblDocketedComments[[#This Row],[Docketed Consumer Comments]]))
  ),
  0,
  1
)</f>
        <v>1</v>
      </c>
    </row>
    <row r="953" spans="1:22" ht="11.65" customHeight="1">
      <c r="A953" s="2">
        <v>45907</v>
      </c>
      <c r="B953" s="1" t="s">
        <v>2738</v>
      </c>
      <c r="C953" s="1" t="s">
        <v>199</v>
      </c>
      <c r="D953" s="1" t="s">
        <v>504</v>
      </c>
      <c r="E953" s="1">
        <v>86001</v>
      </c>
      <c r="F953" s="1" t="s">
        <v>31</v>
      </c>
      <c r="G953" s="1" t="s">
        <v>2364</v>
      </c>
      <c r="H953" s="4" t="s">
        <v>90</v>
      </c>
      <c r="V953" s="46">
        <f>IF(
  OR(
    ISNUMBER(SEARCH("unable to locate acct", tblDocketedComments[[#This Row],[Docketed Consumer Comments]])),
    ISNUMBER(SEARCH("unknown", tblDocketedComments[[#This Row],[Docketed Consumer Comments]])),
    ISNUMBER(SEARCH("inactive", tblDocketedComments[[#This Row],[Docketed Consumer Comments]]))
  ),
  0,
  1
)</f>
        <v>1</v>
      </c>
    </row>
    <row r="954" spans="1:22" ht="11.65" customHeight="1">
      <c r="A954" s="2">
        <v>45907</v>
      </c>
      <c r="B954" s="1" t="s">
        <v>2739</v>
      </c>
      <c r="C954" s="1" t="s">
        <v>1824</v>
      </c>
      <c r="D954" s="1" t="s">
        <v>24</v>
      </c>
      <c r="E954" s="1">
        <v>85308</v>
      </c>
      <c r="F954" s="1" t="s">
        <v>310</v>
      </c>
      <c r="G954" s="1" t="s">
        <v>2364</v>
      </c>
      <c r="H954" s="4" t="s">
        <v>2740</v>
      </c>
      <c r="I954" s="5" t="s">
        <v>196</v>
      </c>
      <c r="J954" s="5" t="s">
        <v>37</v>
      </c>
      <c r="K954" s="5" t="s">
        <v>37</v>
      </c>
      <c r="L954" s="5" t="s">
        <v>2741</v>
      </c>
      <c r="M954" s="5" t="s">
        <v>37</v>
      </c>
      <c r="N954" s="5" t="s">
        <v>37</v>
      </c>
      <c r="O954" s="5" t="s">
        <v>38</v>
      </c>
      <c r="P954" s="5" t="s">
        <v>39</v>
      </c>
      <c r="Q954" s="2">
        <v>45961</v>
      </c>
      <c r="V954" s="46">
        <f>IF(
  OR(
    ISNUMBER(SEARCH("unable to locate acct", tblDocketedComments[[#This Row],[Docketed Consumer Comments]])),
    ISNUMBER(SEARCH("unknown", tblDocketedComments[[#This Row],[Docketed Consumer Comments]])),
    ISNUMBER(SEARCH("inactive", tblDocketedComments[[#This Row],[Docketed Consumer Comments]]))
  ),
  0,
  1
)</f>
        <v>1</v>
      </c>
    </row>
    <row r="955" spans="1:22" ht="11.65" customHeight="1">
      <c r="A955" s="2">
        <v>45907</v>
      </c>
      <c r="B955" s="1" t="s">
        <v>2742</v>
      </c>
      <c r="C955" s="1" t="s">
        <v>624</v>
      </c>
      <c r="D955" s="1" t="s">
        <v>24</v>
      </c>
      <c r="E955" s="1">
        <v>85310</v>
      </c>
      <c r="F955" s="1" t="s">
        <v>2743</v>
      </c>
      <c r="G955" s="1" t="s">
        <v>2364</v>
      </c>
      <c r="H955" s="4" t="s">
        <v>2744</v>
      </c>
      <c r="I955" s="5" t="s">
        <v>196</v>
      </c>
      <c r="J955" s="5" t="s">
        <v>37</v>
      </c>
      <c r="K955" s="5" t="s">
        <v>37</v>
      </c>
      <c r="L955" s="7" t="s">
        <v>2745</v>
      </c>
      <c r="M955" s="5" t="s">
        <v>37</v>
      </c>
      <c r="N955" s="5" t="s">
        <v>37</v>
      </c>
      <c r="O955" s="5" t="s">
        <v>38</v>
      </c>
      <c r="P955" s="2">
        <v>45938</v>
      </c>
      <c r="Q955" s="2">
        <v>45961</v>
      </c>
      <c r="R955" s="1" t="s">
        <v>2746</v>
      </c>
      <c r="V955" s="46">
        <f>IF(
  OR(
    ISNUMBER(SEARCH("unable to locate acct", tblDocketedComments[[#This Row],[Docketed Consumer Comments]])),
    ISNUMBER(SEARCH("unknown", tblDocketedComments[[#This Row],[Docketed Consumer Comments]])),
    ISNUMBER(SEARCH("inactive", tblDocketedComments[[#This Row],[Docketed Consumer Comments]]))
  ),
  0,
  1
)</f>
        <v>1</v>
      </c>
    </row>
    <row r="956" spans="1:22" ht="11.65" customHeight="1">
      <c r="A956" s="2">
        <v>45907</v>
      </c>
      <c r="B956" s="1" t="s">
        <v>2747</v>
      </c>
      <c r="C956" s="1" t="s">
        <v>2748</v>
      </c>
      <c r="D956" s="1" t="s">
        <v>30</v>
      </c>
      <c r="E956" s="1" t="s">
        <v>30</v>
      </c>
      <c r="F956" s="1" t="s">
        <v>2749</v>
      </c>
      <c r="G956" s="1" t="s">
        <v>2364</v>
      </c>
      <c r="H956" s="4" t="s">
        <v>2750</v>
      </c>
      <c r="I956" s="5" t="s">
        <v>36</v>
      </c>
      <c r="J956" s="5" t="s">
        <v>37</v>
      </c>
      <c r="K956" s="5" t="s">
        <v>37</v>
      </c>
      <c r="L956" s="5" t="s">
        <v>38</v>
      </c>
      <c r="M956" s="5" t="s">
        <v>37</v>
      </c>
      <c r="N956" s="5" t="s">
        <v>37</v>
      </c>
      <c r="O956" s="5" t="s">
        <v>38</v>
      </c>
      <c r="P956" s="5" t="s">
        <v>39</v>
      </c>
      <c r="Q956" s="2">
        <v>45961</v>
      </c>
      <c r="V956" s="46">
        <f>IF(
  OR(
    ISNUMBER(SEARCH("unable to locate acct", tblDocketedComments[[#This Row],[Docketed Consumer Comments]])),
    ISNUMBER(SEARCH("unknown", tblDocketedComments[[#This Row],[Docketed Consumer Comments]])),
    ISNUMBER(SEARCH("inactive", tblDocketedComments[[#This Row],[Docketed Consumer Comments]]))
  ),
  0,
  1
)</f>
        <v>1</v>
      </c>
    </row>
    <row r="957" spans="1:22" ht="11.65" customHeight="1">
      <c r="A957" s="2">
        <v>45907</v>
      </c>
      <c r="B957" s="1" t="s">
        <v>2751</v>
      </c>
      <c r="C957" s="1" t="s">
        <v>2752</v>
      </c>
      <c r="D957" s="1" t="s">
        <v>63</v>
      </c>
      <c r="E957" s="1">
        <v>85022</v>
      </c>
      <c r="F957" s="1" t="s">
        <v>31</v>
      </c>
      <c r="G957" s="1" t="s">
        <v>2364</v>
      </c>
      <c r="H957" s="4" t="s">
        <v>2753</v>
      </c>
      <c r="I957" s="5" t="s">
        <v>196</v>
      </c>
      <c r="J957" s="5" t="s">
        <v>37</v>
      </c>
      <c r="K957" s="5" t="s">
        <v>37</v>
      </c>
      <c r="L957" s="5" t="s">
        <v>38</v>
      </c>
      <c r="M957" s="5" t="s">
        <v>37</v>
      </c>
      <c r="N957" s="5" t="s">
        <v>37</v>
      </c>
      <c r="O957" s="5" t="s">
        <v>38</v>
      </c>
      <c r="P957" s="5" t="s">
        <v>39</v>
      </c>
      <c r="Q957" s="2">
        <v>45961</v>
      </c>
      <c r="V957" s="46">
        <f>IF(
  OR(
    ISNUMBER(SEARCH("unable to locate acct", tblDocketedComments[[#This Row],[Docketed Consumer Comments]])),
    ISNUMBER(SEARCH("unknown", tblDocketedComments[[#This Row],[Docketed Consumer Comments]])),
    ISNUMBER(SEARCH("inactive", tblDocketedComments[[#This Row],[Docketed Consumer Comments]]))
  ),
  0,
  1
)</f>
        <v>1</v>
      </c>
    </row>
    <row r="958" spans="1:22" ht="11.65" customHeight="1">
      <c r="A958" s="2">
        <v>45907</v>
      </c>
      <c r="B958" s="1" t="s">
        <v>2754</v>
      </c>
      <c r="C958" s="1" t="s">
        <v>2755</v>
      </c>
      <c r="D958" s="1" t="s">
        <v>30</v>
      </c>
      <c r="E958" s="1" t="s">
        <v>30</v>
      </c>
      <c r="F958" s="1" t="s">
        <v>2756</v>
      </c>
      <c r="G958" s="1" t="s">
        <v>2364</v>
      </c>
      <c r="H958" s="4" t="s">
        <v>2757</v>
      </c>
      <c r="I958" s="5" t="s">
        <v>418</v>
      </c>
      <c r="J958" s="5" t="s">
        <v>37</v>
      </c>
      <c r="K958" s="5" t="s">
        <v>37</v>
      </c>
      <c r="L958" s="5" t="s">
        <v>389</v>
      </c>
      <c r="M958" s="5" t="s">
        <v>37</v>
      </c>
      <c r="N958" s="5" t="s">
        <v>37</v>
      </c>
      <c r="O958" s="5" t="s">
        <v>38</v>
      </c>
      <c r="P958" s="5" t="s">
        <v>39</v>
      </c>
      <c r="Q958" s="2">
        <v>45961</v>
      </c>
      <c r="V958" s="46">
        <f>IF(
  OR(
    ISNUMBER(SEARCH("unable to locate acct", tblDocketedComments[[#This Row],[Docketed Consumer Comments]])),
    ISNUMBER(SEARCH("unknown", tblDocketedComments[[#This Row],[Docketed Consumer Comments]])),
    ISNUMBER(SEARCH("inactive", tblDocketedComments[[#This Row],[Docketed Consumer Comments]]))
  ),
  0,
  1
)</f>
        <v>1</v>
      </c>
    </row>
    <row r="959" spans="1:22" ht="11.65" customHeight="1">
      <c r="A959" s="2">
        <v>45907</v>
      </c>
      <c r="B959" s="1" t="s">
        <v>2758</v>
      </c>
      <c r="C959" s="1" t="s">
        <v>2273</v>
      </c>
      <c r="D959" s="1" t="s">
        <v>112</v>
      </c>
      <c r="E959" s="1">
        <v>85388</v>
      </c>
      <c r="F959" s="1" t="s">
        <v>31</v>
      </c>
      <c r="G959" s="1" t="s">
        <v>2364</v>
      </c>
      <c r="H959" s="19" t="s">
        <v>2759</v>
      </c>
      <c r="I959" s="5" t="s">
        <v>126</v>
      </c>
      <c r="J959" s="5" t="s">
        <v>37</v>
      </c>
      <c r="K959" s="5" t="s">
        <v>37</v>
      </c>
      <c r="M959" s="5" t="s">
        <v>37</v>
      </c>
      <c r="N959" s="5" t="s">
        <v>37</v>
      </c>
      <c r="O959" s="5" t="s">
        <v>38</v>
      </c>
      <c r="P959" s="5" t="s">
        <v>39</v>
      </c>
      <c r="Q959" s="2">
        <v>45961</v>
      </c>
      <c r="R959" s="1" t="s">
        <v>2760</v>
      </c>
      <c r="V959" s="46">
        <f>IF(
  OR(
    ISNUMBER(SEARCH("unable to locate acct", tblDocketedComments[[#This Row],[Docketed Consumer Comments]])),
    ISNUMBER(SEARCH("unknown", tblDocketedComments[[#This Row],[Docketed Consumer Comments]])),
    ISNUMBER(SEARCH("inactive", tblDocketedComments[[#This Row],[Docketed Consumer Comments]]))
  ),
  0,
  1
)</f>
        <v>1</v>
      </c>
    </row>
    <row r="960" spans="1:22" ht="11.65" customHeight="1">
      <c r="A960" s="2">
        <v>45907</v>
      </c>
      <c r="B960" s="1" t="s">
        <v>2761</v>
      </c>
      <c r="C960" s="1" t="s">
        <v>2762</v>
      </c>
      <c r="D960" s="1" t="s">
        <v>63</v>
      </c>
      <c r="E960" s="1">
        <v>85086</v>
      </c>
      <c r="F960" s="1" t="s">
        <v>31</v>
      </c>
      <c r="G960" s="1" t="s">
        <v>2364</v>
      </c>
      <c r="H960" s="4" t="s">
        <v>2763</v>
      </c>
      <c r="I960" s="5" t="s">
        <v>250</v>
      </c>
      <c r="J960" s="5" t="s">
        <v>37</v>
      </c>
      <c r="K960" s="5" t="s">
        <v>37</v>
      </c>
      <c r="L960" s="5" t="s">
        <v>1586</v>
      </c>
      <c r="M960" s="5" t="s">
        <v>37</v>
      </c>
      <c r="N960" s="5" t="s">
        <v>37</v>
      </c>
      <c r="O960" s="5" t="s">
        <v>38</v>
      </c>
      <c r="P960" s="5" t="s">
        <v>39</v>
      </c>
      <c r="Q960" s="2">
        <v>45961</v>
      </c>
      <c r="V960" s="46">
        <f>IF(
  OR(
    ISNUMBER(SEARCH("unable to locate acct", tblDocketedComments[[#This Row],[Docketed Consumer Comments]])),
    ISNUMBER(SEARCH("unknown", tblDocketedComments[[#This Row],[Docketed Consumer Comments]])),
    ISNUMBER(SEARCH("inactive", tblDocketedComments[[#This Row],[Docketed Consumer Comments]]))
  ),
  0,
  1
)</f>
        <v>1</v>
      </c>
    </row>
    <row r="961" spans="1:22" ht="11.65" customHeight="1">
      <c r="A961" s="2">
        <v>45907</v>
      </c>
      <c r="B961" s="1" t="s">
        <v>2764</v>
      </c>
      <c r="C961" s="1" t="s">
        <v>2395</v>
      </c>
      <c r="D961" s="1" t="s">
        <v>93</v>
      </c>
      <c r="E961" s="1">
        <v>85373</v>
      </c>
      <c r="F961" s="1" t="s">
        <v>31</v>
      </c>
      <c r="G961" s="1" t="s">
        <v>2364</v>
      </c>
      <c r="H961" s="4" t="s">
        <v>2765</v>
      </c>
      <c r="I961" s="5" t="s">
        <v>250</v>
      </c>
      <c r="J961" s="5" t="s">
        <v>37</v>
      </c>
      <c r="K961" s="5" t="s">
        <v>37</v>
      </c>
      <c r="L961" s="7" t="s">
        <v>2766</v>
      </c>
      <c r="M961" s="5" t="s">
        <v>37</v>
      </c>
      <c r="N961" s="5" t="s">
        <v>37</v>
      </c>
      <c r="O961" s="5" t="s">
        <v>38</v>
      </c>
      <c r="P961" s="2">
        <v>45938</v>
      </c>
      <c r="Q961" s="2">
        <v>45961</v>
      </c>
      <c r="R961" s="1" t="s">
        <v>2767</v>
      </c>
      <c r="V961" s="46">
        <f>IF(
  OR(
    ISNUMBER(SEARCH("unable to locate acct", tblDocketedComments[[#This Row],[Docketed Consumer Comments]])),
    ISNUMBER(SEARCH("unknown", tblDocketedComments[[#This Row],[Docketed Consumer Comments]])),
    ISNUMBER(SEARCH("inactive", tblDocketedComments[[#This Row],[Docketed Consumer Comments]]))
  ),
  0,
  1
)</f>
        <v>1</v>
      </c>
    </row>
    <row r="962" spans="1:22" ht="11.65" customHeight="1">
      <c r="A962" s="2">
        <v>45907</v>
      </c>
      <c r="B962" s="1" t="s">
        <v>2768</v>
      </c>
      <c r="C962" s="1" t="s">
        <v>2769</v>
      </c>
      <c r="D962" s="1" t="s">
        <v>63</v>
      </c>
      <c r="E962" s="1">
        <v>85086</v>
      </c>
      <c r="F962" s="1" t="s">
        <v>31</v>
      </c>
      <c r="G962" s="1" t="s">
        <v>2364</v>
      </c>
      <c r="H962" s="4" t="s">
        <v>2770</v>
      </c>
      <c r="I962" s="5" t="s">
        <v>36</v>
      </c>
      <c r="J962" s="5" t="s">
        <v>37</v>
      </c>
      <c r="K962" s="5" t="s">
        <v>37</v>
      </c>
      <c r="L962" s="5" t="s">
        <v>1586</v>
      </c>
      <c r="M962" s="5" t="s">
        <v>37</v>
      </c>
      <c r="N962" s="5" t="s">
        <v>37</v>
      </c>
      <c r="O962" s="5" t="s">
        <v>38</v>
      </c>
      <c r="P962" s="5" t="s">
        <v>39</v>
      </c>
      <c r="Q962" s="2">
        <v>45961</v>
      </c>
      <c r="V962" s="46">
        <f>IF(
  OR(
    ISNUMBER(SEARCH("unable to locate acct", tblDocketedComments[[#This Row],[Docketed Consumer Comments]])),
    ISNUMBER(SEARCH("unknown", tblDocketedComments[[#This Row],[Docketed Consumer Comments]])),
    ISNUMBER(SEARCH("inactive", tblDocketedComments[[#This Row],[Docketed Consumer Comments]]))
  ),
  0,
  1
)</f>
        <v>1</v>
      </c>
    </row>
    <row r="963" spans="1:22" ht="11.65" customHeight="1">
      <c r="A963" s="2">
        <v>45907</v>
      </c>
      <c r="B963" s="1" t="s">
        <v>2771</v>
      </c>
      <c r="C963" s="1" t="s">
        <v>2772</v>
      </c>
      <c r="D963" s="1" t="s">
        <v>125</v>
      </c>
      <c r="E963" s="1">
        <v>85260</v>
      </c>
      <c r="F963" s="1" t="s">
        <v>31</v>
      </c>
      <c r="G963" s="1" t="s">
        <v>2364</v>
      </c>
      <c r="H963" s="4" t="s">
        <v>2773</v>
      </c>
      <c r="I963" s="5" t="s">
        <v>36</v>
      </c>
      <c r="J963" s="5" t="s">
        <v>37</v>
      </c>
      <c r="K963" s="5" t="s">
        <v>37</v>
      </c>
      <c r="L963" s="5" t="s">
        <v>1586</v>
      </c>
      <c r="M963" s="5" t="s">
        <v>37</v>
      </c>
      <c r="N963" s="5" t="s">
        <v>37</v>
      </c>
      <c r="O963" s="5" t="s">
        <v>38</v>
      </c>
      <c r="P963" s="5" t="s">
        <v>39</v>
      </c>
      <c r="Q963" s="2">
        <v>45961</v>
      </c>
      <c r="V963" s="46">
        <f>IF(
  OR(
    ISNUMBER(SEARCH("unable to locate acct", tblDocketedComments[[#This Row],[Docketed Consumer Comments]])),
    ISNUMBER(SEARCH("unknown", tblDocketedComments[[#This Row],[Docketed Consumer Comments]])),
    ISNUMBER(SEARCH("inactive", tblDocketedComments[[#This Row],[Docketed Consumer Comments]]))
  ),
  0,
  1
)</f>
        <v>1</v>
      </c>
    </row>
    <row r="964" spans="1:22" ht="11.65" customHeight="1">
      <c r="A964" s="2">
        <v>45907</v>
      </c>
      <c r="B964" s="1" t="s">
        <v>2774</v>
      </c>
      <c r="C964" s="1" t="s">
        <v>2395</v>
      </c>
      <c r="D964" s="1" t="s">
        <v>30</v>
      </c>
      <c r="E964" s="1" t="s">
        <v>30</v>
      </c>
      <c r="F964" s="1" t="s">
        <v>31</v>
      </c>
      <c r="G964" s="1" t="s">
        <v>2364</v>
      </c>
      <c r="H964" s="4" t="s">
        <v>27</v>
      </c>
      <c r="V964" s="46">
        <f>IF(
  OR(
    ISNUMBER(SEARCH("unable to locate acct", tblDocketedComments[[#This Row],[Docketed Consumer Comments]])),
    ISNUMBER(SEARCH("unknown", tblDocketedComments[[#This Row],[Docketed Consumer Comments]])),
    ISNUMBER(SEARCH("inactive", tblDocketedComments[[#This Row],[Docketed Consumer Comments]]))
  ),
  0,
  1
)</f>
        <v>1</v>
      </c>
    </row>
    <row r="965" spans="1:22" ht="11.65" customHeight="1">
      <c r="A965" s="2">
        <v>45907</v>
      </c>
      <c r="B965" s="1" t="s">
        <v>2775</v>
      </c>
      <c r="C965" s="1" t="s">
        <v>2454</v>
      </c>
      <c r="D965" s="1" t="s">
        <v>30</v>
      </c>
      <c r="E965" s="1" t="s">
        <v>30</v>
      </c>
      <c r="F965" s="1" t="s">
        <v>310</v>
      </c>
      <c r="G965" s="1" t="s">
        <v>2364</v>
      </c>
      <c r="H965" s="4" t="s">
        <v>209</v>
      </c>
      <c r="I965" s="1"/>
      <c r="V965" s="46">
        <f>IF(
  OR(
    ISNUMBER(SEARCH("unable to locate acct", tblDocketedComments[[#This Row],[Docketed Consumer Comments]])),
    ISNUMBER(SEARCH("unknown", tblDocketedComments[[#This Row],[Docketed Consumer Comments]])),
    ISNUMBER(SEARCH("inactive", tblDocketedComments[[#This Row],[Docketed Consumer Comments]]))
  ),
  0,
  1
)</f>
        <v>1</v>
      </c>
    </row>
    <row r="966" spans="1:22" ht="11.65" customHeight="1">
      <c r="A966" s="2">
        <v>45907</v>
      </c>
      <c r="B966" s="1" t="s">
        <v>2776</v>
      </c>
      <c r="C966" s="1" t="s">
        <v>922</v>
      </c>
      <c r="D966" s="1" t="s">
        <v>30</v>
      </c>
      <c r="E966" s="1" t="s">
        <v>30</v>
      </c>
      <c r="F966" s="1" t="s">
        <v>310</v>
      </c>
      <c r="G966" s="1" t="s">
        <v>2364</v>
      </c>
      <c r="H966" s="4" t="s">
        <v>27</v>
      </c>
      <c r="V966" s="46">
        <f>IF(
  OR(
    ISNUMBER(SEARCH("unable to locate acct", tblDocketedComments[[#This Row],[Docketed Consumer Comments]])),
    ISNUMBER(SEARCH("unknown", tblDocketedComments[[#This Row],[Docketed Consumer Comments]])),
    ISNUMBER(SEARCH("inactive", tblDocketedComments[[#This Row],[Docketed Consumer Comments]]))
  ),
  0,
  1
)</f>
        <v>1</v>
      </c>
    </row>
    <row r="967" spans="1:22" ht="11.65" customHeight="1">
      <c r="A967" s="2">
        <v>45907</v>
      </c>
      <c r="B967" s="1" t="s">
        <v>2777</v>
      </c>
      <c r="C967" s="1" t="s">
        <v>2125</v>
      </c>
      <c r="D967" s="1" t="s">
        <v>30</v>
      </c>
      <c r="E967" s="1" t="s">
        <v>30</v>
      </c>
      <c r="F967" s="1" t="s">
        <v>310</v>
      </c>
      <c r="G967" s="1" t="s">
        <v>2364</v>
      </c>
      <c r="H967" s="4" t="s">
        <v>27</v>
      </c>
      <c r="V967" s="46">
        <f>IF(
  OR(
    ISNUMBER(SEARCH("unable to locate acct", tblDocketedComments[[#This Row],[Docketed Consumer Comments]])),
    ISNUMBER(SEARCH("unknown", tblDocketedComments[[#This Row],[Docketed Consumer Comments]])),
    ISNUMBER(SEARCH("inactive", tblDocketedComments[[#This Row],[Docketed Consumer Comments]]))
  ),
  0,
  1
)</f>
        <v>1</v>
      </c>
    </row>
    <row r="968" spans="1:22" ht="11.65" customHeight="1">
      <c r="A968" s="2">
        <v>45907</v>
      </c>
      <c r="B968" s="1" t="s">
        <v>2778</v>
      </c>
      <c r="C968" s="1" t="s">
        <v>2633</v>
      </c>
      <c r="D968" s="1" t="s">
        <v>63</v>
      </c>
      <c r="E968" s="1">
        <v>85086</v>
      </c>
      <c r="F968" s="1" t="s">
        <v>310</v>
      </c>
      <c r="G968" s="1" t="s">
        <v>2364</v>
      </c>
      <c r="H968" s="4" t="s">
        <v>2779</v>
      </c>
      <c r="I968" s="5" t="s">
        <v>196</v>
      </c>
      <c r="J968" s="5" t="s">
        <v>37</v>
      </c>
      <c r="K968" s="5" t="s">
        <v>37</v>
      </c>
      <c r="L968" s="5" t="s">
        <v>2780</v>
      </c>
      <c r="M968" s="5" t="s">
        <v>38</v>
      </c>
      <c r="N968" s="13">
        <v>508.72</v>
      </c>
      <c r="O968" s="5" t="s">
        <v>38</v>
      </c>
      <c r="P968" s="5" t="s">
        <v>39</v>
      </c>
      <c r="Q968" s="2">
        <v>45961</v>
      </c>
      <c r="V968" s="46">
        <f>IF(
  OR(
    ISNUMBER(SEARCH("unable to locate acct", tblDocketedComments[[#This Row],[Docketed Consumer Comments]])),
    ISNUMBER(SEARCH("unknown", tblDocketedComments[[#This Row],[Docketed Consumer Comments]])),
    ISNUMBER(SEARCH("inactive", tblDocketedComments[[#This Row],[Docketed Consumer Comments]]))
  ),
  0,
  1
)</f>
        <v>1</v>
      </c>
    </row>
    <row r="969" spans="1:22" ht="11.65" customHeight="1">
      <c r="A969" s="2">
        <v>45908</v>
      </c>
      <c r="B969" s="1" t="s">
        <v>2781</v>
      </c>
      <c r="C969" s="1" t="s">
        <v>2380</v>
      </c>
      <c r="D969" s="1" t="s">
        <v>89</v>
      </c>
      <c r="E969" s="1">
        <v>86341</v>
      </c>
      <c r="F969" s="1" t="s">
        <v>1990</v>
      </c>
      <c r="G969" s="1" t="s">
        <v>2782</v>
      </c>
      <c r="H969" s="4" t="s">
        <v>2783</v>
      </c>
      <c r="I969" s="5" t="s">
        <v>57</v>
      </c>
      <c r="J969" s="5" t="s">
        <v>37</v>
      </c>
      <c r="K969" s="5" t="s">
        <v>37</v>
      </c>
      <c r="L969" s="7" t="s">
        <v>2784</v>
      </c>
      <c r="M969" s="5" t="s">
        <v>37</v>
      </c>
      <c r="N969" s="5" t="s">
        <v>37</v>
      </c>
      <c r="O969" s="5" t="s">
        <v>38</v>
      </c>
      <c r="P969" s="2">
        <v>45938</v>
      </c>
      <c r="Q969" s="2">
        <v>45961</v>
      </c>
      <c r="R969" s="1" t="s">
        <v>2767</v>
      </c>
      <c r="V969" s="46">
        <f>IF(
  OR(
    ISNUMBER(SEARCH("unable to locate acct", tblDocketedComments[[#This Row],[Docketed Consumer Comments]])),
    ISNUMBER(SEARCH("unknown", tblDocketedComments[[#This Row],[Docketed Consumer Comments]])),
    ISNUMBER(SEARCH("inactive", tblDocketedComments[[#This Row],[Docketed Consumer Comments]]))
  ),
  0,
  1
)</f>
        <v>1</v>
      </c>
    </row>
    <row r="970" spans="1:22" ht="11.65" customHeight="1">
      <c r="A970" s="2">
        <v>45909</v>
      </c>
      <c r="B970" s="1" t="s">
        <v>2785</v>
      </c>
      <c r="C970" s="1" t="s">
        <v>2786</v>
      </c>
      <c r="D970" s="1" t="s">
        <v>63</v>
      </c>
      <c r="E970" s="1">
        <v>85012</v>
      </c>
      <c r="F970" s="1" t="s">
        <v>310</v>
      </c>
      <c r="G970" s="1" t="s">
        <v>2782</v>
      </c>
      <c r="H970" s="4" t="s">
        <v>2787</v>
      </c>
      <c r="I970" s="5" t="s">
        <v>126</v>
      </c>
      <c r="J970" s="5" t="s">
        <v>37</v>
      </c>
      <c r="K970" s="5" t="s">
        <v>37</v>
      </c>
      <c r="L970" s="5" t="s">
        <v>1586</v>
      </c>
      <c r="M970" s="5" t="s">
        <v>37</v>
      </c>
      <c r="N970" s="5" t="s">
        <v>37</v>
      </c>
      <c r="O970" s="5" t="s">
        <v>38</v>
      </c>
      <c r="P970" s="5" t="s">
        <v>39</v>
      </c>
      <c r="Q970" s="2">
        <v>45961</v>
      </c>
      <c r="V970" s="46">
        <f>IF(
  OR(
    ISNUMBER(SEARCH("unable to locate acct", tblDocketedComments[[#This Row],[Docketed Consumer Comments]])),
    ISNUMBER(SEARCH("unknown", tblDocketedComments[[#This Row],[Docketed Consumer Comments]])),
    ISNUMBER(SEARCH("inactive", tblDocketedComments[[#This Row],[Docketed Consumer Comments]]))
  ),
  0,
  1
)</f>
        <v>1</v>
      </c>
    </row>
    <row r="971" spans="1:22" ht="11.65" customHeight="1">
      <c r="A971" s="2">
        <v>45909</v>
      </c>
      <c r="B971" s="1" t="s">
        <v>2788</v>
      </c>
      <c r="C971" s="1" t="s">
        <v>2789</v>
      </c>
      <c r="D971" s="1" t="s">
        <v>202</v>
      </c>
      <c r="E971" s="1">
        <v>85383</v>
      </c>
      <c r="F971" s="1" t="s">
        <v>2790</v>
      </c>
      <c r="G971" s="1" t="s">
        <v>2782</v>
      </c>
      <c r="H971" s="4" t="s">
        <v>2791</v>
      </c>
      <c r="I971" s="5" t="s">
        <v>1488</v>
      </c>
      <c r="J971" s="5" t="s">
        <v>37</v>
      </c>
      <c r="K971" s="5" t="s">
        <v>37</v>
      </c>
      <c r="L971" s="5" t="s">
        <v>389</v>
      </c>
      <c r="M971" s="5" t="s">
        <v>37</v>
      </c>
      <c r="N971" s="5" t="s">
        <v>37</v>
      </c>
      <c r="O971" s="5" t="s">
        <v>38</v>
      </c>
      <c r="P971" s="5" t="s">
        <v>39</v>
      </c>
      <c r="Q971" s="2">
        <v>45961</v>
      </c>
      <c r="V971" s="46">
        <f>IF(
  OR(
    ISNUMBER(SEARCH("unable to locate acct", tblDocketedComments[[#This Row],[Docketed Consumer Comments]])),
    ISNUMBER(SEARCH("unknown", tblDocketedComments[[#This Row],[Docketed Consumer Comments]])),
    ISNUMBER(SEARCH("inactive", tblDocketedComments[[#This Row],[Docketed Consumer Comments]]))
  ),
  0,
  1
)</f>
        <v>1</v>
      </c>
    </row>
    <row r="972" spans="1:22" ht="11.65" customHeight="1">
      <c r="A972" s="2">
        <v>45909</v>
      </c>
      <c r="B972" s="1" t="s">
        <v>686</v>
      </c>
      <c r="C972" s="1" t="s">
        <v>1755</v>
      </c>
      <c r="D972" s="1" t="s">
        <v>112</v>
      </c>
      <c r="E972" s="1">
        <v>85374</v>
      </c>
      <c r="F972" s="1" t="s">
        <v>310</v>
      </c>
      <c r="G972" s="1" t="s">
        <v>2782</v>
      </c>
      <c r="H972" s="4" t="s">
        <v>2792</v>
      </c>
      <c r="I972" s="5" t="s">
        <v>36</v>
      </c>
      <c r="J972" s="5" t="s">
        <v>37</v>
      </c>
      <c r="K972" s="5" t="s">
        <v>37</v>
      </c>
      <c r="L972" s="5" t="s">
        <v>1586</v>
      </c>
      <c r="M972" s="5" t="s">
        <v>37</v>
      </c>
      <c r="N972" s="5" t="s">
        <v>37</v>
      </c>
      <c r="O972" s="5" t="s">
        <v>38</v>
      </c>
      <c r="P972" s="5" t="s">
        <v>39</v>
      </c>
      <c r="Q972" s="2">
        <v>45961</v>
      </c>
      <c r="V972" s="46">
        <f>IF(
  OR(
    ISNUMBER(SEARCH("unable to locate acct", tblDocketedComments[[#This Row],[Docketed Consumer Comments]])),
    ISNUMBER(SEARCH("unknown", tblDocketedComments[[#This Row],[Docketed Consumer Comments]])),
    ISNUMBER(SEARCH("inactive", tblDocketedComments[[#This Row],[Docketed Consumer Comments]]))
  ),
  0,
  1
)</f>
        <v>1</v>
      </c>
    </row>
    <row r="973" spans="1:22" ht="11.65" customHeight="1">
      <c r="A973" s="2">
        <v>45909</v>
      </c>
      <c r="B973" s="1" t="s">
        <v>1703</v>
      </c>
      <c r="C973" s="1" t="s">
        <v>2793</v>
      </c>
      <c r="D973" s="1" t="s">
        <v>63</v>
      </c>
      <c r="E973" s="1">
        <v>85032</v>
      </c>
      <c r="F973" s="1" t="s">
        <v>310</v>
      </c>
      <c r="G973" s="1" t="s">
        <v>2782</v>
      </c>
      <c r="H973" s="4" t="s">
        <v>27</v>
      </c>
      <c r="V973" s="46">
        <f>IF(
  OR(
    ISNUMBER(SEARCH("unable to locate acct", tblDocketedComments[[#This Row],[Docketed Consumer Comments]])),
    ISNUMBER(SEARCH("unknown", tblDocketedComments[[#This Row],[Docketed Consumer Comments]])),
    ISNUMBER(SEARCH("inactive", tblDocketedComments[[#This Row],[Docketed Consumer Comments]]))
  ),
  0,
  1
)</f>
        <v>1</v>
      </c>
    </row>
    <row r="974" spans="1:22" ht="11.65" customHeight="1">
      <c r="A974" s="2">
        <v>45909</v>
      </c>
      <c r="B974" s="1" t="s">
        <v>1356</v>
      </c>
      <c r="C974" s="1" t="s">
        <v>2794</v>
      </c>
      <c r="D974" s="1" t="s">
        <v>63</v>
      </c>
      <c r="E974" s="1">
        <v>85012</v>
      </c>
      <c r="F974" s="1" t="s">
        <v>310</v>
      </c>
      <c r="G974" s="1" t="s">
        <v>2782</v>
      </c>
      <c r="H974" s="4" t="s">
        <v>2795</v>
      </c>
      <c r="I974" s="5" t="s">
        <v>73</v>
      </c>
      <c r="J974" s="5" t="s">
        <v>38</v>
      </c>
      <c r="K974" s="5" t="s">
        <v>37</v>
      </c>
      <c r="L974" s="5" t="s">
        <v>1586</v>
      </c>
      <c r="M974" s="5" t="s">
        <v>37</v>
      </c>
      <c r="N974" s="5" t="s">
        <v>37</v>
      </c>
      <c r="O974" s="5" t="s">
        <v>38</v>
      </c>
      <c r="P974" s="5" t="s">
        <v>39</v>
      </c>
      <c r="Q974" s="2">
        <v>45961</v>
      </c>
      <c r="V974" s="46">
        <f>IF(
  OR(
    ISNUMBER(SEARCH("unable to locate acct", tblDocketedComments[[#This Row],[Docketed Consumer Comments]])),
    ISNUMBER(SEARCH("unknown", tblDocketedComments[[#This Row],[Docketed Consumer Comments]])),
    ISNUMBER(SEARCH("inactive", tblDocketedComments[[#This Row],[Docketed Consumer Comments]]))
  ),
  0,
  1
)</f>
        <v>1</v>
      </c>
    </row>
    <row r="975" spans="1:22" ht="11.65" customHeight="1">
      <c r="A975" s="2">
        <v>45909</v>
      </c>
      <c r="B975" s="1" t="s">
        <v>312</v>
      </c>
      <c r="C975" s="1" t="s">
        <v>553</v>
      </c>
      <c r="D975" s="1" t="s">
        <v>24</v>
      </c>
      <c r="E975" s="1">
        <v>85308</v>
      </c>
      <c r="F975" s="1" t="s">
        <v>2129</v>
      </c>
      <c r="G975" s="1" t="s">
        <v>2782</v>
      </c>
      <c r="H975" s="4" t="s">
        <v>27</v>
      </c>
      <c r="V975" s="46">
        <f>IF(
  OR(
    ISNUMBER(SEARCH("unable to locate acct", tblDocketedComments[[#This Row],[Docketed Consumer Comments]])),
    ISNUMBER(SEARCH("unknown", tblDocketedComments[[#This Row],[Docketed Consumer Comments]])),
    ISNUMBER(SEARCH("inactive", tblDocketedComments[[#This Row],[Docketed Consumer Comments]]))
  ),
  0,
  1
)</f>
        <v>1</v>
      </c>
    </row>
    <row r="976" spans="1:22" ht="11.65" customHeight="1">
      <c r="A976" s="2">
        <v>45909</v>
      </c>
      <c r="B976" s="1" t="s">
        <v>2796</v>
      </c>
      <c r="C976" s="1" t="s">
        <v>2797</v>
      </c>
      <c r="D976" s="1" t="s">
        <v>63</v>
      </c>
      <c r="E976" s="1">
        <v>85085</v>
      </c>
      <c r="F976" s="1" t="s">
        <v>310</v>
      </c>
      <c r="G976" s="1" t="s">
        <v>2782</v>
      </c>
      <c r="H976" s="4" t="s">
        <v>2798</v>
      </c>
      <c r="I976" s="5" t="s">
        <v>1684</v>
      </c>
      <c r="J976" s="5" t="s">
        <v>37</v>
      </c>
      <c r="K976" s="5" t="s">
        <v>37</v>
      </c>
      <c r="L976" s="5" t="s">
        <v>401</v>
      </c>
      <c r="M976" s="5" t="s">
        <v>37</v>
      </c>
      <c r="N976" s="5" t="s">
        <v>37</v>
      </c>
      <c r="O976" s="5" t="s">
        <v>38</v>
      </c>
      <c r="P976" s="5" t="s">
        <v>39</v>
      </c>
      <c r="Q976" s="2">
        <v>45961</v>
      </c>
      <c r="V976" s="46">
        <f>IF(
  OR(
    ISNUMBER(SEARCH("unable to locate acct", tblDocketedComments[[#This Row],[Docketed Consumer Comments]])),
    ISNUMBER(SEARCH("unknown", tblDocketedComments[[#This Row],[Docketed Consumer Comments]])),
    ISNUMBER(SEARCH("inactive", tblDocketedComments[[#This Row],[Docketed Consumer Comments]]))
  ),
  0,
  1
)</f>
        <v>1</v>
      </c>
    </row>
    <row r="977" spans="1:22" ht="11.65" customHeight="1">
      <c r="A977" s="2">
        <v>45909</v>
      </c>
      <c r="B977" s="1" t="s">
        <v>2799</v>
      </c>
      <c r="C977" s="1" t="s">
        <v>2800</v>
      </c>
      <c r="D977" s="1" t="s">
        <v>202</v>
      </c>
      <c r="E977" s="1">
        <v>85383</v>
      </c>
      <c r="F977" s="1" t="s">
        <v>310</v>
      </c>
      <c r="G977" s="1" t="s">
        <v>2782</v>
      </c>
      <c r="H977" s="4" t="s">
        <v>2801</v>
      </c>
      <c r="I977" s="5" t="s">
        <v>36</v>
      </c>
      <c r="J977" s="5" t="s">
        <v>37</v>
      </c>
      <c r="K977" s="5" t="s">
        <v>37</v>
      </c>
      <c r="L977" s="5" t="s">
        <v>1586</v>
      </c>
      <c r="M977" s="5" t="s">
        <v>37</v>
      </c>
      <c r="N977" s="5" t="s">
        <v>37</v>
      </c>
      <c r="O977" s="5" t="s">
        <v>38</v>
      </c>
      <c r="P977" s="5" t="s">
        <v>39</v>
      </c>
      <c r="Q977" s="2">
        <v>45961</v>
      </c>
      <c r="V977" s="46">
        <f>IF(
  OR(
    ISNUMBER(SEARCH("unable to locate acct", tblDocketedComments[[#This Row],[Docketed Consumer Comments]])),
    ISNUMBER(SEARCH("unknown", tblDocketedComments[[#This Row],[Docketed Consumer Comments]])),
    ISNUMBER(SEARCH("inactive", tblDocketedComments[[#This Row],[Docketed Consumer Comments]]))
  ),
  0,
  1
)</f>
        <v>1</v>
      </c>
    </row>
    <row r="978" spans="1:22" ht="11.65" customHeight="1">
      <c r="A978" s="2">
        <v>45909</v>
      </c>
      <c r="B978" s="1" t="s">
        <v>2802</v>
      </c>
      <c r="C978" s="1" t="s">
        <v>2803</v>
      </c>
      <c r="D978" s="1" t="s">
        <v>619</v>
      </c>
      <c r="E978" s="1">
        <v>85365</v>
      </c>
      <c r="F978" s="1" t="s">
        <v>2804</v>
      </c>
      <c r="G978" s="1" t="s">
        <v>2782</v>
      </c>
      <c r="H978" s="4" t="s">
        <v>2805</v>
      </c>
      <c r="I978" s="5" t="s">
        <v>196</v>
      </c>
      <c r="J978" s="5" t="s">
        <v>37</v>
      </c>
      <c r="K978" s="5" t="s">
        <v>37</v>
      </c>
      <c r="L978" s="7" t="s">
        <v>2806</v>
      </c>
      <c r="M978" s="5" t="s">
        <v>37</v>
      </c>
      <c r="N978" s="5" t="s">
        <v>37</v>
      </c>
      <c r="O978" s="5" t="s">
        <v>38</v>
      </c>
      <c r="P978" s="2">
        <v>45938</v>
      </c>
      <c r="Q978" s="2">
        <v>45961</v>
      </c>
      <c r="R978" s="1" t="s">
        <v>2767</v>
      </c>
      <c r="V978" s="46">
        <f>IF(
  OR(
    ISNUMBER(SEARCH("unable to locate acct", tblDocketedComments[[#This Row],[Docketed Consumer Comments]])),
    ISNUMBER(SEARCH("unknown", tblDocketedComments[[#This Row],[Docketed Consumer Comments]])),
    ISNUMBER(SEARCH("inactive", tblDocketedComments[[#This Row],[Docketed Consumer Comments]]))
  ),
  0,
  1
)</f>
        <v>1</v>
      </c>
    </row>
    <row r="979" spans="1:22" ht="11.65" customHeight="1">
      <c r="A979" s="2">
        <v>45909</v>
      </c>
      <c r="B979" s="1" t="s">
        <v>2807</v>
      </c>
      <c r="C979" s="1" t="s">
        <v>2808</v>
      </c>
      <c r="D979" s="1" t="s">
        <v>428</v>
      </c>
      <c r="E979" s="1">
        <v>85335</v>
      </c>
      <c r="F979" s="1" t="s">
        <v>2809</v>
      </c>
      <c r="G979" s="1" t="s">
        <v>2782</v>
      </c>
      <c r="H979" s="4" t="s">
        <v>2810</v>
      </c>
      <c r="I979" s="5" t="s">
        <v>1488</v>
      </c>
      <c r="J979" s="5" t="s">
        <v>37</v>
      </c>
      <c r="K979" s="5" t="s">
        <v>37</v>
      </c>
      <c r="L979" s="5" t="s">
        <v>389</v>
      </c>
      <c r="M979" s="5" t="s">
        <v>37</v>
      </c>
      <c r="N979" s="5" t="s">
        <v>37</v>
      </c>
      <c r="O979" s="5" t="s">
        <v>38</v>
      </c>
      <c r="P979" s="5" t="s">
        <v>39</v>
      </c>
      <c r="Q979" s="2">
        <v>45961</v>
      </c>
      <c r="V979" s="46">
        <f>IF(
  OR(
    ISNUMBER(SEARCH("unable to locate acct", tblDocketedComments[[#This Row],[Docketed Consumer Comments]])),
    ISNUMBER(SEARCH("unknown", tblDocketedComments[[#This Row],[Docketed Consumer Comments]])),
    ISNUMBER(SEARCH("inactive", tblDocketedComments[[#This Row],[Docketed Consumer Comments]]))
  ),
  0,
  1
)</f>
        <v>1</v>
      </c>
    </row>
    <row r="980" spans="1:22" ht="11.65" customHeight="1">
      <c r="A980" s="2">
        <v>45909</v>
      </c>
      <c r="B980" s="1" t="s">
        <v>2811</v>
      </c>
      <c r="C980" s="1" t="s">
        <v>1444</v>
      </c>
      <c r="D980" s="1" t="s">
        <v>370</v>
      </c>
      <c r="E980" s="1">
        <v>85225</v>
      </c>
      <c r="F980" s="1" t="s">
        <v>310</v>
      </c>
      <c r="G980" s="1" t="s">
        <v>2812</v>
      </c>
      <c r="H980" s="4" t="s">
        <v>2813</v>
      </c>
      <c r="I980" s="5" t="s">
        <v>46</v>
      </c>
      <c r="J980" s="5" t="s">
        <v>37</v>
      </c>
      <c r="K980" s="5" t="s">
        <v>37</v>
      </c>
      <c r="L980" s="5" t="s">
        <v>1586</v>
      </c>
      <c r="M980" s="5" t="s">
        <v>37</v>
      </c>
      <c r="N980" s="5" t="s">
        <v>37</v>
      </c>
      <c r="O980" s="5" t="s">
        <v>38</v>
      </c>
      <c r="P980" s="5" t="s">
        <v>39</v>
      </c>
      <c r="Q980" s="2">
        <v>45961</v>
      </c>
      <c r="V980" s="46">
        <f>IF(
  OR(
    ISNUMBER(SEARCH("unable to locate acct", tblDocketedComments[[#This Row],[Docketed Consumer Comments]])),
    ISNUMBER(SEARCH("unknown", tblDocketedComments[[#This Row],[Docketed Consumer Comments]])),
    ISNUMBER(SEARCH("inactive", tblDocketedComments[[#This Row],[Docketed Consumer Comments]]))
  ),
  0,
  1
)</f>
        <v>1</v>
      </c>
    </row>
    <row r="981" spans="1:22" ht="11.65" customHeight="1">
      <c r="A981" s="2">
        <v>45909</v>
      </c>
      <c r="B981" s="1" t="s">
        <v>558</v>
      </c>
      <c r="C981" s="1" t="s">
        <v>2814</v>
      </c>
      <c r="D981" s="1" t="s">
        <v>1719</v>
      </c>
      <c r="E981" s="1">
        <v>85615</v>
      </c>
      <c r="F981" s="1" t="s">
        <v>31</v>
      </c>
      <c r="G981" s="1" t="s">
        <v>2812</v>
      </c>
      <c r="H981" s="4" t="s">
        <v>2815</v>
      </c>
      <c r="I981" s="5" t="s">
        <v>196</v>
      </c>
      <c r="J981" s="5" t="s">
        <v>38</v>
      </c>
      <c r="K981" s="5" t="s">
        <v>37</v>
      </c>
      <c r="L981" s="7" t="s">
        <v>2816</v>
      </c>
      <c r="M981" s="5" t="s">
        <v>37</v>
      </c>
      <c r="N981" s="5" t="s">
        <v>37</v>
      </c>
      <c r="O981" s="5" t="s">
        <v>38</v>
      </c>
      <c r="P981" s="2">
        <v>45938</v>
      </c>
      <c r="Q981" s="2">
        <v>45961</v>
      </c>
      <c r="R981" s="1" t="s">
        <v>2767</v>
      </c>
      <c r="V981" s="46">
        <f>IF(
  OR(
    ISNUMBER(SEARCH("unable to locate acct", tblDocketedComments[[#This Row],[Docketed Consumer Comments]])),
    ISNUMBER(SEARCH("unknown", tblDocketedComments[[#This Row],[Docketed Consumer Comments]])),
    ISNUMBER(SEARCH("inactive", tblDocketedComments[[#This Row],[Docketed Consumer Comments]]))
  ),
  0,
  1
)</f>
        <v>1</v>
      </c>
    </row>
    <row r="982" spans="1:22" ht="11.65" customHeight="1">
      <c r="A982" s="2">
        <v>45909</v>
      </c>
      <c r="B982" s="1" t="s">
        <v>1136</v>
      </c>
      <c r="C982" s="1" t="s">
        <v>2817</v>
      </c>
      <c r="D982" s="1" t="s">
        <v>63</v>
      </c>
      <c r="E982" s="1">
        <v>85032</v>
      </c>
      <c r="F982" s="1" t="s">
        <v>310</v>
      </c>
      <c r="G982" s="1" t="s">
        <v>2812</v>
      </c>
      <c r="H982" s="4" t="s">
        <v>2818</v>
      </c>
      <c r="I982" s="5" t="s">
        <v>36</v>
      </c>
      <c r="J982" s="5" t="s">
        <v>37</v>
      </c>
      <c r="K982" s="5" t="s">
        <v>37</v>
      </c>
      <c r="L982" s="5" t="s">
        <v>1586</v>
      </c>
      <c r="M982" s="5" t="s">
        <v>37</v>
      </c>
      <c r="N982" s="5" t="s">
        <v>37</v>
      </c>
      <c r="O982" s="5" t="s">
        <v>38</v>
      </c>
      <c r="P982" s="5" t="s">
        <v>39</v>
      </c>
      <c r="Q982" s="2">
        <v>45961</v>
      </c>
      <c r="V982" s="46">
        <f>IF(
  OR(
    ISNUMBER(SEARCH("unable to locate acct", tblDocketedComments[[#This Row],[Docketed Consumer Comments]])),
    ISNUMBER(SEARCH("unknown", tblDocketedComments[[#This Row],[Docketed Consumer Comments]])),
    ISNUMBER(SEARCH("inactive", tblDocketedComments[[#This Row],[Docketed Consumer Comments]]))
  ),
  0,
  1
)</f>
        <v>1</v>
      </c>
    </row>
    <row r="983" spans="1:22" ht="11.65" customHeight="1">
      <c r="A983" s="2">
        <v>45909</v>
      </c>
      <c r="B983" s="1" t="s">
        <v>269</v>
      </c>
      <c r="C983" s="1" t="s">
        <v>420</v>
      </c>
      <c r="D983" s="1" t="s">
        <v>63</v>
      </c>
      <c r="E983" s="1">
        <v>85020</v>
      </c>
      <c r="F983" s="1" t="s">
        <v>310</v>
      </c>
      <c r="G983" s="1" t="s">
        <v>2812</v>
      </c>
      <c r="H983" s="4" t="s">
        <v>2819</v>
      </c>
      <c r="I983" s="5" t="s">
        <v>541</v>
      </c>
      <c r="J983" s="5" t="s">
        <v>37</v>
      </c>
      <c r="K983" s="5" t="s">
        <v>37</v>
      </c>
      <c r="L983" s="5" t="s">
        <v>389</v>
      </c>
      <c r="M983" s="5" t="s">
        <v>37</v>
      </c>
      <c r="N983" s="5" t="s">
        <v>37</v>
      </c>
      <c r="O983" s="5" t="s">
        <v>38</v>
      </c>
      <c r="P983" s="5" t="s">
        <v>39</v>
      </c>
      <c r="Q983" s="2">
        <v>45961</v>
      </c>
      <c r="V983" s="46">
        <f>IF(
  OR(
    ISNUMBER(SEARCH("unable to locate acct", tblDocketedComments[[#This Row],[Docketed Consumer Comments]])),
    ISNUMBER(SEARCH("unknown", tblDocketedComments[[#This Row],[Docketed Consumer Comments]])),
    ISNUMBER(SEARCH("inactive", tblDocketedComments[[#This Row],[Docketed Consumer Comments]]))
  ),
  0,
  1
)</f>
        <v>1</v>
      </c>
    </row>
    <row r="984" spans="1:22" ht="11.65" customHeight="1">
      <c r="A984" s="2">
        <v>45909</v>
      </c>
      <c r="B984" s="1" t="s">
        <v>2820</v>
      </c>
      <c r="C984" s="1" t="s">
        <v>177</v>
      </c>
      <c r="D984" s="1" t="s">
        <v>63</v>
      </c>
      <c r="E984" s="1">
        <v>85083</v>
      </c>
      <c r="F984" s="1" t="s">
        <v>31</v>
      </c>
      <c r="G984" s="1" t="s">
        <v>2812</v>
      </c>
      <c r="H984" s="4" t="s">
        <v>209</v>
      </c>
      <c r="V984" s="46">
        <f>IF(
  OR(
    ISNUMBER(SEARCH("unable to locate acct", tblDocketedComments[[#This Row],[Docketed Consumer Comments]])),
    ISNUMBER(SEARCH("unknown", tblDocketedComments[[#This Row],[Docketed Consumer Comments]])),
    ISNUMBER(SEARCH("inactive", tblDocketedComments[[#This Row],[Docketed Consumer Comments]]))
  ),
  0,
  1
)</f>
        <v>1</v>
      </c>
    </row>
    <row r="985" spans="1:22" ht="11.65" customHeight="1">
      <c r="A985" s="2">
        <v>45909</v>
      </c>
      <c r="B985" s="1" t="s">
        <v>2821</v>
      </c>
      <c r="C985" s="1" t="s">
        <v>1806</v>
      </c>
      <c r="D985" s="1" t="s">
        <v>63</v>
      </c>
      <c r="E985" s="1">
        <v>85083</v>
      </c>
      <c r="F985" s="1" t="s">
        <v>31</v>
      </c>
      <c r="G985" s="1" t="s">
        <v>2812</v>
      </c>
      <c r="H985" s="4" t="s">
        <v>2822</v>
      </c>
      <c r="I985" s="5" t="s">
        <v>126</v>
      </c>
      <c r="J985" s="5" t="s">
        <v>37</v>
      </c>
      <c r="K985" s="5" t="s">
        <v>37</v>
      </c>
      <c r="L985" s="5" t="s">
        <v>1586</v>
      </c>
      <c r="M985" s="5" t="s">
        <v>37</v>
      </c>
      <c r="N985" s="5" t="s">
        <v>37</v>
      </c>
      <c r="O985" s="5" t="s">
        <v>38</v>
      </c>
      <c r="P985" s="5" t="s">
        <v>39</v>
      </c>
      <c r="Q985" s="2">
        <v>45961</v>
      </c>
      <c r="V985" s="46">
        <f>IF(
  OR(
    ISNUMBER(SEARCH("unable to locate acct", tblDocketedComments[[#This Row],[Docketed Consumer Comments]])),
    ISNUMBER(SEARCH("unknown", tblDocketedComments[[#This Row],[Docketed Consumer Comments]])),
    ISNUMBER(SEARCH("inactive", tblDocketedComments[[#This Row],[Docketed Consumer Comments]]))
  ),
  0,
  1
)</f>
        <v>1</v>
      </c>
    </row>
    <row r="986" spans="1:22" ht="11.65" customHeight="1">
      <c r="A986" s="2">
        <v>45909</v>
      </c>
      <c r="B986" s="1" t="s">
        <v>835</v>
      </c>
      <c r="C986" s="1" t="s">
        <v>2823</v>
      </c>
      <c r="D986" s="1" t="s">
        <v>63</v>
      </c>
      <c r="E986" s="1">
        <v>85086</v>
      </c>
      <c r="F986" s="1" t="s">
        <v>31</v>
      </c>
      <c r="G986" s="1" t="s">
        <v>2812</v>
      </c>
      <c r="H986" s="4" t="s">
        <v>2824</v>
      </c>
      <c r="I986" s="5" t="s">
        <v>36</v>
      </c>
      <c r="J986" s="5" t="s">
        <v>38</v>
      </c>
      <c r="K986" s="5" t="s">
        <v>37</v>
      </c>
      <c r="L986" s="5" t="s">
        <v>1586</v>
      </c>
      <c r="M986" s="5" t="s">
        <v>37</v>
      </c>
      <c r="N986" s="5" t="s">
        <v>37</v>
      </c>
      <c r="O986" s="5" t="s">
        <v>38</v>
      </c>
      <c r="P986" s="5" t="s">
        <v>39</v>
      </c>
      <c r="Q986" s="2">
        <v>45961</v>
      </c>
      <c r="V986" s="46">
        <f>IF(
  OR(
    ISNUMBER(SEARCH("unable to locate acct", tblDocketedComments[[#This Row],[Docketed Consumer Comments]])),
    ISNUMBER(SEARCH("unknown", tblDocketedComments[[#This Row],[Docketed Consumer Comments]])),
    ISNUMBER(SEARCH("inactive", tblDocketedComments[[#This Row],[Docketed Consumer Comments]]))
  ),
  0,
  1
)</f>
        <v>1</v>
      </c>
    </row>
    <row r="987" spans="1:22" ht="11.65" customHeight="1">
      <c r="A987" s="2">
        <v>45909</v>
      </c>
      <c r="B987" s="1" t="s">
        <v>2825</v>
      </c>
      <c r="C987" s="1" t="s">
        <v>2587</v>
      </c>
      <c r="D987" s="1" t="s">
        <v>63</v>
      </c>
      <c r="E987" s="1">
        <v>85006</v>
      </c>
      <c r="F987" s="1" t="s">
        <v>31</v>
      </c>
      <c r="G987" s="1" t="s">
        <v>2812</v>
      </c>
      <c r="H987" s="4" t="s">
        <v>27</v>
      </c>
      <c r="V987" s="46">
        <f>IF(
  OR(
    ISNUMBER(SEARCH("unable to locate acct", tblDocketedComments[[#This Row],[Docketed Consumer Comments]])),
    ISNUMBER(SEARCH("unknown", tblDocketedComments[[#This Row],[Docketed Consumer Comments]])),
    ISNUMBER(SEARCH("inactive", tblDocketedComments[[#This Row],[Docketed Consumer Comments]]))
  ),
  0,
  1
)</f>
        <v>1</v>
      </c>
    </row>
    <row r="988" spans="1:22" ht="11.65" customHeight="1">
      <c r="A988" s="2">
        <v>45909</v>
      </c>
      <c r="B988" s="1" t="s">
        <v>2826</v>
      </c>
      <c r="C988" s="1" t="s">
        <v>102</v>
      </c>
      <c r="D988" s="1" t="s">
        <v>63</v>
      </c>
      <c r="E988" s="1">
        <v>85086</v>
      </c>
      <c r="F988" s="1" t="s">
        <v>2827</v>
      </c>
      <c r="G988" s="1" t="s">
        <v>2812</v>
      </c>
      <c r="H988" s="4" t="s">
        <v>2828</v>
      </c>
      <c r="I988" s="5" t="s">
        <v>46</v>
      </c>
      <c r="J988" s="5" t="s">
        <v>37</v>
      </c>
      <c r="K988" s="5" t="s">
        <v>37</v>
      </c>
      <c r="L988" s="5" t="s">
        <v>1586</v>
      </c>
      <c r="M988" s="5" t="s">
        <v>37</v>
      </c>
      <c r="N988" s="5" t="s">
        <v>37</v>
      </c>
      <c r="O988" s="5" t="s">
        <v>38</v>
      </c>
      <c r="P988" s="5" t="s">
        <v>39</v>
      </c>
      <c r="Q988" s="2">
        <v>45961</v>
      </c>
      <c r="V988" s="46">
        <f>IF(
  OR(
    ISNUMBER(SEARCH("unable to locate acct", tblDocketedComments[[#This Row],[Docketed Consumer Comments]])),
    ISNUMBER(SEARCH("unknown", tblDocketedComments[[#This Row],[Docketed Consumer Comments]])),
    ISNUMBER(SEARCH("inactive", tblDocketedComments[[#This Row],[Docketed Consumer Comments]]))
  ),
  0,
  1
)</f>
        <v>1</v>
      </c>
    </row>
    <row r="989" spans="1:22" ht="11.65" customHeight="1">
      <c r="A989" s="2">
        <v>45909</v>
      </c>
      <c r="B989" s="1" t="s">
        <v>2829</v>
      </c>
      <c r="C989" s="1" t="s">
        <v>2380</v>
      </c>
      <c r="D989" s="1" t="s">
        <v>63</v>
      </c>
      <c r="E989" s="1">
        <v>85086</v>
      </c>
      <c r="F989" s="1" t="s">
        <v>31</v>
      </c>
      <c r="G989" s="1" t="s">
        <v>2812</v>
      </c>
      <c r="H989" s="4" t="s">
        <v>2830</v>
      </c>
      <c r="I989" s="5" t="s">
        <v>46</v>
      </c>
      <c r="J989" s="5" t="s">
        <v>37</v>
      </c>
      <c r="K989" s="5" t="s">
        <v>37</v>
      </c>
      <c r="L989" s="5" t="s">
        <v>1586</v>
      </c>
      <c r="M989" s="5" t="s">
        <v>38</v>
      </c>
      <c r="N989" s="15">
        <v>1068.19</v>
      </c>
      <c r="O989" s="5" t="s">
        <v>38</v>
      </c>
      <c r="P989" s="7"/>
      <c r="Q989" s="2">
        <v>45961</v>
      </c>
      <c r="R989" s="1" t="s">
        <v>495</v>
      </c>
      <c r="V989" s="46">
        <f>IF(
  OR(
    ISNUMBER(SEARCH("unable to locate acct", tblDocketedComments[[#This Row],[Docketed Consumer Comments]])),
    ISNUMBER(SEARCH("unknown", tblDocketedComments[[#This Row],[Docketed Consumer Comments]])),
    ISNUMBER(SEARCH("inactive", tblDocketedComments[[#This Row],[Docketed Consumer Comments]]))
  ),
  0,
  1
)</f>
        <v>1</v>
      </c>
    </row>
    <row r="990" spans="1:22" ht="11.65" customHeight="1">
      <c r="A990" s="2">
        <v>45909</v>
      </c>
      <c r="B990" s="1" t="s">
        <v>2594</v>
      </c>
      <c r="C990" s="1" t="s">
        <v>206</v>
      </c>
      <c r="D990" s="1" t="s">
        <v>30</v>
      </c>
      <c r="E990" s="1" t="s">
        <v>30</v>
      </c>
      <c r="F990" s="1" t="s">
        <v>2831</v>
      </c>
      <c r="G990" s="1" t="s">
        <v>2812</v>
      </c>
      <c r="H990" s="4" t="s">
        <v>27</v>
      </c>
      <c r="V990" s="46">
        <f>IF(
  OR(
    ISNUMBER(SEARCH("unable to locate acct", tblDocketedComments[[#This Row],[Docketed Consumer Comments]])),
    ISNUMBER(SEARCH("unknown", tblDocketedComments[[#This Row],[Docketed Consumer Comments]])),
    ISNUMBER(SEARCH("inactive", tblDocketedComments[[#This Row],[Docketed Consumer Comments]]))
  ),
  0,
  1
)</f>
        <v>1</v>
      </c>
    </row>
    <row r="991" spans="1:22" ht="11.65" customHeight="1">
      <c r="A991" s="2">
        <v>45909</v>
      </c>
      <c r="B991" s="1" t="s">
        <v>2371</v>
      </c>
      <c r="C991" s="1" t="s">
        <v>2832</v>
      </c>
      <c r="D991" s="1" t="s">
        <v>30</v>
      </c>
      <c r="E991" s="1" t="s">
        <v>30</v>
      </c>
      <c r="F991" s="1" t="s">
        <v>310</v>
      </c>
      <c r="G991" s="1" t="s">
        <v>2812</v>
      </c>
      <c r="H991" s="4" t="s">
        <v>27</v>
      </c>
      <c r="V991" s="46">
        <f>IF(
  OR(
    ISNUMBER(SEARCH("unable to locate acct", tblDocketedComments[[#This Row],[Docketed Consumer Comments]])),
    ISNUMBER(SEARCH("unknown", tblDocketedComments[[#This Row],[Docketed Consumer Comments]])),
    ISNUMBER(SEARCH("inactive", tblDocketedComments[[#This Row],[Docketed Consumer Comments]]))
  ),
  0,
  1
)</f>
        <v>1</v>
      </c>
    </row>
    <row r="992" spans="1:22" ht="11.65" customHeight="1">
      <c r="A992" s="2">
        <v>45909</v>
      </c>
      <c r="B992" s="1" t="s">
        <v>1583</v>
      </c>
      <c r="C992" s="1" t="s">
        <v>284</v>
      </c>
      <c r="D992" s="1" t="s">
        <v>30</v>
      </c>
      <c r="E992" s="1" t="s">
        <v>30</v>
      </c>
      <c r="F992" s="1" t="s">
        <v>310</v>
      </c>
      <c r="G992" s="1" t="s">
        <v>2812</v>
      </c>
      <c r="H992" s="4" t="s">
        <v>209</v>
      </c>
      <c r="V992" s="46">
        <f>IF(
  OR(
    ISNUMBER(SEARCH("unable to locate acct", tblDocketedComments[[#This Row],[Docketed Consumer Comments]])),
    ISNUMBER(SEARCH("unknown", tblDocketedComments[[#This Row],[Docketed Consumer Comments]])),
    ISNUMBER(SEARCH("inactive", tblDocketedComments[[#This Row],[Docketed Consumer Comments]]))
  ),
  0,
  1
)</f>
        <v>1</v>
      </c>
    </row>
    <row r="993" spans="1:22" ht="11.65" customHeight="1">
      <c r="A993" s="2">
        <v>45909</v>
      </c>
      <c r="B993" s="1" t="s">
        <v>2761</v>
      </c>
      <c r="C993" s="1" t="s">
        <v>481</v>
      </c>
      <c r="D993" s="1" t="s">
        <v>63</v>
      </c>
      <c r="E993" s="1">
        <v>85086</v>
      </c>
      <c r="F993" s="1" t="s">
        <v>2827</v>
      </c>
      <c r="G993" s="1" t="s">
        <v>2812</v>
      </c>
      <c r="H993" s="5">
        <v>3006885688</v>
      </c>
      <c r="I993" s="5" t="s">
        <v>250</v>
      </c>
      <c r="J993" s="5" t="s">
        <v>37</v>
      </c>
      <c r="K993" s="5" t="s">
        <v>37</v>
      </c>
      <c r="L993" s="5" t="s">
        <v>1586</v>
      </c>
      <c r="M993" s="5" t="s">
        <v>37</v>
      </c>
      <c r="N993" s="5" t="s">
        <v>37</v>
      </c>
      <c r="O993" s="5" t="s">
        <v>38</v>
      </c>
      <c r="P993" s="5" t="s">
        <v>39</v>
      </c>
      <c r="Q993" s="2">
        <v>45961</v>
      </c>
      <c r="V993" s="46">
        <f>IF(
  OR(
    ISNUMBER(SEARCH("unable to locate acct", tblDocketedComments[[#This Row],[Docketed Consumer Comments]])),
    ISNUMBER(SEARCH("unknown", tblDocketedComments[[#This Row],[Docketed Consumer Comments]])),
    ISNUMBER(SEARCH("inactive", tblDocketedComments[[#This Row],[Docketed Consumer Comments]]))
  ),
  0,
  1
)</f>
        <v>1</v>
      </c>
    </row>
    <row r="994" spans="1:22" ht="11.65" customHeight="1">
      <c r="A994" s="2">
        <v>45909</v>
      </c>
      <c r="B994" s="1" t="s">
        <v>2833</v>
      </c>
      <c r="C994" s="1" t="s">
        <v>355</v>
      </c>
      <c r="D994" s="1" t="s">
        <v>125</v>
      </c>
      <c r="E994" s="1">
        <v>85255</v>
      </c>
      <c r="F994" s="1" t="s">
        <v>31</v>
      </c>
      <c r="G994" s="1" t="s">
        <v>2812</v>
      </c>
      <c r="H994" s="4" t="s">
        <v>209</v>
      </c>
      <c r="V994" s="46">
        <f>IF(
  OR(
    ISNUMBER(SEARCH("unable to locate acct", tblDocketedComments[[#This Row],[Docketed Consumer Comments]])),
    ISNUMBER(SEARCH("unknown", tblDocketedComments[[#This Row],[Docketed Consumer Comments]])),
    ISNUMBER(SEARCH("inactive", tblDocketedComments[[#This Row],[Docketed Consumer Comments]]))
  ),
  0,
  1
)</f>
        <v>1</v>
      </c>
    </row>
    <row r="995" spans="1:22" ht="11.65" customHeight="1">
      <c r="A995" s="2">
        <v>45909</v>
      </c>
      <c r="B995" s="1" t="s">
        <v>930</v>
      </c>
      <c r="C995" s="1" t="s">
        <v>2169</v>
      </c>
      <c r="D995" s="1" t="s">
        <v>880</v>
      </c>
      <c r="E995" s="1">
        <v>85086</v>
      </c>
      <c r="F995" s="1" t="s">
        <v>2834</v>
      </c>
      <c r="G995" s="1" t="s">
        <v>2812</v>
      </c>
      <c r="H995" s="4" t="s">
        <v>27</v>
      </c>
      <c r="V995" s="46">
        <f>IF(
  OR(
    ISNUMBER(SEARCH("unable to locate acct", tblDocketedComments[[#This Row],[Docketed Consumer Comments]])),
    ISNUMBER(SEARCH("unknown", tblDocketedComments[[#This Row],[Docketed Consumer Comments]])),
    ISNUMBER(SEARCH("inactive", tblDocketedComments[[#This Row],[Docketed Consumer Comments]]))
  ),
  0,
  1
)</f>
        <v>1</v>
      </c>
    </row>
    <row r="996" spans="1:22" ht="11.65" customHeight="1">
      <c r="A996" s="2">
        <v>45909</v>
      </c>
      <c r="B996" s="1" t="s">
        <v>1013</v>
      </c>
      <c r="C996" s="1" t="s">
        <v>2835</v>
      </c>
      <c r="D996" s="1" t="s">
        <v>30</v>
      </c>
      <c r="E996" s="1" t="s">
        <v>30</v>
      </c>
      <c r="F996" s="1" t="s">
        <v>310</v>
      </c>
      <c r="G996" s="1" t="s">
        <v>2812</v>
      </c>
      <c r="H996" s="4" t="s">
        <v>27</v>
      </c>
      <c r="V996" s="46">
        <f>IF(
  OR(
    ISNUMBER(SEARCH("unable to locate acct", tblDocketedComments[[#This Row],[Docketed Consumer Comments]])),
    ISNUMBER(SEARCH("unknown", tblDocketedComments[[#This Row],[Docketed Consumer Comments]])),
    ISNUMBER(SEARCH("inactive", tblDocketedComments[[#This Row],[Docketed Consumer Comments]]))
  ),
  0,
  1
)</f>
        <v>1</v>
      </c>
    </row>
    <row r="997" spans="1:22" ht="11.65" customHeight="1">
      <c r="A997" s="2">
        <v>45909</v>
      </c>
      <c r="B997" s="1" t="s">
        <v>2836</v>
      </c>
      <c r="C997" s="1" t="s">
        <v>133</v>
      </c>
      <c r="D997" s="1" t="s">
        <v>30</v>
      </c>
      <c r="E997" s="1" t="s">
        <v>30</v>
      </c>
      <c r="F997" s="1" t="s">
        <v>310</v>
      </c>
      <c r="G997" s="1" t="s">
        <v>2812</v>
      </c>
      <c r="H997" s="4" t="s">
        <v>2837</v>
      </c>
      <c r="I997" s="5" t="s">
        <v>250</v>
      </c>
      <c r="J997" s="5" t="s">
        <v>37</v>
      </c>
      <c r="K997" s="5" t="s">
        <v>37</v>
      </c>
      <c r="L997" s="5" t="s">
        <v>1586</v>
      </c>
      <c r="M997" s="5" t="s">
        <v>37</v>
      </c>
      <c r="N997" s="5" t="s">
        <v>37</v>
      </c>
      <c r="O997" s="5" t="s">
        <v>38</v>
      </c>
      <c r="P997" s="5" t="s">
        <v>39</v>
      </c>
      <c r="Q997" s="2">
        <v>45961</v>
      </c>
      <c r="V997" s="46">
        <f>IF(
  OR(
    ISNUMBER(SEARCH("unable to locate acct", tblDocketedComments[[#This Row],[Docketed Consumer Comments]])),
    ISNUMBER(SEARCH("unknown", tblDocketedComments[[#This Row],[Docketed Consumer Comments]])),
    ISNUMBER(SEARCH("inactive", tblDocketedComments[[#This Row],[Docketed Consumer Comments]]))
  ),
  0,
  1
)</f>
        <v>1</v>
      </c>
    </row>
    <row r="998" spans="1:22" ht="11.65" customHeight="1">
      <c r="A998" s="2">
        <v>45909</v>
      </c>
      <c r="B998" s="1" t="s">
        <v>2838</v>
      </c>
      <c r="C998" s="1" t="s">
        <v>252</v>
      </c>
      <c r="D998" s="1" t="s">
        <v>30</v>
      </c>
      <c r="E998" s="1" t="s">
        <v>30</v>
      </c>
      <c r="F998" s="1" t="s">
        <v>310</v>
      </c>
      <c r="G998" s="1" t="s">
        <v>2812</v>
      </c>
      <c r="H998" s="4" t="s">
        <v>27</v>
      </c>
      <c r="V998" s="46">
        <f>IF(
  OR(
    ISNUMBER(SEARCH("unable to locate acct", tblDocketedComments[[#This Row],[Docketed Consumer Comments]])),
    ISNUMBER(SEARCH("unknown", tblDocketedComments[[#This Row],[Docketed Consumer Comments]])),
    ISNUMBER(SEARCH("inactive", tblDocketedComments[[#This Row],[Docketed Consumer Comments]]))
  ),
  0,
  1
)</f>
        <v>1</v>
      </c>
    </row>
    <row r="999" spans="1:22" ht="11.65" customHeight="1">
      <c r="A999" s="2">
        <v>45909</v>
      </c>
      <c r="B999" s="1" t="s">
        <v>2839</v>
      </c>
      <c r="C999" s="1" t="s">
        <v>320</v>
      </c>
      <c r="D999" s="1" t="s">
        <v>63</v>
      </c>
      <c r="E999" s="1">
        <v>85085</v>
      </c>
      <c r="F999" s="1" t="s">
        <v>310</v>
      </c>
      <c r="G999" s="1" t="s">
        <v>2812</v>
      </c>
      <c r="H999" s="4" t="s">
        <v>2840</v>
      </c>
      <c r="I999" s="5" t="s">
        <v>36</v>
      </c>
      <c r="J999" s="5" t="s">
        <v>37</v>
      </c>
      <c r="K999" s="5" t="s">
        <v>37</v>
      </c>
      <c r="L999" s="5" t="s">
        <v>1586</v>
      </c>
      <c r="M999" s="5" t="s">
        <v>37</v>
      </c>
      <c r="N999" s="5" t="s">
        <v>37</v>
      </c>
      <c r="O999" s="5" t="s">
        <v>38</v>
      </c>
      <c r="P999" s="5" t="s">
        <v>39</v>
      </c>
      <c r="Q999" s="2">
        <v>45961</v>
      </c>
      <c r="V99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0" spans="1:22" ht="11.65" customHeight="1">
      <c r="A1000" s="2">
        <v>45909</v>
      </c>
      <c r="B1000" s="1" t="s">
        <v>2841</v>
      </c>
      <c r="C1000" s="1" t="s">
        <v>931</v>
      </c>
      <c r="D1000" s="1" t="s">
        <v>880</v>
      </c>
      <c r="E1000" s="1">
        <v>85086</v>
      </c>
      <c r="F1000" s="1" t="s">
        <v>2842</v>
      </c>
      <c r="G1000" s="1" t="s">
        <v>2812</v>
      </c>
      <c r="H1000" s="4" t="s">
        <v>2843</v>
      </c>
      <c r="I1000" s="5" t="s">
        <v>250</v>
      </c>
      <c r="J1000" s="5" t="s">
        <v>37</v>
      </c>
      <c r="K1000" s="5" t="s">
        <v>37</v>
      </c>
      <c r="L1000" s="5" t="s">
        <v>1586</v>
      </c>
      <c r="M1000" s="5" t="s">
        <v>37</v>
      </c>
      <c r="N1000" s="5" t="s">
        <v>37</v>
      </c>
      <c r="O1000" s="5" t="s">
        <v>38</v>
      </c>
      <c r="P1000" s="5" t="s">
        <v>39</v>
      </c>
      <c r="Q1000" s="2">
        <v>45961</v>
      </c>
      <c r="V100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1" spans="1:22" ht="11.65" customHeight="1">
      <c r="A1001" s="2">
        <v>45909</v>
      </c>
      <c r="B1001" s="1" t="s">
        <v>2844</v>
      </c>
      <c r="C1001" s="1" t="s">
        <v>2845</v>
      </c>
      <c r="D1001" s="1" t="s">
        <v>63</v>
      </c>
      <c r="E1001" s="1">
        <v>85086</v>
      </c>
      <c r="F1001" s="1" t="s">
        <v>2588</v>
      </c>
      <c r="G1001" s="1" t="s">
        <v>2812</v>
      </c>
      <c r="H1001" s="4" t="s">
        <v>2846</v>
      </c>
      <c r="I1001" s="5" t="s">
        <v>250</v>
      </c>
      <c r="J1001" s="5" t="s">
        <v>37</v>
      </c>
      <c r="K1001" s="5" t="s">
        <v>37</v>
      </c>
      <c r="L1001" s="5" t="s">
        <v>1586</v>
      </c>
      <c r="M1001" s="5" t="s">
        <v>37</v>
      </c>
      <c r="N1001" s="5" t="s">
        <v>37</v>
      </c>
      <c r="O1001" s="5" t="s">
        <v>38</v>
      </c>
      <c r="P1001" s="5" t="s">
        <v>39</v>
      </c>
      <c r="Q1001" s="2">
        <v>45961</v>
      </c>
      <c r="V100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2" spans="1:22" ht="11.65" customHeight="1">
      <c r="A1002" s="2">
        <v>45909</v>
      </c>
      <c r="B1002" s="1" t="s">
        <v>2847</v>
      </c>
      <c r="C1002" s="1" t="s">
        <v>184</v>
      </c>
      <c r="D1002" s="1" t="s">
        <v>2641</v>
      </c>
      <c r="E1002" s="1">
        <v>85087</v>
      </c>
      <c r="F1002" s="1" t="s">
        <v>310</v>
      </c>
      <c r="G1002" s="1" t="s">
        <v>2812</v>
      </c>
      <c r="H1002" s="4" t="s">
        <v>2848</v>
      </c>
      <c r="I1002" s="5" t="s">
        <v>250</v>
      </c>
      <c r="J1002" s="5" t="s">
        <v>37</v>
      </c>
      <c r="K1002" s="5" t="s">
        <v>37</v>
      </c>
      <c r="L1002" s="5" t="s">
        <v>1586</v>
      </c>
      <c r="M1002" s="5" t="s">
        <v>38</v>
      </c>
      <c r="N1002" s="15">
        <v>548.12</v>
      </c>
      <c r="O1002" s="5" t="s">
        <v>38</v>
      </c>
      <c r="P1002" s="7"/>
      <c r="Q1002" s="2">
        <v>45961</v>
      </c>
      <c r="R1002" s="1" t="s">
        <v>495</v>
      </c>
      <c r="V100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3" spans="1:22" ht="11.65" customHeight="1">
      <c r="A1003" s="2">
        <v>45909</v>
      </c>
      <c r="B1003" s="1" t="s">
        <v>2849</v>
      </c>
      <c r="C1003" s="1" t="s">
        <v>2850</v>
      </c>
      <c r="D1003" s="1" t="s">
        <v>63</v>
      </c>
      <c r="E1003" s="1">
        <v>85086</v>
      </c>
      <c r="F1003" s="1" t="s">
        <v>2851</v>
      </c>
      <c r="G1003" s="1" t="s">
        <v>2812</v>
      </c>
      <c r="H1003" s="4" t="s">
        <v>2852</v>
      </c>
      <c r="I1003" s="5" t="s">
        <v>196</v>
      </c>
      <c r="J1003" s="5" t="s">
        <v>37</v>
      </c>
      <c r="K1003" s="5" t="s">
        <v>37</v>
      </c>
      <c r="L1003" s="5" t="s">
        <v>1586</v>
      </c>
      <c r="M1003" s="5" t="s">
        <v>37</v>
      </c>
      <c r="N1003" s="5" t="s">
        <v>37</v>
      </c>
      <c r="O1003" s="5" t="s">
        <v>38</v>
      </c>
      <c r="P1003" s="5" t="s">
        <v>39</v>
      </c>
      <c r="Q1003" s="2">
        <v>45961</v>
      </c>
      <c r="V100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4" spans="1:22" ht="11.65" customHeight="1">
      <c r="A1004" s="2">
        <v>45909</v>
      </c>
      <c r="B1004" s="1" t="s">
        <v>2853</v>
      </c>
      <c r="C1004" s="1" t="s">
        <v>1661</v>
      </c>
      <c r="D1004" s="1" t="s">
        <v>2641</v>
      </c>
      <c r="E1004" s="1">
        <v>85087</v>
      </c>
      <c r="F1004" s="1" t="s">
        <v>310</v>
      </c>
      <c r="G1004" s="1" t="s">
        <v>2812</v>
      </c>
      <c r="H1004" s="4" t="s">
        <v>2854</v>
      </c>
      <c r="I1004" s="5" t="s">
        <v>81</v>
      </c>
      <c r="J1004" s="5" t="s">
        <v>37</v>
      </c>
      <c r="K1004" s="5" t="s">
        <v>37</v>
      </c>
      <c r="L1004" s="5" t="s">
        <v>389</v>
      </c>
      <c r="M1004" s="5" t="s">
        <v>37</v>
      </c>
      <c r="N1004" s="5" t="s">
        <v>37</v>
      </c>
      <c r="O1004" s="5" t="s">
        <v>38</v>
      </c>
      <c r="P1004" s="5" t="s">
        <v>39</v>
      </c>
      <c r="Q1004" s="2">
        <v>45961</v>
      </c>
      <c r="V100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5" spans="1:22" ht="11.65" customHeight="1">
      <c r="A1005" s="2">
        <v>45909</v>
      </c>
      <c r="B1005" s="1" t="s">
        <v>2855</v>
      </c>
      <c r="C1005" s="1" t="s">
        <v>780</v>
      </c>
      <c r="D1005" s="1" t="s">
        <v>24</v>
      </c>
      <c r="E1005" s="1">
        <v>85306</v>
      </c>
      <c r="F1005" s="1" t="s">
        <v>2856</v>
      </c>
      <c r="G1005" s="1" t="s">
        <v>2812</v>
      </c>
      <c r="H1005" s="4" t="s">
        <v>27</v>
      </c>
      <c r="V100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6" spans="1:22" ht="11.65" customHeight="1">
      <c r="A1006" s="2">
        <v>45909</v>
      </c>
      <c r="B1006" s="1" t="s">
        <v>2857</v>
      </c>
      <c r="C1006" s="1" t="s">
        <v>2858</v>
      </c>
      <c r="D1006" s="1" t="s">
        <v>30</v>
      </c>
      <c r="E1006" s="1" t="s">
        <v>30</v>
      </c>
      <c r="F1006" s="1" t="s">
        <v>310</v>
      </c>
      <c r="G1006" s="1" t="s">
        <v>2812</v>
      </c>
      <c r="H1006" s="4" t="s">
        <v>2859</v>
      </c>
      <c r="I1006" s="5" t="s">
        <v>36</v>
      </c>
      <c r="J1006" s="5" t="s">
        <v>37</v>
      </c>
      <c r="K1006" s="5" t="s">
        <v>37</v>
      </c>
      <c r="L1006" s="5" t="s">
        <v>1586</v>
      </c>
      <c r="M1006" s="5" t="s">
        <v>37</v>
      </c>
      <c r="N1006" s="5" t="s">
        <v>37</v>
      </c>
      <c r="O1006" s="5" t="s">
        <v>38</v>
      </c>
      <c r="P1006" s="5" t="s">
        <v>39</v>
      </c>
      <c r="Q1006" s="2">
        <v>45961</v>
      </c>
      <c r="V100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7" spans="1:22" ht="11.65" customHeight="1">
      <c r="A1007" s="2">
        <v>45909</v>
      </c>
      <c r="B1007" s="1" t="s">
        <v>558</v>
      </c>
      <c r="C1007" s="1" t="s">
        <v>135</v>
      </c>
      <c r="D1007" s="1" t="s">
        <v>30</v>
      </c>
      <c r="E1007" s="1" t="s">
        <v>30</v>
      </c>
      <c r="F1007" s="1" t="s">
        <v>31</v>
      </c>
      <c r="G1007" s="1" t="s">
        <v>2812</v>
      </c>
      <c r="H1007" s="4" t="s">
        <v>27</v>
      </c>
      <c r="V100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8" spans="1:22" ht="11.65" customHeight="1">
      <c r="A1008" s="2">
        <v>45909</v>
      </c>
      <c r="B1008" s="1" t="s">
        <v>2860</v>
      </c>
      <c r="C1008" s="1" t="s">
        <v>2861</v>
      </c>
      <c r="D1008" s="1" t="s">
        <v>85</v>
      </c>
      <c r="E1008" s="1">
        <v>86323</v>
      </c>
      <c r="F1008" s="1" t="s">
        <v>31</v>
      </c>
      <c r="G1008" s="1" t="s">
        <v>2812</v>
      </c>
      <c r="H1008" s="4" t="s">
        <v>2862</v>
      </c>
      <c r="I1008" s="5" t="s">
        <v>196</v>
      </c>
      <c r="J1008" s="5" t="s">
        <v>37</v>
      </c>
      <c r="K1008" s="5" t="s">
        <v>37</v>
      </c>
      <c r="L1008" s="5" t="s">
        <v>2863</v>
      </c>
      <c r="M1008" s="5" t="s">
        <v>37</v>
      </c>
      <c r="N1008" s="5" t="s">
        <v>37</v>
      </c>
      <c r="O1008" s="5" t="s">
        <v>38</v>
      </c>
      <c r="P1008" s="5" t="s">
        <v>39</v>
      </c>
      <c r="Q1008" s="2">
        <v>45961</v>
      </c>
      <c r="V100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09" spans="1:22" ht="11.65" customHeight="1">
      <c r="A1009" s="2">
        <v>45909</v>
      </c>
      <c r="B1009" s="1" t="s">
        <v>2864</v>
      </c>
      <c r="C1009" s="1" t="s">
        <v>801</v>
      </c>
      <c r="D1009" s="1" t="s">
        <v>63</v>
      </c>
      <c r="E1009" s="1">
        <v>85083</v>
      </c>
      <c r="F1009" s="1" t="s">
        <v>2865</v>
      </c>
      <c r="G1009" s="1" t="s">
        <v>2812</v>
      </c>
      <c r="H1009" s="4" t="s">
        <v>2866</v>
      </c>
      <c r="I1009" s="5" t="s">
        <v>250</v>
      </c>
      <c r="J1009" s="5" t="s">
        <v>37</v>
      </c>
      <c r="K1009" s="5" t="s">
        <v>37</v>
      </c>
      <c r="L1009" s="5" t="s">
        <v>1586</v>
      </c>
      <c r="M1009" s="5" t="s">
        <v>37</v>
      </c>
      <c r="N1009" s="5" t="s">
        <v>37</v>
      </c>
      <c r="O1009" s="5" t="s">
        <v>38</v>
      </c>
      <c r="P1009" s="5" t="s">
        <v>39</v>
      </c>
      <c r="Q1009" s="2">
        <v>45961</v>
      </c>
      <c r="V100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0" spans="1:22" ht="11.65" customHeight="1">
      <c r="A1010" s="2">
        <v>45909</v>
      </c>
      <c r="B1010" s="1" t="s">
        <v>2867</v>
      </c>
      <c r="C1010" s="1" t="s">
        <v>2868</v>
      </c>
      <c r="D1010" s="1" t="s">
        <v>63</v>
      </c>
      <c r="E1010" s="1">
        <v>85022</v>
      </c>
      <c r="F1010" s="1" t="s">
        <v>31</v>
      </c>
      <c r="G1010" s="1" t="s">
        <v>2812</v>
      </c>
      <c r="H1010" s="4" t="s">
        <v>27</v>
      </c>
      <c r="V10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1" spans="1:22" ht="11.65" customHeight="1">
      <c r="A1011" s="2">
        <v>45909</v>
      </c>
      <c r="B1011" s="1" t="s">
        <v>2869</v>
      </c>
      <c r="C1011" s="1" t="s">
        <v>2380</v>
      </c>
      <c r="D1011" s="1" t="s">
        <v>30</v>
      </c>
      <c r="E1011" s="1" t="s">
        <v>30</v>
      </c>
      <c r="F1011" s="1" t="s">
        <v>31</v>
      </c>
      <c r="G1011" s="1" t="s">
        <v>2812</v>
      </c>
      <c r="H1011" s="4" t="s">
        <v>2870</v>
      </c>
      <c r="I1011" s="5" t="s">
        <v>73</v>
      </c>
      <c r="J1011" s="5" t="s">
        <v>37</v>
      </c>
      <c r="K1011" s="5" t="s">
        <v>37</v>
      </c>
      <c r="L1011" s="5" t="s">
        <v>1586</v>
      </c>
      <c r="M1011" s="5" t="s">
        <v>37</v>
      </c>
      <c r="N1011" s="5" t="s">
        <v>37</v>
      </c>
      <c r="O1011" s="5" t="s">
        <v>38</v>
      </c>
      <c r="P1011" s="5" t="s">
        <v>39</v>
      </c>
      <c r="Q1011" s="2">
        <v>45961</v>
      </c>
      <c r="V10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2" spans="1:22" ht="11.65" customHeight="1">
      <c r="A1012" s="2">
        <v>45909</v>
      </c>
      <c r="B1012" s="1" t="s">
        <v>1797</v>
      </c>
      <c r="C1012" s="1" t="s">
        <v>2871</v>
      </c>
      <c r="D1012" s="1" t="s">
        <v>63</v>
      </c>
      <c r="E1012" s="1">
        <v>85035</v>
      </c>
      <c r="F1012" s="1" t="s">
        <v>310</v>
      </c>
      <c r="G1012" s="1" t="s">
        <v>2812</v>
      </c>
      <c r="H1012" s="4" t="s">
        <v>2872</v>
      </c>
      <c r="I1012" s="5" t="s">
        <v>36</v>
      </c>
      <c r="J1012" s="5" t="s">
        <v>37</v>
      </c>
      <c r="K1012" s="5" t="s">
        <v>37</v>
      </c>
      <c r="L1012" s="5" t="s">
        <v>1586</v>
      </c>
      <c r="M1012" s="5" t="s">
        <v>37</v>
      </c>
      <c r="N1012" s="5" t="s">
        <v>37</v>
      </c>
      <c r="O1012" s="5" t="s">
        <v>38</v>
      </c>
      <c r="P1012" s="5" t="s">
        <v>39</v>
      </c>
      <c r="Q1012" s="2">
        <v>45961</v>
      </c>
      <c r="U1012" s="1" t="s">
        <v>2873</v>
      </c>
      <c r="V10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3" spans="1:22" ht="11.65" customHeight="1">
      <c r="A1013" s="2">
        <v>45909</v>
      </c>
      <c r="B1013" s="1" t="s">
        <v>2874</v>
      </c>
      <c r="C1013" s="1" t="s">
        <v>2875</v>
      </c>
      <c r="D1013" s="1" t="s">
        <v>63</v>
      </c>
      <c r="E1013" s="1">
        <v>85028</v>
      </c>
      <c r="F1013" s="1" t="s">
        <v>2876</v>
      </c>
      <c r="G1013" s="1" t="s">
        <v>2812</v>
      </c>
      <c r="H1013" s="4" t="s">
        <v>2877</v>
      </c>
      <c r="I1013" s="5" t="s">
        <v>36</v>
      </c>
      <c r="J1013" s="5" t="s">
        <v>37</v>
      </c>
      <c r="K1013" s="5" t="s">
        <v>37</v>
      </c>
      <c r="L1013" s="5" t="s">
        <v>1586</v>
      </c>
      <c r="M1013" s="5" t="s">
        <v>37</v>
      </c>
      <c r="N1013" s="5" t="s">
        <v>37</v>
      </c>
      <c r="O1013" s="5" t="s">
        <v>38</v>
      </c>
      <c r="P1013" s="5" t="s">
        <v>39</v>
      </c>
      <c r="Q1013" s="2">
        <v>45961</v>
      </c>
      <c r="V10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4" spans="1:22" ht="11.65" customHeight="1">
      <c r="A1014" s="2">
        <v>45909</v>
      </c>
      <c r="B1014" s="1" t="s">
        <v>2290</v>
      </c>
      <c r="C1014" s="1" t="s">
        <v>355</v>
      </c>
      <c r="D1014" s="1" t="s">
        <v>30</v>
      </c>
      <c r="E1014" s="1" t="s">
        <v>30</v>
      </c>
      <c r="F1014" s="1" t="s">
        <v>31</v>
      </c>
      <c r="G1014" s="1" t="s">
        <v>2812</v>
      </c>
      <c r="H1014" s="4" t="s">
        <v>209</v>
      </c>
      <c r="V101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5" spans="1:22" ht="11.65" customHeight="1">
      <c r="A1015" s="2">
        <v>45909</v>
      </c>
      <c r="B1015" s="1" t="s">
        <v>2878</v>
      </c>
      <c r="C1015" s="1" t="s">
        <v>2040</v>
      </c>
      <c r="D1015" s="1" t="s">
        <v>174</v>
      </c>
      <c r="E1015" s="1">
        <v>85396</v>
      </c>
      <c r="F1015" s="1" t="s">
        <v>310</v>
      </c>
      <c r="G1015" s="1" t="s">
        <v>2812</v>
      </c>
      <c r="H1015" s="4" t="s">
        <v>2879</v>
      </c>
      <c r="I1015" s="5" t="s">
        <v>250</v>
      </c>
      <c r="J1015" s="5" t="s">
        <v>37</v>
      </c>
      <c r="K1015" s="5" t="s">
        <v>37</v>
      </c>
      <c r="L1015" s="5" t="s">
        <v>1586</v>
      </c>
      <c r="M1015" s="5" t="s">
        <v>37</v>
      </c>
      <c r="N1015" s="5" t="s">
        <v>37</v>
      </c>
      <c r="O1015" s="5" t="s">
        <v>38</v>
      </c>
      <c r="P1015" s="5" t="s">
        <v>39</v>
      </c>
      <c r="Q1015" s="2">
        <v>45961</v>
      </c>
      <c r="V10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6" spans="1:22" ht="11.65" customHeight="1">
      <c r="A1016" s="2">
        <v>45909</v>
      </c>
      <c r="B1016" s="1" t="s">
        <v>2880</v>
      </c>
      <c r="C1016" s="1" t="s">
        <v>2881</v>
      </c>
      <c r="D1016" s="1" t="s">
        <v>112</v>
      </c>
      <c r="E1016" s="1">
        <v>85374</v>
      </c>
      <c r="F1016" s="1" t="s">
        <v>31</v>
      </c>
      <c r="G1016" s="1" t="s">
        <v>2812</v>
      </c>
      <c r="H1016" s="4" t="s">
        <v>2882</v>
      </c>
      <c r="I1016" s="5" t="s">
        <v>57</v>
      </c>
      <c r="J1016" s="5" t="s">
        <v>37</v>
      </c>
      <c r="K1016" s="5" t="s">
        <v>37</v>
      </c>
      <c r="L1016" s="7" t="s">
        <v>2883</v>
      </c>
      <c r="M1016" s="5" t="s">
        <v>37</v>
      </c>
      <c r="N1016" s="5" t="s">
        <v>37</v>
      </c>
      <c r="O1016" s="5" t="s">
        <v>38</v>
      </c>
      <c r="P1016" s="2">
        <v>45938</v>
      </c>
      <c r="Q1016" s="2">
        <v>45961</v>
      </c>
      <c r="R1016" s="1" t="s">
        <v>2767</v>
      </c>
      <c r="V10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7" spans="1:22" ht="11.65" customHeight="1">
      <c r="A1017" s="2">
        <v>45909</v>
      </c>
      <c r="B1017" s="1" t="s">
        <v>2884</v>
      </c>
      <c r="C1017" s="1" t="s">
        <v>177</v>
      </c>
      <c r="D1017" s="1" t="s">
        <v>30</v>
      </c>
      <c r="E1017" s="1" t="s">
        <v>30</v>
      </c>
      <c r="F1017" s="1" t="s">
        <v>2885</v>
      </c>
      <c r="G1017" s="1" t="s">
        <v>2812</v>
      </c>
      <c r="H1017" s="4" t="s">
        <v>209</v>
      </c>
      <c r="V10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8" spans="1:22" ht="11.65" customHeight="1">
      <c r="A1018" s="2">
        <v>45909</v>
      </c>
      <c r="B1018" s="1" t="s">
        <v>2886</v>
      </c>
      <c r="C1018" s="1" t="s">
        <v>135</v>
      </c>
      <c r="D1018" s="1" t="s">
        <v>24</v>
      </c>
      <c r="E1018" s="1">
        <v>85310</v>
      </c>
      <c r="F1018" s="1" t="s">
        <v>2887</v>
      </c>
      <c r="G1018" s="1" t="s">
        <v>2888</v>
      </c>
      <c r="H1018" s="4" t="s">
        <v>27</v>
      </c>
      <c r="V10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19" spans="1:22" ht="11.65" customHeight="1">
      <c r="A1019" s="2">
        <v>45909</v>
      </c>
      <c r="B1019" s="1" t="s">
        <v>208</v>
      </c>
      <c r="C1019" s="1" t="s">
        <v>230</v>
      </c>
      <c r="D1019" s="1" t="s">
        <v>89</v>
      </c>
      <c r="E1019" s="1">
        <v>86351</v>
      </c>
      <c r="F1019" s="1" t="s">
        <v>2889</v>
      </c>
      <c r="G1019" s="1" t="s">
        <v>2888</v>
      </c>
      <c r="H1019" s="4" t="s">
        <v>2890</v>
      </c>
      <c r="I1019" s="5" t="s">
        <v>46</v>
      </c>
      <c r="J1019" s="5" t="s">
        <v>37</v>
      </c>
      <c r="K1019" s="5" t="s">
        <v>37</v>
      </c>
      <c r="L1019" s="5" t="s">
        <v>1586</v>
      </c>
      <c r="M1019" s="5" t="s">
        <v>37</v>
      </c>
      <c r="N1019" s="5" t="s">
        <v>37</v>
      </c>
      <c r="O1019" s="5" t="s">
        <v>38</v>
      </c>
      <c r="P1019" s="5" t="s">
        <v>39</v>
      </c>
      <c r="Q1019" s="2">
        <v>45961</v>
      </c>
      <c r="V101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0" spans="1:22" ht="11.65" customHeight="1">
      <c r="A1020" s="2">
        <v>45909</v>
      </c>
      <c r="B1020" s="1" t="s">
        <v>940</v>
      </c>
      <c r="C1020" s="1" t="s">
        <v>1707</v>
      </c>
      <c r="D1020" s="1" t="s">
        <v>63</v>
      </c>
      <c r="E1020" s="1">
        <v>85085</v>
      </c>
      <c r="F1020" s="1" t="s">
        <v>2891</v>
      </c>
      <c r="G1020" s="1" t="s">
        <v>2888</v>
      </c>
      <c r="H1020" s="4" t="s">
        <v>209</v>
      </c>
      <c r="V102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1" spans="1:22" ht="11.65" customHeight="1">
      <c r="A1021" s="2">
        <v>45909</v>
      </c>
      <c r="B1021" s="1" t="s">
        <v>2892</v>
      </c>
      <c r="C1021" s="1" t="s">
        <v>471</v>
      </c>
      <c r="D1021" s="1" t="s">
        <v>63</v>
      </c>
      <c r="E1021" s="1">
        <v>85023</v>
      </c>
      <c r="F1021" s="1" t="s">
        <v>310</v>
      </c>
      <c r="G1021" s="1" t="s">
        <v>2888</v>
      </c>
      <c r="H1021" s="4" t="s">
        <v>2893</v>
      </c>
      <c r="I1021" s="5" t="s">
        <v>36</v>
      </c>
      <c r="J1021" s="5" t="s">
        <v>37</v>
      </c>
      <c r="K1021" s="5" t="s">
        <v>37</v>
      </c>
      <c r="L1021" s="5" t="s">
        <v>1586</v>
      </c>
      <c r="M1021" s="5" t="s">
        <v>37</v>
      </c>
      <c r="N1021" s="5" t="s">
        <v>37</v>
      </c>
      <c r="O1021" s="5" t="s">
        <v>38</v>
      </c>
      <c r="P1021" s="5" t="s">
        <v>39</v>
      </c>
      <c r="Q1021" s="2">
        <v>45961</v>
      </c>
      <c r="V102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2" spans="1:22" ht="11.65" customHeight="1">
      <c r="A1022" s="2">
        <v>45909</v>
      </c>
      <c r="B1022" s="1" t="s">
        <v>2894</v>
      </c>
      <c r="C1022" s="1" t="s">
        <v>1444</v>
      </c>
      <c r="D1022" s="1" t="s">
        <v>63</v>
      </c>
      <c r="E1022" s="1">
        <v>85053</v>
      </c>
      <c r="F1022" s="1" t="s">
        <v>310</v>
      </c>
      <c r="G1022" s="1" t="s">
        <v>2888</v>
      </c>
      <c r="H1022" s="4" t="s">
        <v>2895</v>
      </c>
      <c r="I1022" s="5" t="s">
        <v>126</v>
      </c>
      <c r="J1022" s="5" t="s">
        <v>37</v>
      </c>
      <c r="K1022" s="5" t="s">
        <v>37</v>
      </c>
      <c r="L1022" s="5" t="s">
        <v>1586</v>
      </c>
      <c r="M1022" s="5" t="s">
        <v>37</v>
      </c>
      <c r="N1022" s="5" t="s">
        <v>37</v>
      </c>
      <c r="O1022" s="5" t="s">
        <v>38</v>
      </c>
      <c r="P1022" s="5" t="s">
        <v>39</v>
      </c>
      <c r="Q1022" s="2">
        <v>45961</v>
      </c>
      <c r="V102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3" spans="1:22">
      <c r="A1023" s="2">
        <v>45909</v>
      </c>
      <c r="B1023" s="1" t="s">
        <v>2896</v>
      </c>
      <c r="C1023" s="1" t="s">
        <v>1375</v>
      </c>
      <c r="D1023" s="1" t="s">
        <v>619</v>
      </c>
      <c r="E1023" s="1">
        <v>85365</v>
      </c>
      <c r="F1023" s="1" t="s">
        <v>2897</v>
      </c>
      <c r="G1023" s="1" t="s">
        <v>2898</v>
      </c>
      <c r="H1023" s="4" t="s">
        <v>27</v>
      </c>
      <c r="V102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4" spans="1:22" ht="11.65" customHeight="1">
      <c r="A1024" s="2">
        <v>45910</v>
      </c>
      <c r="B1024" s="1" t="s">
        <v>2899</v>
      </c>
      <c r="C1024" s="1" t="s">
        <v>2769</v>
      </c>
      <c r="D1024" s="1" t="s">
        <v>30</v>
      </c>
      <c r="E1024" s="1" t="s">
        <v>30</v>
      </c>
      <c r="F1024" s="1" t="s">
        <v>2900</v>
      </c>
      <c r="G1024" s="1" t="s">
        <v>2901</v>
      </c>
      <c r="H1024" s="4" t="s">
        <v>27</v>
      </c>
      <c r="V102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5" spans="1:22" ht="11.65" customHeight="1">
      <c r="A1025" s="2">
        <v>45910</v>
      </c>
      <c r="B1025" s="1" t="s">
        <v>2902</v>
      </c>
      <c r="C1025" s="1" t="s">
        <v>2903</v>
      </c>
      <c r="D1025" s="1" t="s">
        <v>85</v>
      </c>
      <c r="E1025" s="1">
        <v>86323</v>
      </c>
      <c r="F1025" s="1" t="s">
        <v>2904</v>
      </c>
      <c r="G1025" s="1" t="s">
        <v>2901</v>
      </c>
      <c r="H1025" s="4" t="s">
        <v>2905</v>
      </c>
      <c r="I1025" s="5" t="s">
        <v>243</v>
      </c>
      <c r="J1025" s="5" t="s">
        <v>37</v>
      </c>
      <c r="K1025" s="5" t="s">
        <v>37</v>
      </c>
      <c r="L1025" s="5" t="s">
        <v>389</v>
      </c>
      <c r="M1025" s="5" t="s">
        <v>37</v>
      </c>
      <c r="N1025" s="5" t="s">
        <v>37</v>
      </c>
      <c r="O1025" s="5" t="s">
        <v>38</v>
      </c>
      <c r="P1025" s="5" t="s">
        <v>39</v>
      </c>
      <c r="Q1025" s="2">
        <v>45961</v>
      </c>
      <c r="V102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6" spans="1:22" ht="11.65" customHeight="1">
      <c r="A1026" s="2">
        <v>45910</v>
      </c>
      <c r="B1026" s="1" t="s">
        <v>2906</v>
      </c>
      <c r="C1026" s="1" t="s">
        <v>2907</v>
      </c>
      <c r="D1026" s="1" t="s">
        <v>24</v>
      </c>
      <c r="E1026" s="1">
        <v>85308</v>
      </c>
      <c r="F1026" s="1" t="s">
        <v>310</v>
      </c>
      <c r="G1026" s="1" t="s">
        <v>2901</v>
      </c>
      <c r="H1026" s="4" t="s">
        <v>2908</v>
      </c>
      <c r="I1026" s="5" t="s">
        <v>196</v>
      </c>
      <c r="J1026" s="5" t="s">
        <v>37</v>
      </c>
      <c r="K1026" s="5" t="s">
        <v>37</v>
      </c>
      <c r="L1026" s="5" t="s">
        <v>2909</v>
      </c>
      <c r="M1026" s="5" t="s">
        <v>37</v>
      </c>
      <c r="N1026" s="5" t="s">
        <v>37</v>
      </c>
      <c r="O1026" s="5" t="s">
        <v>38</v>
      </c>
      <c r="P1026" s="5" t="s">
        <v>39</v>
      </c>
      <c r="Q1026" s="2">
        <v>45961</v>
      </c>
      <c r="V102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7" spans="1:22" ht="11.65" customHeight="1">
      <c r="A1027" s="2">
        <v>45910</v>
      </c>
      <c r="B1027" s="1" t="s">
        <v>2910</v>
      </c>
      <c r="C1027" s="1" t="s">
        <v>2911</v>
      </c>
      <c r="D1027" s="1" t="s">
        <v>63</v>
      </c>
      <c r="E1027" s="1">
        <v>85083</v>
      </c>
      <c r="F1027" s="1" t="s">
        <v>31</v>
      </c>
      <c r="G1027" s="1" t="s">
        <v>2901</v>
      </c>
      <c r="H1027" s="4" t="s">
        <v>2912</v>
      </c>
      <c r="I1027" s="5" t="s">
        <v>243</v>
      </c>
      <c r="J1027" s="5" t="s">
        <v>37</v>
      </c>
      <c r="K1027" s="5" t="s">
        <v>37</v>
      </c>
      <c r="L1027" s="5" t="s">
        <v>389</v>
      </c>
      <c r="M1027" s="5" t="s">
        <v>37</v>
      </c>
      <c r="N1027" s="5" t="s">
        <v>37</v>
      </c>
      <c r="O1027" s="5" t="s">
        <v>38</v>
      </c>
      <c r="P1027" s="5" t="s">
        <v>39</v>
      </c>
      <c r="Q1027" s="2">
        <v>45961</v>
      </c>
      <c r="V102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8" spans="1:22" ht="11.65" customHeight="1">
      <c r="A1028" s="2">
        <v>45910</v>
      </c>
      <c r="B1028" s="1" t="s">
        <v>2913</v>
      </c>
      <c r="C1028" s="1" t="s">
        <v>135</v>
      </c>
      <c r="D1028" s="1" t="s">
        <v>68</v>
      </c>
      <c r="E1028" s="1">
        <v>85331</v>
      </c>
      <c r="F1028" s="1" t="s">
        <v>310</v>
      </c>
      <c r="G1028" s="1" t="s">
        <v>2901</v>
      </c>
      <c r="H1028" s="4" t="s">
        <v>27</v>
      </c>
      <c r="V102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29" spans="1:22" ht="11.65" customHeight="1">
      <c r="A1029" s="2">
        <v>45910</v>
      </c>
      <c r="B1029" s="1" t="s">
        <v>2914</v>
      </c>
      <c r="C1029" s="1" t="s">
        <v>133</v>
      </c>
      <c r="D1029" s="1" t="s">
        <v>619</v>
      </c>
      <c r="E1029" s="1">
        <v>85365</v>
      </c>
      <c r="F1029" s="1" t="s">
        <v>31</v>
      </c>
      <c r="G1029" s="1" t="s">
        <v>2901</v>
      </c>
      <c r="H1029" s="4" t="s">
        <v>2915</v>
      </c>
      <c r="I1029" s="5" t="s">
        <v>36</v>
      </c>
      <c r="J1029" s="5" t="s">
        <v>37</v>
      </c>
      <c r="K1029" s="5" t="s">
        <v>37</v>
      </c>
      <c r="L1029" s="5" t="s">
        <v>1586</v>
      </c>
      <c r="M1029" s="5" t="s">
        <v>37</v>
      </c>
      <c r="N1029" s="5" t="s">
        <v>37</v>
      </c>
      <c r="O1029" s="5" t="s">
        <v>38</v>
      </c>
      <c r="P1029" s="5" t="s">
        <v>39</v>
      </c>
      <c r="Q1029" s="2">
        <v>45961</v>
      </c>
      <c r="V102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0" spans="1:22" ht="11.65" customHeight="1">
      <c r="A1030" s="2">
        <v>45910</v>
      </c>
      <c r="B1030" s="1" t="s">
        <v>940</v>
      </c>
      <c r="C1030" s="1" t="s">
        <v>2916</v>
      </c>
      <c r="D1030" s="1" t="s">
        <v>63</v>
      </c>
      <c r="E1030" s="1">
        <v>85008</v>
      </c>
      <c r="F1030" s="1" t="s">
        <v>31</v>
      </c>
      <c r="G1030" s="1" t="s">
        <v>2901</v>
      </c>
      <c r="H1030" s="4" t="s">
        <v>2917</v>
      </c>
      <c r="I1030" s="5" t="s">
        <v>196</v>
      </c>
      <c r="J1030" s="5" t="s">
        <v>37</v>
      </c>
      <c r="K1030" s="5" t="s">
        <v>37</v>
      </c>
      <c r="L1030" s="5" t="s">
        <v>2918</v>
      </c>
      <c r="M1030" s="5" t="s">
        <v>37</v>
      </c>
      <c r="N1030" s="5" t="s">
        <v>37</v>
      </c>
      <c r="O1030" s="5" t="s">
        <v>38</v>
      </c>
      <c r="P1030" s="5" t="s">
        <v>39</v>
      </c>
      <c r="Q1030" s="2">
        <v>45961</v>
      </c>
      <c r="V103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1" spans="1:22" ht="11.65" customHeight="1">
      <c r="A1031" s="2">
        <v>45910</v>
      </c>
      <c r="B1031" s="1" t="s">
        <v>2919</v>
      </c>
      <c r="C1031" s="1" t="s">
        <v>1905</v>
      </c>
      <c r="D1031" s="1" t="s">
        <v>1693</v>
      </c>
      <c r="E1031" s="1">
        <v>85351</v>
      </c>
      <c r="F1031" s="1" t="s">
        <v>31</v>
      </c>
      <c r="G1031" s="1" t="s">
        <v>2920</v>
      </c>
      <c r="H1031" s="4" t="s">
        <v>2921</v>
      </c>
      <c r="I1031" s="5" t="s">
        <v>126</v>
      </c>
      <c r="J1031" s="5" t="s">
        <v>37</v>
      </c>
      <c r="K1031" s="5" t="s">
        <v>37</v>
      </c>
      <c r="L1031" s="7" t="s">
        <v>2922</v>
      </c>
      <c r="O1031" s="5" t="s">
        <v>38</v>
      </c>
      <c r="P1031" s="2">
        <v>45938</v>
      </c>
      <c r="Q1031" s="2">
        <v>45961</v>
      </c>
      <c r="R1031" s="23" t="s">
        <v>2923</v>
      </c>
      <c r="V103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2" spans="1:22" ht="11.65" customHeight="1">
      <c r="A1032" s="2">
        <v>45910</v>
      </c>
      <c r="B1032" s="1" t="s">
        <v>2924</v>
      </c>
      <c r="C1032" s="1" t="s">
        <v>2925</v>
      </c>
      <c r="D1032" s="1" t="s">
        <v>63</v>
      </c>
      <c r="E1032" s="1">
        <v>85021</v>
      </c>
      <c r="F1032" s="1" t="s">
        <v>31</v>
      </c>
      <c r="G1032" s="1" t="s">
        <v>2920</v>
      </c>
      <c r="H1032" s="4" t="s">
        <v>2926</v>
      </c>
      <c r="I1032" s="5" t="s">
        <v>36</v>
      </c>
      <c r="J1032" s="5" t="s">
        <v>37</v>
      </c>
      <c r="K1032" s="5" t="s">
        <v>37</v>
      </c>
      <c r="L1032" s="5" t="s">
        <v>1586</v>
      </c>
      <c r="M1032" s="5" t="s">
        <v>37</v>
      </c>
      <c r="N1032" s="5" t="s">
        <v>37</v>
      </c>
      <c r="O1032" s="5" t="s">
        <v>38</v>
      </c>
      <c r="P1032" s="5" t="s">
        <v>39</v>
      </c>
      <c r="Q1032" s="2">
        <v>45961</v>
      </c>
      <c r="V103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3" spans="1:22" ht="11.65" customHeight="1">
      <c r="A1033" s="2">
        <v>45910</v>
      </c>
      <c r="B1033" s="1" t="s">
        <v>2726</v>
      </c>
      <c r="C1033" s="1" t="s">
        <v>479</v>
      </c>
      <c r="D1033" s="1" t="s">
        <v>2927</v>
      </c>
      <c r="E1033" s="1">
        <v>85344</v>
      </c>
      <c r="F1033" s="1" t="s">
        <v>2928</v>
      </c>
      <c r="G1033" s="1" t="s">
        <v>2920</v>
      </c>
      <c r="H1033" s="4" t="s">
        <v>27</v>
      </c>
      <c r="V103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4" spans="1:22" ht="11.65" customHeight="1">
      <c r="A1034" s="2">
        <v>45910</v>
      </c>
      <c r="B1034" s="1" t="s">
        <v>2726</v>
      </c>
      <c r="C1034" s="1" t="s">
        <v>1941</v>
      </c>
      <c r="D1034" s="1" t="s">
        <v>2929</v>
      </c>
      <c r="E1034" s="1">
        <v>85356</v>
      </c>
      <c r="F1034" s="1" t="s">
        <v>31</v>
      </c>
      <c r="G1034" s="1" t="s">
        <v>2920</v>
      </c>
      <c r="H1034" s="4" t="s">
        <v>27</v>
      </c>
      <c r="V103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5" spans="1:22">
      <c r="A1035" s="2">
        <v>45910</v>
      </c>
      <c r="B1035" s="1" t="s">
        <v>2930</v>
      </c>
      <c r="C1035" s="1" t="s">
        <v>2931</v>
      </c>
      <c r="D1035" s="1" t="s">
        <v>619</v>
      </c>
      <c r="E1035" s="1" t="s">
        <v>30</v>
      </c>
      <c r="F1035" s="1" t="s">
        <v>2932</v>
      </c>
      <c r="G1035" s="1" t="s">
        <v>2933</v>
      </c>
      <c r="H1035" s="4" t="s">
        <v>719</v>
      </c>
      <c r="I1035" s="5" t="s">
        <v>73</v>
      </c>
      <c r="J1035" s="5" t="s">
        <v>37</v>
      </c>
      <c r="K1035" s="5" t="s">
        <v>37</v>
      </c>
      <c r="L1035" s="5" t="s">
        <v>1586</v>
      </c>
      <c r="M1035" s="5" t="s">
        <v>37</v>
      </c>
      <c r="N1035" s="5" t="s">
        <v>37</v>
      </c>
      <c r="O1035" s="5" t="s">
        <v>38</v>
      </c>
      <c r="P1035" s="5" t="s">
        <v>39</v>
      </c>
      <c r="Q1035" s="2">
        <v>45961</v>
      </c>
      <c r="V103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6" spans="1:22">
      <c r="A1036" s="2">
        <v>45910</v>
      </c>
      <c r="B1036" s="1" t="s">
        <v>2416</v>
      </c>
      <c r="C1036" s="1" t="s">
        <v>717</v>
      </c>
      <c r="D1036" s="1" t="s">
        <v>63</v>
      </c>
      <c r="E1036" s="1">
        <v>85028</v>
      </c>
      <c r="F1036" s="1" t="s">
        <v>31</v>
      </c>
      <c r="G1036" s="1" t="s">
        <v>2933</v>
      </c>
      <c r="H1036" s="4" t="s">
        <v>2934</v>
      </c>
      <c r="I1036" s="5" t="s">
        <v>126</v>
      </c>
      <c r="J1036" s="5" t="s">
        <v>37</v>
      </c>
      <c r="K1036" s="5" t="s">
        <v>37</v>
      </c>
      <c r="L1036" s="5" t="s">
        <v>2935</v>
      </c>
      <c r="M1036" s="5" t="s">
        <v>37</v>
      </c>
      <c r="N1036" s="5" t="s">
        <v>37</v>
      </c>
      <c r="O1036" s="5" t="s">
        <v>38</v>
      </c>
      <c r="P1036" s="5" t="s">
        <v>39</v>
      </c>
      <c r="Q1036" s="2">
        <v>45961</v>
      </c>
      <c r="V103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7" spans="1:22">
      <c r="A1037" s="2">
        <v>45910</v>
      </c>
      <c r="B1037" s="1" t="s">
        <v>2936</v>
      </c>
      <c r="C1037" s="1" t="s">
        <v>359</v>
      </c>
      <c r="D1037" s="1" t="s">
        <v>174</v>
      </c>
      <c r="E1037" s="1">
        <v>85326</v>
      </c>
      <c r="F1037" s="1" t="s">
        <v>31</v>
      </c>
      <c r="G1037" s="1" t="s">
        <v>2933</v>
      </c>
      <c r="H1037" s="4" t="s">
        <v>2937</v>
      </c>
      <c r="I1037" s="5" t="s">
        <v>46</v>
      </c>
      <c r="J1037" s="5" t="s">
        <v>37</v>
      </c>
      <c r="K1037" s="5" t="s">
        <v>37</v>
      </c>
      <c r="L1037" s="5" t="s">
        <v>1586</v>
      </c>
      <c r="M1037" s="5" t="s">
        <v>37</v>
      </c>
      <c r="N1037" s="5" t="s">
        <v>37</v>
      </c>
      <c r="O1037" s="5" t="s">
        <v>38</v>
      </c>
      <c r="P1037" s="5" t="s">
        <v>39</v>
      </c>
      <c r="Q1037" s="2">
        <v>45961</v>
      </c>
      <c r="V103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8" spans="1:22">
      <c r="A1038" s="2">
        <v>45910</v>
      </c>
      <c r="B1038" s="29" t="s">
        <v>2938</v>
      </c>
      <c r="C1038" s="29" t="s">
        <v>363</v>
      </c>
      <c r="D1038" s="29" t="s">
        <v>169</v>
      </c>
      <c r="E1038" s="29">
        <v>85395</v>
      </c>
      <c r="F1038" s="29" t="s">
        <v>31</v>
      </c>
      <c r="G1038" s="29" t="s">
        <v>2933</v>
      </c>
      <c r="H1038" s="4" t="s">
        <v>2939</v>
      </c>
      <c r="I1038" s="5" t="s">
        <v>1488</v>
      </c>
      <c r="J1038" s="5" t="s">
        <v>37</v>
      </c>
      <c r="K1038" s="5" t="s">
        <v>37</v>
      </c>
      <c r="L1038" s="5" t="s">
        <v>389</v>
      </c>
      <c r="M1038" s="5" t="s">
        <v>37</v>
      </c>
      <c r="N1038" s="5" t="s">
        <v>37</v>
      </c>
      <c r="O1038" s="5" t="s">
        <v>38</v>
      </c>
      <c r="P1038" s="5" t="s">
        <v>39</v>
      </c>
      <c r="Q1038" s="2">
        <v>45961</v>
      </c>
      <c r="R1038" s="1" t="s">
        <v>2940</v>
      </c>
      <c r="V103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39" spans="1:22">
      <c r="A1039" s="2">
        <v>45910</v>
      </c>
      <c r="B1039" s="1" t="s">
        <v>2941</v>
      </c>
      <c r="C1039" s="1" t="s">
        <v>2942</v>
      </c>
      <c r="D1039" s="1" t="s">
        <v>63</v>
      </c>
      <c r="E1039" s="1">
        <v>85004</v>
      </c>
      <c r="F1039" s="1" t="s">
        <v>31</v>
      </c>
      <c r="G1039" s="1" t="s">
        <v>2933</v>
      </c>
      <c r="H1039" s="4" t="s">
        <v>2943</v>
      </c>
      <c r="I1039" s="5" t="s">
        <v>196</v>
      </c>
      <c r="J1039" s="5" t="s">
        <v>37</v>
      </c>
      <c r="K1039" s="5" t="s">
        <v>37</v>
      </c>
      <c r="L1039" s="7" t="s">
        <v>2944</v>
      </c>
      <c r="M1039" s="5" t="s">
        <v>37</v>
      </c>
      <c r="N1039" s="5" t="s">
        <v>37</v>
      </c>
      <c r="O1039" s="5" t="s">
        <v>38</v>
      </c>
      <c r="P1039" s="5" t="s">
        <v>39</v>
      </c>
      <c r="Q1039" s="2">
        <v>45961</v>
      </c>
      <c r="R1039" s="1" t="s">
        <v>2945</v>
      </c>
      <c r="V103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0" spans="1:22">
      <c r="A1040" s="2">
        <v>45910</v>
      </c>
      <c r="B1040" s="1" t="s">
        <v>2860</v>
      </c>
      <c r="C1040" s="1" t="s">
        <v>2861</v>
      </c>
      <c r="D1040" s="1" t="s">
        <v>85</v>
      </c>
      <c r="E1040" s="1">
        <v>86323</v>
      </c>
      <c r="F1040" s="1" t="s">
        <v>31</v>
      </c>
      <c r="G1040" s="1" t="s">
        <v>2933</v>
      </c>
      <c r="H1040" s="4" t="s">
        <v>2862</v>
      </c>
      <c r="I1040" s="5" t="s">
        <v>196</v>
      </c>
      <c r="J1040" s="5" t="s">
        <v>37</v>
      </c>
      <c r="K1040" s="5" t="s">
        <v>37</v>
      </c>
      <c r="L1040" s="5" t="s">
        <v>2946</v>
      </c>
      <c r="M1040" s="5" t="s">
        <v>37</v>
      </c>
      <c r="N1040" s="5" t="s">
        <v>37</v>
      </c>
      <c r="O1040" s="5" t="s">
        <v>38</v>
      </c>
      <c r="P1040" s="5" t="s">
        <v>39</v>
      </c>
      <c r="Q1040" s="2">
        <v>45961</v>
      </c>
      <c r="V104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1" spans="1:22">
      <c r="A1041" s="2">
        <v>45910</v>
      </c>
      <c r="B1041" s="1" t="s">
        <v>262</v>
      </c>
      <c r="C1041" s="1" t="s">
        <v>215</v>
      </c>
      <c r="D1041" s="1" t="s">
        <v>202</v>
      </c>
      <c r="E1041" s="1">
        <v>85345</v>
      </c>
      <c r="F1041" s="1" t="s">
        <v>31</v>
      </c>
      <c r="G1041" s="1" t="s">
        <v>2933</v>
      </c>
      <c r="H1041" s="4" t="s">
        <v>2947</v>
      </c>
      <c r="I1041" s="5" t="s">
        <v>196</v>
      </c>
      <c r="J1041" s="5" t="s">
        <v>37</v>
      </c>
      <c r="K1041" s="5" t="s">
        <v>37</v>
      </c>
      <c r="L1041" s="5" t="s">
        <v>1586</v>
      </c>
      <c r="M1041" s="5" t="s">
        <v>37</v>
      </c>
      <c r="N1041" s="5" t="s">
        <v>37</v>
      </c>
      <c r="O1041" s="5" t="s">
        <v>38</v>
      </c>
      <c r="P1041" s="5" t="s">
        <v>39</v>
      </c>
      <c r="Q1041" s="2">
        <v>45961</v>
      </c>
      <c r="V104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2" spans="1:22">
      <c r="A1042" s="2">
        <v>45910</v>
      </c>
      <c r="B1042" s="1" t="s">
        <v>2188</v>
      </c>
      <c r="C1042" s="1" t="s">
        <v>2188</v>
      </c>
      <c r="D1042" s="1" t="s">
        <v>30</v>
      </c>
      <c r="E1042" s="1" t="s">
        <v>30</v>
      </c>
      <c r="F1042" s="1" t="s">
        <v>2948</v>
      </c>
      <c r="G1042" s="1" t="s">
        <v>2933</v>
      </c>
      <c r="H1042" s="4" t="s">
        <v>27</v>
      </c>
      <c r="V104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3" spans="1:22">
      <c r="A1043" s="2">
        <v>45910</v>
      </c>
      <c r="B1043" s="1" t="s">
        <v>2682</v>
      </c>
      <c r="C1043" s="1" t="s">
        <v>2019</v>
      </c>
      <c r="D1043" s="1" t="s">
        <v>112</v>
      </c>
      <c r="E1043" s="1">
        <v>85388</v>
      </c>
      <c r="F1043" s="1" t="s">
        <v>310</v>
      </c>
      <c r="G1043" s="1" t="s">
        <v>2949</v>
      </c>
      <c r="H1043" s="4" t="s">
        <v>2950</v>
      </c>
      <c r="I1043" s="5" t="s">
        <v>46</v>
      </c>
      <c r="J1043" s="5" t="s">
        <v>37</v>
      </c>
      <c r="K1043" s="5" t="s">
        <v>37</v>
      </c>
      <c r="L1043" s="5" t="s">
        <v>1586</v>
      </c>
      <c r="M1043" s="5" t="s">
        <v>37</v>
      </c>
      <c r="N1043" s="5" t="s">
        <v>37</v>
      </c>
      <c r="O1043" s="5" t="s">
        <v>38</v>
      </c>
      <c r="P1043" s="5" t="s">
        <v>39</v>
      </c>
      <c r="Q1043" s="2">
        <v>45961</v>
      </c>
      <c r="V104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4" spans="1:22">
      <c r="A1044" s="2">
        <v>45911</v>
      </c>
      <c r="B1044" s="1" t="s">
        <v>2951</v>
      </c>
      <c r="C1044" s="1" t="s">
        <v>2952</v>
      </c>
      <c r="D1044" s="1" t="s">
        <v>125</v>
      </c>
      <c r="E1044" s="1">
        <v>85259</v>
      </c>
      <c r="F1044" s="1" t="s">
        <v>2953</v>
      </c>
      <c r="G1044" s="1" t="s">
        <v>2949</v>
      </c>
      <c r="H1044" s="4" t="s">
        <v>2954</v>
      </c>
      <c r="I1044" s="5" t="s">
        <v>36</v>
      </c>
      <c r="J1044" s="5" t="s">
        <v>37</v>
      </c>
      <c r="K1044" s="5" t="s">
        <v>37</v>
      </c>
      <c r="L1044" s="5" t="s">
        <v>1586</v>
      </c>
      <c r="M1044" s="5" t="s">
        <v>37</v>
      </c>
      <c r="N1044" s="5" t="s">
        <v>37</v>
      </c>
      <c r="O1044" s="5" t="s">
        <v>38</v>
      </c>
      <c r="P1044" s="5" t="s">
        <v>39</v>
      </c>
      <c r="Q1044" s="2">
        <v>45961</v>
      </c>
      <c r="V104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5" spans="1:22">
      <c r="A1045" s="2">
        <v>45911</v>
      </c>
      <c r="B1045" s="1" t="s">
        <v>2955</v>
      </c>
      <c r="C1045" s="1" t="s">
        <v>2956</v>
      </c>
      <c r="D1045" s="1" t="s">
        <v>30</v>
      </c>
      <c r="E1045" s="1" t="s">
        <v>30</v>
      </c>
      <c r="F1045" s="1" t="s">
        <v>2957</v>
      </c>
      <c r="G1045" s="1" t="s">
        <v>2949</v>
      </c>
      <c r="H1045" s="4" t="s">
        <v>27</v>
      </c>
      <c r="V104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6" spans="1:22">
      <c r="A1046" s="2">
        <v>45911</v>
      </c>
      <c r="B1046" s="1" t="s">
        <v>2368</v>
      </c>
      <c r="C1046" s="1" t="s">
        <v>2135</v>
      </c>
      <c r="D1046" s="1" t="s">
        <v>202</v>
      </c>
      <c r="E1046" s="1">
        <v>85345</v>
      </c>
      <c r="F1046" s="1" t="s">
        <v>310</v>
      </c>
      <c r="G1046" s="1" t="s">
        <v>2949</v>
      </c>
      <c r="H1046" s="4" t="s">
        <v>2958</v>
      </c>
      <c r="I1046" s="5" t="s">
        <v>46</v>
      </c>
      <c r="J1046" s="5" t="s">
        <v>37</v>
      </c>
      <c r="K1046" s="5" t="s">
        <v>37</v>
      </c>
      <c r="L1046" s="5" t="s">
        <v>2959</v>
      </c>
      <c r="M1046" s="5" t="s">
        <v>37</v>
      </c>
      <c r="N1046" s="5" t="s">
        <v>37</v>
      </c>
      <c r="O1046" s="5" t="s">
        <v>38</v>
      </c>
      <c r="P1046" s="5" t="s">
        <v>39</v>
      </c>
      <c r="Q1046" s="2">
        <v>45961</v>
      </c>
      <c r="V104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7" spans="1:22">
      <c r="A1047" s="2">
        <v>45911</v>
      </c>
      <c r="B1047" s="1" t="s">
        <v>2960</v>
      </c>
      <c r="C1047" s="1" t="s">
        <v>2961</v>
      </c>
      <c r="D1047" s="1" t="s">
        <v>30</v>
      </c>
      <c r="E1047" s="1" t="s">
        <v>30</v>
      </c>
      <c r="F1047" s="1" t="s">
        <v>310</v>
      </c>
      <c r="G1047" s="1" t="s">
        <v>2949</v>
      </c>
      <c r="H1047" s="4" t="s">
        <v>27</v>
      </c>
      <c r="V104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8" spans="1:22">
      <c r="A1048" s="2">
        <v>45911</v>
      </c>
      <c r="B1048" s="1" t="s">
        <v>224</v>
      </c>
      <c r="C1048" s="1" t="s">
        <v>346</v>
      </c>
      <c r="D1048" s="1" t="s">
        <v>85</v>
      </c>
      <c r="E1048" s="1">
        <v>86323</v>
      </c>
      <c r="F1048" s="1" t="s">
        <v>31</v>
      </c>
      <c r="G1048" s="1" t="s">
        <v>2949</v>
      </c>
      <c r="H1048" s="4" t="s">
        <v>2962</v>
      </c>
      <c r="I1048" s="5" t="s">
        <v>196</v>
      </c>
      <c r="J1048" s="5" t="s">
        <v>37</v>
      </c>
      <c r="K1048" s="5" t="s">
        <v>37</v>
      </c>
      <c r="L1048" s="5" t="s">
        <v>2863</v>
      </c>
      <c r="M1048" s="5" t="s">
        <v>37</v>
      </c>
      <c r="N1048" s="5" t="s">
        <v>37</v>
      </c>
      <c r="O1048" s="5" t="s">
        <v>38</v>
      </c>
      <c r="P1048" s="5" t="s">
        <v>39</v>
      </c>
      <c r="Q1048" s="2">
        <v>45961</v>
      </c>
      <c r="V104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49" spans="1:22">
      <c r="A1049" s="2">
        <v>45912</v>
      </c>
      <c r="B1049" s="1" t="s">
        <v>2963</v>
      </c>
      <c r="C1049" s="1" t="s">
        <v>2964</v>
      </c>
      <c r="D1049" s="1" t="s">
        <v>169</v>
      </c>
      <c r="E1049" s="1">
        <v>85395</v>
      </c>
      <c r="F1049" s="1" t="s">
        <v>31</v>
      </c>
      <c r="G1049" s="1" t="s">
        <v>2965</v>
      </c>
      <c r="H1049" s="4" t="s">
        <v>2966</v>
      </c>
      <c r="I1049" s="5" t="s">
        <v>36</v>
      </c>
      <c r="J1049" s="5" t="s">
        <v>37</v>
      </c>
      <c r="K1049" s="5" t="s">
        <v>37</v>
      </c>
      <c r="L1049" s="5" t="s">
        <v>1586</v>
      </c>
      <c r="M1049" s="5" t="s">
        <v>37</v>
      </c>
      <c r="N1049" s="5" t="s">
        <v>37</v>
      </c>
      <c r="O1049" s="5" t="s">
        <v>38</v>
      </c>
      <c r="P1049" s="5" t="s">
        <v>39</v>
      </c>
      <c r="Q1049" s="2">
        <v>45961</v>
      </c>
      <c r="V104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0" spans="1:22">
      <c r="A1050" s="2">
        <v>45912</v>
      </c>
      <c r="B1050" s="1" t="s">
        <v>1344</v>
      </c>
      <c r="C1050" s="1" t="s">
        <v>1198</v>
      </c>
      <c r="D1050" s="1" t="s">
        <v>63</v>
      </c>
      <c r="E1050" s="1">
        <v>85053</v>
      </c>
      <c r="F1050" s="1" t="s">
        <v>310</v>
      </c>
      <c r="G1050" s="1" t="s">
        <v>2967</v>
      </c>
      <c r="H1050" s="4" t="s">
        <v>1347</v>
      </c>
      <c r="I1050" s="5" t="s">
        <v>36</v>
      </c>
      <c r="J1050" s="5" t="s">
        <v>37</v>
      </c>
      <c r="K1050" s="5" t="s">
        <v>37</v>
      </c>
      <c r="L1050" s="5" t="s">
        <v>1586</v>
      </c>
      <c r="M1050" s="5" t="s">
        <v>37</v>
      </c>
      <c r="N1050" s="5" t="s">
        <v>37</v>
      </c>
      <c r="O1050" s="5" t="s">
        <v>38</v>
      </c>
      <c r="P1050" s="5" t="s">
        <v>39</v>
      </c>
      <c r="Q1050" s="2">
        <v>45961</v>
      </c>
      <c r="V105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1" spans="1:22">
      <c r="A1051" s="2">
        <v>45912</v>
      </c>
      <c r="B1051" s="1" t="s">
        <v>2968</v>
      </c>
      <c r="C1051" s="1" t="s">
        <v>2969</v>
      </c>
      <c r="D1051" s="1" t="s">
        <v>30</v>
      </c>
      <c r="E1051" s="1" t="s">
        <v>30</v>
      </c>
      <c r="F1051" s="1" t="s">
        <v>31</v>
      </c>
      <c r="G1051" s="1" t="s">
        <v>2970</v>
      </c>
      <c r="H1051" s="4" t="s">
        <v>27</v>
      </c>
      <c r="V105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2" spans="1:22">
      <c r="A1052" s="2">
        <v>45912</v>
      </c>
      <c r="B1052" s="1" t="s">
        <v>2971</v>
      </c>
      <c r="C1052" s="1" t="s">
        <v>1140</v>
      </c>
      <c r="D1052" s="1" t="s">
        <v>63</v>
      </c>
      <c r="E1052" s="1">
        <v>85027</v>
      </c>
      <c r="F1052" s="1" t="s">
        <v>741</v>
      </c>
      <c r="G1052" s="1" t="s">
        <v>2970</v>
      </c>
      <c r="H1052" s="4" t="s">
        <v>2972</v>
      </c>
      <c r="I1052" s="5" t="s">
        <v>196</v>
      </c>
      <c r="J1052" s="5" t="s">
        <v>37</v>
      </c>
      <c r="K1052" s="5" t="s">
        <v>37</v>
      </c>
      <c r="L1052" s="5" t="s">
        <v>2973</v>
      </c>
      <c r="M1052" s="5" t="s">
        <v>37</v>
      </c>
      <c r="N1052" s="5" t="s">
        <v>37</v>
      </c>
      <c r="O1052" s="5" t="s">
        <v>38</v>
      </c>
      <c r="P1052" s="5" t="s">
        <v>39</v>
      </c>
      <c r="Q1052" s="2">
        <v>45961</v>
      </c>
      <c r="V105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3" spans="1:22">
      <c r="A1053" s="2">
        <v>45912</v>
      </c>
      <c r="B1053" s="1" t="s">
        <v>2974</v>
      </c>
      <c r="C1053" s="1" t="s">
        <v>2975</v>
      </c>
      <c r="D1053" s="1" t="s">
        <v>523</v>
      </c>
      <c r="E1053" s="1">
        <v>85392</v>
      </c>
      <c r="F1053" s="1" t="s">
        <v>310</v>
      </c>
      <c r="G1053" s="1" t="s">
        <v>2970</v>
      </c>
      <c r="H1053" s="4" t="s">
        <v>2976</v>
      </c>
      <c r="I1053" s="5" t="s">
        <v>196</v>
      </c>
      <c r="J1053" s="5" t="s">
        <v>37</v>
      </c>
      <c r="K1053" s="5" t="s">
        <v>37</v>
      </c>
      <c r="L1053" s="7" t="s">
        <v>2977</v>
      </c>
      <c r="M1053" s="5" t="s">
        <v>37</v>
      </c>
      <c r="N1053" s="5" t="s">
        <v>37</v>
      </c>
      <c r="O1053" s="5" t="s">
        <v>38</v>
      </c>
      <c r="P1053" s="2">
        <v>45938</v>
      </c>
      <c r="Q1053" s="2">
        <v>45961</v>
      </c>
      <c r="R1053" s="1" t="s">
        <v>2978</v>
      </c>
      <c r="V105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4" spans="1:22">
      <c r="A1054" s="2">
        <v>45912</v>
      </c>
      <c r="B1054" s="1" t="s">
        <v>2979</v>
      </c>
      <c r="C1054" s="1" t="s">
        <v>427</v>
      </c>
      <c r="D1054" s="1" t="s">
        <v>24</v>
      </c>
      <c r="E1054" s="1">
        <v>85308</v>
      </c>
      <c r="F1054" s="1" t="s">
        <v>310</v>
      </c>
      <c r="G1054" s="1" t="s">
        <v>2970</v>
      </c>
      <c r="H1054" s="4" t="s">
        <v>2980</v>
      </c>
      <c r="I1054" s="5" t="s">
        <v>243</v>
      </c>
      <c r="J1054" s="5" t="s">
        <v>37</v>
      </c>
      <c r="K1054" s="5" t="s">
        <v>37</v>
      </c>
      <c r="L1054" s="5" t="s">
        <v>389</v>
      </c>
      <c r="M1054" s="5" t="s">
        <v>37</v>
      </c>
      <c r="N1054" s="5" t="s">
        <v>37</v>
      </c>
      <c r="O1054" s="5" t="s">
        <v>38</v>
      </c>
      <c r="P1054" s="5" t="s">
        <v>39</v>
      </c>
      <c r="Q1054" s="2">
        <v>45961</v>
      </c>
      <c r="V105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5" spans="1:22">
      <c r="A1055" s="2">
        <v>45912</v>
      </c>
      <c r="B1055" s="1" t="s">
        <v>2981</v>
      </c>
      <c r="C1055" s="1" t="s">
        <v>838</v>
      </c>
      <c r="D1055" s="1" t="s">
        <v>125</v>
      </c>
      <c r="E1055" s="1">
        <v>85255</v>
      </c>
      <c r="F1055" s="1" t="s">
        <v>31</v>
      </c>
      <c r="G1055" s="1" t="s">
        <v>2970</v>
      </c>
      <c r="H1055" s="4" t="s">
        <v>2982</v>
      </c>
      <c r="I1055" s="5" t="s">
        <v>541</v>
      </c>
      <c r="J1055" s="5" t="s">
        <v>37</v>
      </c>
      <c r="K1055" s="5" t="s">
        <v>37</v>
      </c>
      <c r="L1055" s="5" t="s">
        <v>389</v>
      </c>
      <c r="M1055" s="5" t="s">
        <v>37</v>
      </c>
      <c r="N1055" s="5" t="s">
        <v>37</v>
      </c>
      <c r="O1055" s="5" t="s">
        <v>38</v>
      </c>
      <c r="P1055" s="5" t="s">
        <v>39</v>
      </c>
      <c r="Q1055" s="2">
        <v>45961</v>
      </c>
      <c r="V105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6" spans="1:22">
      <c r="A1056" s="2">
        <v>45912</v>
      </c>
      <c r="B1056" s="1" t="s">
        <v>2983</v>
      </c>
      <c r="C1056" s="1" t="s">
        <v>2984</v>
      </c>
      <c r="D1056" s="1" t="s">
        <v>63</v>
      </c>
      <c r="E1056" s="1">
        <v>85014</v>
      </c>
      <c r="F1056" s="1" t="s">
        <v>310</v>
      </c>
      <c r="G1056" s="1" t="s">
        <v>2985</v>
      </c>
      <c r="H1056" s="4" t="s">
        <v>27</v>
      </c>
      <c r="V105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7" spans="1:22">
      <c r="A1057" s="2">
        <v>45912</v>
      </c>
      <c r="B1057" s="1" t="s">
        <v>2986</v>
      </c>
      <c r="C1057" s="1" t="s">
        <v>145</v>
      </c>
      <c r="D1057" s="1" t="s">
        <v>816</v>
      </c>
      <c r="E1057" s="1">
        <v>86303</v>
      </c>
      <c r="F1057" s="1" t="s">
        <v>2987</v>
      </c>
      <c r="G1057" s="1" t="s">
        <v>2985</v>
      </c>
      <c r="H1057" s="4" t="s">
        <v>2988</v>
      </c>
      <c r="I1057" s="5" t="s">
        <v>73</v>
      </c>
      <c r="J1057" s="5" t="s">
        <v>37</v>
      </c>
      <c r="K1057" s="5" t="s">
        <v>37</v>
      </c>
      <c r="L1057" s="5" t="s">
        <v>1586</v>
      </c>
      <c r="M1057" s="5" t="s">
        <v>37</v>
      </c>
      <c r="N1057" s="5" t="s">
        <v>37</v>
      </c>
      <c r="O1057" s="5" t="s">
        <v>38</v>
      </c>
      <c r="P1057" s="5" t="s">
        <v>39</v>
      </c>
      <c r="Q1057" s="2">
        <v>45961</v>
      </c>
      <c r="V105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8" spans="1:22">
      <c r="A1058" s="2">
        <v>45912</v>
      </c>
      <c r="B1058" s="1" t="s">
        <v>2989</v>
      </c>
      <c r="C1058" s="1" t="s">
        <v>1815</v>
      </c>
      <c r="D1058" s="1" t="s">
        <v>63</v>
      </c>
      <c r="E1058" s="1">
        <v>85002</v>
      </c>
      <c r="F1058" s="1" t="s">
        <v>2990</v>
      </c>
      <c r="G1058" s="1" t="s">
        <v>2985</v>
      </c>
      <c r="H1058" s="4" t="s">
        <v>27</v>
      </c>
      <c r="V105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59" spans="1:22">
      <c r="A1059" s="2">
        <v>45912</v>
      </c>
      <c r="B1059" s="1" t="s">
        <v>2991</v>
      </c>
      <c r="C1059" s="1" t="s">
        <v>312</v>
      </c>
      <c r="D1059" s="1" t="s">
        <v>63</v>
      </c>
      <c r="E1059" s="1">
        <v>85013</v>
      </c>
      <c r="F1059" s="1" t="s">
        <v>31</v>
      </c>
      <c r="G1059" s="1" t="s">
        <v>2985</v>
      </c>
      <c r="H1059" s="4" t="s">
        <v>27</v>
      </c>
      <c r="V105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0" spans="1:22">
      <c r="A1060" s="2">
        <v>45912</v>
      </c>
      <c r="B1060" s="1" t="s">
        <v>2992</v>
      </c>
      <c r="C1060" s="1" t="s">
        <v>42</v>
      </c>
      <c r="D1060" s="1" t="s">
        <v>112</v>
      </c>
      <c r="E1060" s="1">
        <v>85378</v>
      </c>
      <c r="F1060" s="1" t="s">
        <v>660</v>
      </c>
      <c r="G1060" s="1" t="s">
        <v>2985</v>
      </c>
      <c r="H1060" s="4" t="s">
        <v>2993</v>
      </c>
      <c r="I1060" s="5" t="s">
        <v>46</v>
      </c>
      <c r="J1060" s="5" t="s">
        <v>37</v>
      </c>
      <c r="K1060" s="5" t="s">
        <v>37</v>
      </c>
      <c r="L1060" s="5" t="s">
        <v>2994</v>
      </c>
      <c r="M1060" s="5" t="s">
        <v>37</v>
      </c>
      <c r="N1060" s="5" t="s">
        <v>37</v>
      </c>
      <c r="O1060" s="5" t="s">
        <v>38</v>
      </c>
      <c r="P1060" s="5" t="s">
        <v>39</v>
      </c>
      <c r="Q1060" s="2">
        <v>45961</v>
      </c>
      <c r="V106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1" spans="1:22">
      <c r="A1061" s="2">
        <v>45912</v>
      </c>
      <c r="B1061" s="1" t="s">
        <v>2995</v>
      </c>
      <c r="C1061" s="1" t="s">
        <v>312</v>
      </c>
      <c r="D1061" s="1" t="s">
        <v>24</v>
      </c>
      <c r="E1061" s="1">
        <v>85308</v>
      </c>
      <c r="F1061" s="1" t="s">
        <v>2996</v>
      </c>
      <c r="G1061" s="1" t="s">
        <v>2985</v>
      </c>
      <c r="H1061" s="4" t="s">
        <v>2997</v>
      </c>
      <c r="I1061" s="5" t="s">
        <v>541</v>
      </c>
      <c r="J1061" s="5" t="s">
        <v>37</v>
      </c>
      <c r="K1061" s="5" t="s">
        <v>37</v>
      </c>
      <c r="L1061" s="5" t="s">
        <v>389</v>
      </c>
      <c r="M1061" s="5" t="s">
        <v>37</v>
      </c>
      <c r="N1061" s="5" t="s">
        <v>37</v>
      </c>
      <c r="O1061" s="5" t="s">
        <v>38</v>
      </c>
      <c r="P1061" s="5" t="s">
        <v>39</v>
      </c>
      <c r="Q1061" s="2">
        <v>45961</v>
      </c>
      <c r="V106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2" spans="1:22">
      <c r="A1062" s="2">
        <v>45912</v>
      </c>
      <c r="B1062" s="1" t="s">
        <v>2998</v>
      </c>
      <c r="C1062" s="1" t="s">
        <v>252</v>
      </c>
      <c r="D1062" s="1" t="s">
        <v>63</v>
      </c>
      <c r="E1062" s="1">
        <v>85028</v>
      </c>
      <c r="F1062" s="1" t="s">
        <v>31</v>
      </c>
      <c r="G1062" s="1" t="s">
        <v>2985</v>
      </c>
      <c r="H1062" s="4" t="s">
        <v>2999</v>
      </c>
      <c r="I1062" s="5" t="s">
        <v>126</v>
      </c>
      <c r="J1062" s="5" t="s">
        <v>37</v>
      </c>
      <c r="K1062" s="5" t="s">
        <v>37</v>
      </c>
      <c r="L1062" s="7" t="s">
        <v>3000</v>
      </c>
      <c r="M1062" s="5" t="s">
        <v>37</v>
      </c>
      <c r="N1062" s="5" t="s">
        <v>37</v>
      </c>
      <c r="O1062" s="5" t="s">
        <v>38</v>
      </c>
      <c r="P1062" s="2">
        <v>45938</v>
      </c>
      <c r="Q1062" s="2">
        <v>45961</v>
      </c>
      <c r="R1062" s="1" t="s">
        <v>3001</v>
      </c>
      <c r="V106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3" spans="1:22">
      <c r="A1063" s="2">
        <v>45912</v>
      </c>
      <c r="B1063" s="1" t="s">
        <v>3002</v>
      </c>
      <c r="C1063" s="1" t="s">
        <v>1533</v>
      </c>
      <c r="D1063" s="1" t="s">
        <v>698</v>
      </c>
      <c r="E1063" s="1">
        <v>85375</v>
      </c>
      <c r="F1063" s="1" t="s">
        <v>31</v>
      </c>
      <c r="G1063" s="1" t="s">
        <v>2985</v>
      </c>
      <c r="H1063" s="4" t="s">
        <v>3003</v>
      </c>
      <c r="I1063" s="5" t="s">
        <v>57</v>
      </c>
      <c r="J1063" s="5" t="s">
        <v>37</v>
      </c>
      <c r="K1063" s="5" t="s">
        <v>37</v>
      </c>
      <c r="L1063" s="7" t="s">
        <v>3004</v>
      </c>
      <c r="M1063" s="5" t="s">
        <v>37</v>
      </c>
      <c r="N1063" s="5" t="s">
        <v>37</v>
      </c>
      <c r="O1063" s="5" t="s">
        <v>38</v>
      </c>
      <c r="P1063" s="2">
        <v>45938</v>
      </c>
      <c r="Q1063" s="2">
        <v>45961</v>
      </c>
      <c r="R1063" s="1" t="s">
        <v>2978</v>
      </c>
      <c r="V106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4" spans="1:22">
      <c r="A1064" s="2">
        <v>45912</v>
      </c>
      <c r="B1064" s="1" t="s">
        <v>3005</v>
      </c>
      <c r="C1064" s="1" t="s">
        <v>3006</v>
      </c>
      <c r="D1064" s="1" t="s">
        <v>125</v>
      </c>
      <c r="E1064" s="1">
        <v>85255</v>
      </c>
      <c r="F1064" s="1" t="s">
        <v>310</v>
      </c>
      <c r="G1064" s="1" t="s">
        <v>2985</v>
      </c>
      <c r="H1064" s="4" t="s">
        <v>3007</v>
      </c>
      <c r="I1064" s="5" t="s">
        <v>57</v>
      </c>
      <c r="J1064" s="5" t="s">
        <v>37</v>
      </c>
      <c r="K1064" s="5" t="s">
        <v>37</v>
      </c>
      <c r="L1064" s="7" t="s">
        <v>3008</v>
      </c>
      <c r="M1064" s="5" t="s">
        <v>37</v>
      </c>
      <c r="N1064" s="5" t="s">
        <v>37</v>
      </c>
      <c r="O1064" s="5" t="s">
        <v>38</v>
      </c>
      <c r="P1064" s="2">
        <v>45938</v>
      </c>
      <c r="Q1064" s="2">
        <v>45961</v>
      </c>
      <c r="R1064" s="1" t="s">
        <v>2978</v>
      </c>
      <c r="V106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5" spans="1:22">
      <c r="A1065" s="2">
        <v>45912</v>
      </c>
      <c r="B1065" s="1" t="s">
        <v>3009</v>
      </c>
      <c r="C1065" s="1" t="s">
        <v>312</v>
      </c>
      <c r="D1065" s="1" t="s">
        <v>619</v>
      </c>
      <c r="E1065" s="1">
        <v>85365</v>
      </c>
      <c r="F1065" s="1" t="s">
        <v>3010</v>
      </c>
      <c r="G1065" s="1" t="s">
        <v>2985</v>
      </c>
      <c r="H1065" s="4" t="s">
        <v>3011</v>
      </c>
      <c r="I1065" s="5" t="s">
        <v>73</v>
      </c>
      <c r="J1065" s="5" t="s">
        <v>37</v>
      </c>
      <c r="K1065" s="5" t="s">
        <v>37</v>
      </c>
      <c r="L1065" s="5" t="s">
        <v>1586</v>
      </c>
      <c r="M1065" s="5" t="s">
        <v>37</v>
      </c>
      <c r="N1065" s="5" t="s">
        <v>37</v>
      </c>
      <c r="O1065" s="5" t="s">
        <v>38</v>
      </c>
      <c r="P1065" s="5" t="s">
        <v>39</v>
      </c>
      <c r="Q1065" s="2">
        <v>45961</v>
      </c>
      <c r="V106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6" spans="1:22">
      <c r="A1066" s="2">
        <v>45912</v>
      </c>
      <c r="B1066" s="1" t="s">
        <v>3012</v>
      </c>
      <c r="C1066" s="1" t="s">
        <v>479</v>
      </c>
      <c r="D1066" s="1" t="s">
        <v>24</v>
      </c>
      <c r="E1066" s="1">
        <v>85308</v>
      </c>
      <c r="F1066" s="1" t="s">
        <v>310</v>
      </c>
      <c r="G1066" s="1" t="s">
        <v>2985</v>
      </c>
      <c r="H1066" s="4" t="s">
        <v>3013</v>
      </c>
      <c r="I1066" s="5" t="s">
        <v>36</v>
      </c>
      <c r="J1066" s="5" t="s">
        <v>37</v>
      </c>
      <c r="K1066" s="5" t="s">
        <v>37</v>
      </c>
      <c r="L1066" s="5" t="s">
        <v>1586</v>
      </c>
      <c r="M1066" s="5" t="s">
        <v>37</v>
      </c>
      <c r="N1066" s="5" t="s">
        <v>37</v>
      </c>
      <c r="O1066" s="5" t="s">
        <v>38</v>
      </c>
      <c r="P1066" s="5" t="s">
        <v>39</v>
      </c>
      <c r="Q1066" s="2">
        <v>45961</v>
      </c>
      <c r="R1066" s="1" t="s">
        <v>3014</v>
      </c>
      <c r="V106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7" spans="1:22">
      <c r="A1067" s="2">
        <v>45912</v>
      </c>
      <c r="B1067" s="1" t="s">
        <v>1136</v>
      </c>
      <c r="C1067" s="1" t="s">
        <v>3015</v>
      </c>
      <c r="D1067" s="1" t="s">
        <v>63</v>
      </c>
      <c r="E1067" s="1">
        <v>85032</v>
      </c>
      <c r="F1067" s="1" t="s">
        <v>3016</v>
      </c>
      <c r="G1067" s="1" t="s">
        <v>2985</v>
      </c>
      <c r="H1067" s="4" t="s">
        <v>3017</v>
      </c>
      <c r="I1067" s="5" t="s">
        <v>57</v>
      </c>
      <c r="J1067" s="5" t="s">
        <v>37</v>
      </c>
      <c r="K1067" s="5" t="s">
        <v>37</v>
      </c>
      <c r="L1067" s="7" t="s">
        <v>3018</v>
      </c>
      <c r="M1067" s="5" t="s">
        <v>37</v>
      </c>
      <c r="N1067" s="5" t="s">
        <v>37</v>
      </c>
      <c r="O1067" s="5" t="s">
        <v>38</v>
      </c>
      <c r="Q1067" s="2">
        <v>45961</v>
      </c>
      <c r="R1067" s="1" t="s">
        <v>3019</v>
      </c>
      <c r="V106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8" spans="1:22">
      <c r="A1068" s="2">
        <v>45912</v>
      </c>
      <c r="B1068" s="1" t="s">
        <v>3020</v>
      </c>
      <c r="C1068" s="1" t="s">
        <v>3021</v>
      </c>
      <c r="D1068" s="1" t="s">
        <v>63</v>
      </c>
      <c r="E1068" s="1">
        <v>85034</v>
      </c>
      <c r="F1068" s="1" t="s">
        <v>310</v>
      </c>
      <c r="G1068" s="1" t="s">
        <v>2985</v>
      </c>
      <c r="H1068" s="4" t="s">
        <v>209</v>
      </c>
      <c r="V106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69" spans="1:22">
      <c r="A1069" s="2">
        <v>45913</v>
      </c>
      <c r="B1069" s="1" t="s">
        <v>3022</v>
      </c>
      <c r="C1069" s="1" t="s">
        <v>3023</v>
      </c>
      <c r="D1069" s="1" t="s">
        <v>523</v>
      </c>
      <c r="E1069" s="1">
        <v>85392</v>
      </c>
      <c r="F1069" s="1" t="s">
        <v>31</v>
      </c>
      <c r="G1069" s="1" t="s">
        <v>2985</v>
      </c>
      <c r="H1069" s="4" t="s">
        <v>3024</v>
      </c>
      <c r="I1069" s="5" t="s">
        <v>250</v>
      </c>
      <c r="J1069" s="5" t="s">
        <v>37</v>
      </c>
      <c r="K1069" s="5" t="s">
        <v>37</v>
      </c>
      <c r="L1069" s="5" t="s">
        <v>1586</v>
      </c>
      <c r="M1069" s="5" t="s">
        <v>37</v>
      </c>
      <c r="N1069" s="5" t="s">
        <v>37</v>
      </c>
      <c r="O1069" s="5" t="s">
        <v>38</v>
      </c>
      <c r="P1069" s="5" t="s">
        <v>39</v>
      </c>
      <c r="Q1069" s="2">
        <v>45961</v>
      </c>
      <c r="V106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0" spans="1:22">
      <c r="A1070" s="2">
        <v>45913</v>
      </c>
      <c r="B1070" s="1" t="s">
        <v>3025</v>
      </c>
      <c r="C1070" s="1" t="s">
        <v>1634</v>
      </c>
      <c r="D1070" s="1" t="s">
        <v>63</v>
      </c>
      <c r="E1070" s="1">
        <v>85032</v>
      </c>
      <c r="F1070" s="1" t="s">
        <v>31</v>
      </c>
      <c r="G1070" s="1" t="s">
        <v>2985</v>
      </c>
      <c r="H1070" s="4" t="s">
        <v>27</v>
      </c>
      <c r="V107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1" spans="1:22">
      <c r="A1071" s="2">
        <v>45913</v>
      </c>
      <c r="B1071" s="1" t="s">
        <v>3026</v>
      </c>
      <c r="C1071" s="1" t="s">
        <v>3006</v>
      </c>
      <c r="D1071" s="1" t="s">
        <v>63</v>
      </c>
      <c r="E1071" s="1">
        <v>85003</v>
      </c>
      <c r="F1071" s="1" t="s">
        <v>31</v>
      </c>
      <c r="G1071" s="1" t="s">
        <v>2985</v>
      </c>
      <c r="H1071" s="4" t="s">
        <v>27</v>
      </c>
      <c r="V107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2" spans="1:22">
      <c r="A1072" s="2">
        <v>45913</v>
      </c>
      <c r="B1072" s="1" t="s">
        <v>3027</v>
      </c>
      <c r="C1072" s="1" t="s">
        <v>3028</v>
      </c>
      <c r="D1072" s="1" t="s">
        <v>112</v>
      </c>
      <c r="E1072" s="1">
        <v>85374</v>
      </c>
      <c r="F1072" s="1" t="s">
        <v>31</v>
      </c>
      <c r="G1072" s="1" t="s">
        <v>2985</v>
      </c>
      <c r="H1072" s="4" t="s">
        <v>27</v>
      </c>
      <c r="V107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3" spans="1:22">
      <c r="A1073" s="2">
        <v>45913</v>
      </c>
      <c r="B1073" s="1" t="s">
        <v>2046</v>
      </c>
      <c r="C1073" s="1" t="s">
        <v>597</v>
      </c>
      <c r="D1073" s="1" t="s">
        <v>169</v>
      </c>
      <c r="E1073" s="1">
        <v>85338</v>
      </c>
      <c r="F1073" s="1" t="s">
        <v>31</v>
      </c>
      <c r="G1073" s="1" t="s">
        <v>2985</v>
      </c>
      <c r="H1073" s="4" t="s">
        <v>209</v>
      </c>
      <c r="V107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4" spans="1:22">
      <c r="A1074" s="2">
        <v>45913</v>
      </c>
      <c r="B1074" s="1" t="s">
        <v>3029</v>
      </c>
      <c r="C1074" s="1" t="s">
        <v>3030</v>
      </c>
      <c r="D1074" s="1" t="s">
        <v>63</v>
      </c>
      <c r="E1074" s="1">
        <v>85022</v>
      </c>
      <c r="F1074" s="1" t="s">
        <v>31</v>
      </c>
      <c r="G1074" s="1" t="s">
        <v>2985</v>
      </c>
      <c r="H1074" s="4" t="s">
        <v>3031</v>
      </c>
      <c r="I1074" s="5" t="s">
        <v>73</v>
      </c>
      <c r="J1074" s="5" t="s">
        <v>37</v>
      </c>
      <c r="K1074" s="5" t="s">
        <v>37</v>
      </c>
      <c r="L1074" s="5" t="s">
        <v>1586</v>
      </c>
      <c r="M1074" s="5" t="s">
        <v>37</v>
      </c>
      <c r="N1074" s="5" t="s">
        <v>37</v>
      </c>
      <c r="O1074" s="5" t="s">
        <v>38</v>
      </c>
      <c r="P1074" s="5" t="s">
        <v>39</v>
      </c>
      <c r="Q1074" s="2">
        <v>45961</v>
      </c>
      <c r="V107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5" spans="1:22">
      <c r="A1075" s="2">
        <v>45913</v>
      </c>
      <c r="B1075" s="1" t="s">
        <v>2995</v>
      </c>
      <c r="C1075" s="1" t="s">
        <v>312</v>
      </c>
      <c r="D1075" s="1" t="s">
        <v>24</v>
      </c>
      <c r="E1075" s="1">
        <v>85308</v>
      </c>
      <c r="F1075" s="1" t="s">
        <v>31</v>
      </c>
      <c r="G1075" s="1" t="s">
        <v>2985</v>
      </c>
      <c r="H1075" s="4" t="s">
        <v>2997</v>
      </c>
      <c r="I1075" s="5" t="s">
        <v>541</v>
      </c>
      <c r="J1075" s="5" t="s">
        <v>37</v>
      </c>
      <c r="K1075" s="5" t="s">
        <v>37</v>
      </c>
      <c r="L1075" s="5" t="s">
        <v>389</v>
      </c>
      <c r="M1075" s="5" t="s">
        <v>37</v>
      </c>
      <c r="N1075" s="5" t="s">
        <v>37</v>
      </c>
      <c r="O1075" s="5" t="s">
        <v>38</v>
      </c>
      <c r="P1075" s="5" t="s">
        <v>39</v>
      </c>
      <c r="Q1075" s="2">
        <v>45961</v>
      </c>
      <c r="V107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6" spans="1:22">
      <c r="A1076" s="2">
        <v>45914</v>
      </c>
      <c r="B1076" s="1" t="s">
        <v>3032</v>
      </c>
      <c r="C1076" s="1" t="s">
        <v>3033</v>
      </c>
      <c r="D1076" s="1" t="s">
        <v>370</v>
      </c>
      <c r="E1076" s="1">
        <v>85225</v>
      </c>
      <c r="F1076" s="1" t="s">
        <v>310</v>
      </c>
      <c r="G1076" s="1" t="s">
        <v>2985</v>
      </c>
      <c r="H1076" s="4" t="s">
        <v>3034</v>
      </c>
      <c r="I1076" s="5" t="s">
        <v>3035</v>
      </c>
      <c r="J1076" s="5" t="s">
        <v>37</v>
      </c>
      <c r="K1076" s="5" t="s">
        <v>37</v>
      </c>
      <c r="L1076" s="5" t="s">
        <v>3036</v>
      </c>
      <c r="M1076" s="5" t="s">
        <v>37</v>
      </c>
      <c r="N1076" s="5" t="s">
        <v>37</v>
      </c>
      <c r="O1076" s="5" t="s">
        <v>38</v>
      </c>
      <c r="P1076" s="5" t="s">
        <v>39</v>
      </c>
      <c r="Q1076" s="2">
        <v>45961</v>
      </c>
      <c r="V107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7" spans="1:22">
      <c r="A1077" s="2">
        <v>45914</v>
      </c>
      <c r="B1077" s="1" t="s">
        <v>3037</v>
      </c>
      <c r="C1077" s="1" t="s">
        <v>611</v>
      </c>
      <c r="D1077" s="1" t="s">
        <v>63</v>
      </c>
      <c r="E1077" s="1">
        <v>85020</v>
      </c>
      <c r="F1077" s="1" t="s">
        <v>31</v>
      </c>
      <c r="G1077" s="1" t="s">
        <v>2985</v>
      </c>
      <c r="H1077" s="4" t="s">
        <v>3038</v>
      </c>
      <c r="I1077" s="5" t="s">
        <v>418</v>
      </c>
      <c r="J1077" s="5" t="s">
        <v>37</v>
      </c>
      <c r="K1077" s="5" t="s">
        <v>37</v>
      </c>
      <c r="L1077" s="5" t="s">
        <v>389</v>
      </c>
      <c r="M1077" s="5" t="s">
        <v>37</v>
      </c>
      <c r="N1077" s="5" t="s">
        <v>37</v>
      </c>
      <c r="O1077" s="5" t="s">
        <v>38</v>
      </c>
      <c r="P1077" s="5" t="s">
        <v>39</v>
      </c>
      <c r="Q1077" s="2">
        <v>45961</v>
      </c>
      <c r="V107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8" spans="1:22">
      <c r="A1078" s="2">
        <v>45914</v>
      </c>
      <c r="B1078" s="1" t="s">
        <v>926</v>
      </c>
      <c r="C1078" s="1" t="s">
        <v>1079</v>
      </c>
      <c r="D1078" s="1" t="s">
        <v>619</v>
      </c>
      <c r="E1078" s="1">
        <v>85365</v>
      </c>
      <c r="F1078" s="1" t="s">
        <v>3039</v>
      </c>
      <c r="G1078" s="1" t="s">
        <v>2985</v>
      </c>
      <c r="H1078" s="4" t="s">
        <v>209</v>
      </c>
      <c r="V107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79" spans="1:22">
      <c r="A1079" s="2">
        <v>45914</v>
      </c>
      <c r="B1079" s="1" t="s">
        <v>1884</v>
      </c>
      <c r="C1079" s="1" t="s">
        <v>3040</v>
      </c>
      <c r="D1079" s="1" t="s">
        <v>619</v>
      </c>
      <c r="E1079" s="1">
        <v>85364</v>
      </c>
      <c r="F1079" s="1" t="s">
        <v>3041</v>
      </c>
      <c r="G1079" s="1" t="s">
        <v>2985</v>
      </c>
      <c r="H1079" s="22" t="s">
        <v>3042</v>
      </c>
      <c r="I1079" s="5" t="s">
        <v>250</v>
      </c>
      <c r="J1079" s="5" t="s">
        <v>37</v>
      </c>
      <c r="K1079" s="5" t="s">
        <v>37</v>
      </c>
      <c r="L1079" s="7" t="s">
        <v>3043</v>
      </c>
      <c r="M1079" s="5" t="s">
        <v>38</v>
      </c>
      <c r="N1079" s="15">
        <v>722.34</v>
      </c>
      <c r="O1079" s="5" t="s">
        <v>38</v>
      </c>
      <c r="Q1079" s="2">
        <v>45961</v>
      </c>
      <c r="R1079" s="1" t="s">
        <v>3044</v>
      </c>
      <c r="U1079" s="1" t="s">
        <v>3045</v>
      </c>
      <c r="V107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0" spans="1:22">
      <c r="A1080" s="2">
        <v>45914</v>
      </c>
      <c r="B1080" s="1" t="s">
        <v>3046</v>
      </c>
      <c r="C1080" s="1" t="s">
        <v>333</v>
      </c>
      <c r="D1080" s="1" t="s">
        <v>63</v>
      </c>
      <c r="E1080" s="1">
        <v>85281</v>
      </c>
      <c r="F1080" s="1" t="s">
        <v>310</v>
      </c>
      <c r="G1080" s="1" t="s">
        <v>2985</v>
      </c>
      <c r="H1080" s="4" t="s">
        <v>3047</v>
      </c>
      <c r="I1080" s="5" t="s">
        <v>73</v>
      </c>
      <c r="J1080" s="5" t="s">
        <v>38</v>
      </c>
      <c r="K1080" s="5" t="s">
        <v>37</v>
      </c>
      <c r="L1080" s="5" t="s">
        <v>38</v>
      </c>
      <c r="M1080" s="5" t="s">
        <v>37</v>
      </c>
      <c r="N1080" s="5" t="s">
        <v>37</v>
      </c>
      <c r="O1080" s="5" t="s">
        <v>38</v>
      </c>
      <c r="P1080" s="5" t="s">
        <v>39</v>
      </c>
      <c r="Q1080" s="2">
        <v>45961</v>
      </c>
      <c r="V108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1" spans="1:22">
      <c r="A1081" s="2">
        <v>45914</v>
      </c>
      <c r="B1081" s="1" t="s">
        <v>3048</v>
      </c>
      <c r="C1081" s="1" t="s">
        <v>1472</v>
      </c>
      <c r="D1081" s="1" t="s">
        <v>202</v>
      </c>
      <c r="E1081" s="1">
        <v>85383</v>
      </c>
      <c r="F1081" s="1" t="s">
        <v>3049</v>
      </c>
      <c r="G1081" s="1" t="s">
        <v>2985</v>
      </c>
      <c r="H1081" s="4" t="s">
        <v>27</v>
      </c>
      <c r="V108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2" spans="1:22">
      <c r="A1082" s="2">
        <v>45914</v>
      </c>
      <c r="B1082" s="1" t="s">
        <v>2951</v>
      </c>
      <c r="C1082" s="1" t="s">
        <v>3006</v>
      </c>
      <c r="D1082" s="1" t="s">
        <v>125</v>
      </c>
      <c r="E1082" s="1">
        <v>85260</v>
      </c>
      <c r="F1082" s="1" t="s">
        <v>3050</v>
      </c>
      <c r="G1082" s="1" t="s">
        <v>2985</v>
      </c>
      <c r="H1082" s="4" t="s">
        <v>3051</v>
      </c>
      <c r="I1082" s="5" t="s">
        <v>196</v>
      </c>
      <c r="J1082" s="5" t="s">
        <v>37</v>
      </c>
      <c r="K1082" s="5" t="s">
        <v>37</v>
      </c>
      <c r="L1082" s="5" t="s">
        <v>3052</v>
      </c>
      <c r="M1082" s="5" t="s">
        <v>37</v>
      </c>
      <c r="N1082" s="5" t="s">
        <v>37</v>
      </c>
      <c r="O1082" s="5" t="s">
        <v>38</v>
      </c>
      <c r="P1082" s="5" t="s">
        <v>39</v>
      </c>
      <c r="Q1082" s="2">
        <v>45961</v>
      </c>
      <c r="V108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3" spans="1:22">
      <c r="A1083" s="2">
        <v>45917</v>
      </c>
      <c r="B1083" s="1" t="s">
        <v>3053</v>
      </c>
      <c r="C1083" s="1" t="s">
        <v>184</v>
      </c>
      <c r="D1083" s="1" t="s">
        <v>63</v>
      </c>
      <c r="E1083" s="1">
        <v>85023</v>
      </c>
      <c r="F1083" s="1" t="s">
        <v>3054</v>
      </c>
      <c r="G1083" s="1" t="s">
        <v>3055</v>
      </c>
      <c r="H1083" s="4" t="s">
        <v>3056</v>
      </c>
      <c r="I1083" s="5" t="s">
        <v>196</v>
      </c>
      <c r="J1083" s="5" t="s">
        <v>37</v>
      </c>
      <c r="K1083" s="5" t="s">
        <v>37</v>
      </c>
      <c r="L1083" s="7" t="s">
        <v>3057</v>
      </c>
      <c r="M1083" s="5" t="s">
        <v>37</v>
      </c>
      <c r="N1083" s="5" t="s">
        <v>37</v>
      </c>
      <c r="O1083" s="5" t="s">
        <v>38</v>
      </c>
      <c r="P1083" s="2">
        <v>45939</v>
      </c>
      <c r="Q1083" s="2">
        <v>45961</v>
      </c>
      <c r="R1083" s="1" t="s">
        <v>2474</v>
      </c>
      <c r="V108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4" spans="1:22">
      <c r="A1084" s="2">
        <v>45917</v>
      </c>
      <c r="B1084" s="1" t="s">
        <v>3058</v>
      </c>
      <c r="C1084" s="1" t="s">
        <v>225</v>
      </c>
      <c r="D1084" s="1" t="s">
        <v>737</v>
      </c>
      <c r="E1084" s="1">
        <v>86326</v>
      </c>
      <c r="F1084" s="1" t="s">
        <v>3059</v>
      </c>
      <c r="G1084" s="1" t="s">
        <v>3060</v>
      </c>
      <c r="H1084" s="4" t="s">
        <v>3061</v>
      </c>
      <c r="I1084" s="5" t="s">
        <v>36</v>
      </c>
      <c r="J1084" s="5" t="s">
        <v>37</v>
      </c>
      <c r="K1084" s="5" t="s">
        <v>37</v>
      </c>
      <c r="L1084" s="5" t="s">
        <v>38</v>
      </c>
      <c r="M1084" s="5" t="s">
        <v>37</v>
      </c>
      <c r="N1084" s="5" t="s">
        <v>37</v>
      </c>
      <c r="O1084" s="5" t="s">
        <v>38</v>
      </c>
      <c r="P1084" s="5" t="s">
        <v>39</v>
      </c>
      <c r="Q1084" s="2">
        <v>45961</v>
      </c>
      <c r="V108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5" spans="1:22">
      <c r="A1085" s="2">
        <v>45917</v>
      </c>
      <c r="B1085" s="1" t="s">
        <v>3062</v>
      </c>
      <c r="C1085" s="1" t="s">
        <v>879</v>
      </c>
      <c r="D1085" s="1" t="s">
        <v>737</v>
      </c>
      <c r="E1085" s="1">
        <v>86326</v>
      </c>
      <c r="F1085" s="1" t="s">
        <v>31</v>
      </c>
      <c r="G1085" s="1" t="s">
        <v>3060</v>
      </c>
      <c r="H1085" s="4" t="s">
        <v>3063</v>
      </c>
      <c r="I1085" s="5" t="s">
        <v>46</v>
      </c>
      <c r="J1085" s="5" t="s">
        <v>37</v>
      </c>
      <c r="K1085" s="5" t="s">
        <v>37</v>
      </c>
      <c r="L1085" s="5" t="s">
        <v>38</v>
      </c>
      <c r="M1085" s="5" t="s">
        <v>37</v>
      </c>
      <c r="N1085" s="5" t="s">
        <v>37</v>
      </c>
      <c r="O1085" s="5" t="s">
        <v>38</v>
      </c>
      <c r="P1085" s="5" t="s">
        <v>39</v>
      </c>
      <c r="Q1085" s="2">
        <v>45961</v>
      </c>
      <c r="V108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6" spans="1:22">
      <c r="A1086" s="2">
        <v>45917</v>
      </c>
      <c r="B1086" s="1" t="s">
        <v>3064</v>
      </c>
      <c r="C1086" s="1" t="s">
        <v>284</v>
      </c>
      <c r="D1086" s="1" t="s">
        <v>63</v>
      </c>
      <c r="E1086" s="1">
        <v>85050</v>
      </c>
      <c r="F1086" s="1" t="s">
        <v>3065</v>
      </c>
      <c r="G1086" s="1" t="s">
        <v>3060</v>
      </c>
      <c r="H1086" s="4" t="s">
        <v>3066</v>
      </c>
      <c r="I1086" s="5" t="s">
        <v>36</v>
      </c>
      <c r="J1086" s="5" t="s">
        <v>37</v>
      </c>
      <c r="K1086" s="5" t="s">
        <v>37</v>
      </c>
      <c r="L1086" s="5" t="s">
        <v>38</v>
      </c>
      <c r="M1086" s="5" t="s">
        <v>37</v>
      </c>
      <c r="N1086" s="5" t="s">
        <v>37</v>
      </c>
      <c r="O1086" s="5" t="s">
        <v>38</v>
      </c>
      <c r="P1086" s="5" t="s">
        <v>39</v>
      </c>
      <c r="Q1086" s="2">
        <v>45961</v>
      </c>
      <c r="V108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7" spans="1:22">
      <c r="A1087" s="2">
        <v>45917</v>
      </c>
      <c r="B1087" s="1" t="s">
        <v>1776</v>
      </c>
      <c r="C1087" s="1" t="s">
        <v>312</v>
      </c>
      <c r="D1087" s="1" t="s">
        <v>63</v>
      </c>
      <c r="E1087" s="1">
        <v>85023</v>
      </c>
      <c r="F1087" s="1" t="s">
        <v>310</v>
      </c>
      <c r="G1087" s="1" t="s">
        <v>3055</v>
      </c>
      <c r="H1087" s="4" t="s">
        <v>3067</v>
      </c>
      <c r="I1087" s="5" t="s">
        <v>250</v>
      </c>
      <c r="J1087" s="5" t="s">
        <v>37</v>
      </c>
      <c r="K1087" s="5" t="s">
        <v>37</v>
      </c>
      <c r="L1087" s="5" t="s">
        <v>38</v>
      </c>
      <c r="M1087" s="5" t="s">
        <v>37</v>
      </c>
      <c r="N1087" s="5" t="s">
        <v>37</v>
      </c>
      <c r="O1087" s="5" t="s">
        <v>38</v>
      </c>
      <c r="P1087" s="5" t="s">
        <v>39</v>
      </c>
      <c r="Q1087" s="2">
        <v>45961</v>
      </c>
      <c r="V108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8" spans="1:22">
      <c r="A1088" s="2">
        <v>45917</v>
      </c>
      <c r="B1088" s="1" t="s">
        <v>3068</v>
      </c>
      <c r="C1088" s="1" t="s">
        <v>3069</v>
      </c>
      <c r="D1088" s="1" t="s">
        <v>370</v>
      </c>
      <c r="E1088" s="1">
        <v>85225</v>
      </c>
      <c r="F1088" s="1" t="s">
        <v>3070</v>
      </c>
      <c r="G1088" s="1" t="s">
        <v>3071</v>
      </c>
      <c r="H1088" s="4" t="s">
        <v>3072</v>
      </c>
      <c r="I1088" s="5" t="s">
        <v>196</v>
      </c>
      <c r="J1088" s="5" t="s">
        <v>37</v>
      </c>
      <c r="K1088" s="5" t="s">
        <v>37</v>
      </c>
      <c r="L1088" s="7" t="s">
        <v>3073</v>
      </c>
      <c r="M1088" s="5" t="s">
        <v>37</v>
      </c>
      <c r="N1088" s="5" t="s">
        <v>37</v>
      </c>
      <c r="O1088" s="5" t="s">
        <v>38</v>
      </c>
      <c r="Q1088" s="2">
        <v>45961</v>
      </c>
      <c r="R1088" s="1" t="s">
        <v>3074</v>
      </c>
      <c r="V108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89" spans="1:22">
      <c r="A1089" s="2">
        <v>45917</v>
      </c>
      <c r="B1089" s="1" t="s">
        <v>3075</v>
      </c>
      <c r="C1089" s="1" t="s">
        <v>1815</v>
      </c>
      <c r="D1089" s="1" t="s">
        <v>125</v>
      </c>
      <c r="E1089" s="1">
        <v>85257</v>
      </c>
      <c r="F1089" s="1" t="s">
        <v>3076</v>
      </c>
      <c r="G1089" s="1" t="s">
        <v>3071</v>
      </c>
      <c r="H1089" s="4" t="s">
        <v>3077</v>
      </c>
      <c r="I1089" s="5" t="s">
        <v>36</v>
      </c>
      <c r="J1089" s="5" t="s">
        <v>37</v>
      </c>
      <c r="K1089" s="5" t="s">
        <v>37</v>
      </c>
      <c r="L1089" s="5" t="s">
        <v>38</v>
      </c>
      <c r="M1089" s="5" t="s">
        <v>37</v>
      </c>
      <c r="N1089" s="5" t="s">
        <v>37</v>
      </c>
      <c r="O1089" s="5" t="s">
        <v>38</v>
      </c>
      <c r="P1089" s="5" t="s">
        <v>39</v>
      </c>
      <c r="Q1089" s="2">
        <v>45961</v>
      </c>
      <c r="V1089"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0" spans="1:22">
      <c r="A1090" s="2">
        <v>45917</v>
      </c>
      <c r="B1090" s="1" t="s">
        <v>3078</v>
      </c>
      <c r="C1090" s="1" t="s">
        <v>2116</v>
      </c>
      <c r="D1090" s="1" t="s">
        <v>24</v>
      </c>
      <c r="E1090" s="1">
        <v>85310</v>
      </c>
      <c r="F1090" s="1" t="s">
        <v>3079</v>
      </c>
      <c r="G1090" s="1" t="s">
        <v>3071</v>
      </c>
      <c r="H1090" s="4" t="s">
        <v>3080</v>
      </c>
      <c r="I1090" s="5" t="s">
        <v>36</v>
      </c>
      <c r="J1090" s="5" t="s">
        <v>37</v>
      </c>
      <c r="K1090" s="5" t="s">
        <v>37</v>
      </c>
      <c r="L1090" s="5" t="s">
        <v>38</v>
      </c>
      <c r="M1090" s="5" t="s">
        <v>37</v>
      </c>
      <c r="N1090" s="5" t="s">
        <v>37</v>
      </c>
      <c r="O1090" s="5" t="s">
        <v>38</v>
      </c>
      <c r="P1090" s="5" t="s">
        <v>39</v>
      </c>
      <c r="Q1090" s="2">
        <v>45961</v>
      </c>
      <c r="V1090"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1" spans="1:22">
      <c r="A1091" s="2">
        <v>45918</v>
      </c>
      <c r="B1091" s="1" t="s">
        <v>3081</v>
      </c>
      <c r="C1091" s="1" t="s">
        <v>548</v>
      </c>
      <c r="D1091" s="1" t="s">
        <v>169</v>
      </c>
      <c r="E1091" s="1">
        <v>85338</v>
      </c>
      <c r="F1091" s="1" t="s">
        <v>3082</v>
      </c>
      <c r="G1091" s="1" t="s">
        <v>3083</v>
      </c>
      <c r="H1091" s="4" t="s">
        <v>3084</v>
      </c>
      <c r="I1091" s="5" t="s">
        <v>36</v>
      </c>
      <c r="J1091" s="5" t="s">
        <v>37</v>
      </c>
      <c r="K1091" s="5" t="s">
        <v>37</v>
      </c>
      <c r="L1091" s="5" t="s">
        <v>38</v>
      </c>
      <c r="M1091" s="5" t="s">
        <v>37</v>
      </c>
      <c r="N1091" s="5" t="s">
        <v>37</v>
      </c>
      <c r="O1091" s="5" t="s">
        <v>38</v>
      </c>
      <c r="P1091" s="5" t="s">
        <v>39</v>
      </c>
      <c r="Q1091" s="2">
        <v>45961</v>
      </c>
      <c r="V1091"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2" spans="1:22">
      <c r="A1092" s="2">
        <v>45918</v>
      </c>
      <c r="B1092" s="1" t="s">
        <v>3085</v>
      </c>
      <c r="C1092" s="1" t="s">
        <v>399</v>
      </c>
      <c r="D1092" s="1" t="s">
        <v>24</v>
      </c>
      <c r="E1092" s="1">
        <v>85310</v>
      </c>
      <c r="F1092" s="1" t="s">
        <v>3086</v>
      </c>
      <c r="G1092" s="1" t="s">
        <v>3083</v>
      </c>
      <c r="H1092" s="4" t="s">
        <v>27</v>
      </c>
      <c r="V1092"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3" spans="1:22">
      <c r="A1093" s="2">
        <v>45918</v>
      </c>
      <c r="B1093" s="1" t="s">
        <v>1148</v>
      </c>
      <c r="C1093" s="1" t="s">
        <v>821</v>
      </c>
      <c r="D1093" s="1" t="s">
        <v>169</v>
      </c>
      <c r="E1093" s="1">
        <v>85338</v>
      </c>
      <c r="F1093" s="1" t="s">
        <v>3087</v>
      </c>
      <c r="G1093" s="1" t="s">
        <v>3083</v>
      </c>
      <c r="H1093" s="4" t="s">
        <v>27</v>
      </c>
      <c r="V1093"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4" spans="1:22">
      <c r="A1094" s="2">
        <v>45918</v>
      </c>
      <c r="B1094" s="1" t="s">
        <v>1765</v>
      </c>
      <c r="C1094" s="1" t="s">
        <v>145</v>
      </c>
      <c r="D1094" s="1" t="s">
        <v>63</v>
      </c>
      <c r="E1094" s="1">
        <v>85032</v>
      </c>
      <c r="F1094" s="1" t="s">
        <v>3088</v>
      </c>
      <c r="G1094" s="1" t="s">
        <v>3083</v>
      </c>
      <c r="H1094" s="4" t="s">
        <v>3089</v>
      </c>
      <c r="I1094" s="5" t="s">
        <v>196</v>
      </c>
      <c r="J1094" s="5" t="s">
        <v>37</v>
      </c>
      <c r="K1094" s="5" t="s">
        <v>37</v>
      </c>
      <c r="L1094" s="5" t="s">
        <v>38</v>
      </c>
      <c r="M1094" s="5" t="s">
        <v>37</v>
      </c>
      <c r="N1094" s="5" t="s">
        <v>37</v>
      </c>
      <c r="O1094" s="5" t="s">
        <v>38</v>
      </c>
      <c r="P1094" s="5" t="s">
        <v>39</v>
      </c>
      <c r="Q1094" s="2">
        <v>45961</v>
      </c>
      <c r="V1094"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5" spans="1:22">
      <c r="A1095" s="2">
        <v>45918</v>
      </c>
      <c r="B1095" s="1" t="s">
        <v>3090</v>
      </c>
      <c r="C1095" s="1" t="s">
        <v>208</v>
      </c>
      <c r="D1095" s="1" t="s">
        <v>3091</v>
      </c>
      <c r="E1095" s="1">
        <v>86032</v>
      </c>
      <c r="F1095" s="1" t="s">
        <v>3092</v>
      </c>
      <c r="G1095" s="1" t="s">
        <v>3083</v>
      </c>
      <c r="H1095" s="4" t="s">
        <v>3093</v>
      </c>
      <c r="I1095" s="5" t="s">
        <v>46</v>
      </c>
      <c r="J1095" s="5" t="s">
        <v>37</v>
      </c>
      <c r="K1095" s="5" t="s">
        <v>37</v>
      </c>
      <c r="L1095" s="5" t="s">
        <v>38</v>
      </c>
      <c r="M1095" s="5" t="s">
        <v>38</v>
      </c>
      <c r="N1095" s="13">
        <v>361.43</v>
      </c>
      <c r="O1095" s="5" t="s">
        <v>38</v>
      </c>
      <c r="P1095" s="5" t="s">
        <v>39</v>
      </c>
      <c r="Q1095" s="2">
        <v>45961</v>
      </c>
      <c r="R1095" s="1" t="s">
        <v>3094</v>
      </c>
      <c r="V1095"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6" spans="1:22">
      <c r="A1096" s="2">
        <v>45918</v>
      </c>
      <c r="B1096" s="1" t="s">
        <v>3095</v>
      </c>
      <c r="C1096" s="1" t="s">
        <v>747</v>
      </c>
      <c r="D1096" s="1" t="s">
        <v>63</v>
      </c>
      <c r="E1096" s="1">
        <v>85024</v>
      </c>
      <c r="F1096" s="1" t="s">
        <v>3096</v>
      </c>
      <c r="G1096" s="1" t="s">
        <v>3083</v>
      </c>
      <c r="H1096" s="4" t="s">
        <v>27</v>
      </c>
      <c r="V1096"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7" spans="1:22">
      <c r="A1097" s="2">
        <v>45918</v>
      </c>
      <c r="B1097" s="1" t="s">
        <v>3097</v>
      </c>
      <c r="C1097" s="1" t="s">
        <v>3098</v>
      </c>
      <c r="D1097" s="1" t="s">
        <v>174</v>
      </c>
      <c r="E1097" s="1">
        <v>85396</v>
      </c>
      <c r="F1097" s="1" t="s">
        <v>3099</v>
      </c>
      <c r="G1097" s="1" t="s">
        <v>3083</v>
      </c>
      <c r="H1097" s="19" t="s">
        <v>3100</v>
      </c>
      <c r="I1097" s="5" t="s">
        <v>36</v>
      </c>
      <c r="J1097" s="5" t="s">
        <v>38</v>
      </c>
      <c r="K1097" s="5" t="s">
        <v>37</v>
      </c>
      <c r="L1097" s="5" t="s">
        <v>38</v>
      </c>
      <c r="M1097" s="5" t="s">
        <v>38</v>
      </c>
      <c r="N1097" s="15">
        <v>2904.39</v>
      </c>
      <c r="O1097" s="5" t="s">
        <v>38</v>
      </c>
      <c r="Q1097" s="2">
        <v>45961</v>
      </c>
      <c r="R1097" s="1" t="s">
        <v>3101</v>
      </c>
      <c r="V1097"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8" spans="1:22">
      <c r="A1098" s="2">
        <v>45918</v>
      </c>
      <c r="B1098" s="1" t="s">
        <v>2571</v>
      </c>
      <c r="C1098" s="1" t="s">
        <v>594</v>
      </c>
      <c r="D1098" s="1" t="s">
        <v>63</v>
      </c>
      <c r="E1098" s="1">
        <v>85014</v>
      </c>
      <c r="F1098" s="1" t="s">
        <v>3102</v>
      </c>
      <c r="G1098" s="1" t="s">
        <v>3083</v>
      </c>
      <c r="H1098" s="4" t="s">
        <v>3103</v>
      </c>
      <c r="I1098" s="5" t="s">
        <v>36</v>
      </c>
      <c r="J1098" s="5" t="s">
        <v>38</v>
      </c>
      <c r="L1098" s="5" t="s">
        <v>38</v>
      </c>
      <c r="O1098" s="5" t="s">
        <v>38</v>
      </c>
      <c r="P1098" s="5" t="s">
        <v>39</v>
      </c>
      <c r="V1098" s="46">
        <f>IF(
  OR(
    ISNUMBER(SEARCH("unable to locate acct", tblDocketedComments[[#This Row],[Docketed Consumer Comments]])),
    ISNUMBER(SEARCH("unknown", tblDocketedComments[[#This Row],[Docketed Consumer Comments]])),
    ISNUMBER(SEARCH("inactive", tblDocketedComments[[#This Row],[Docketed Consumer Comments]]))
  ),
  0,
  1
)</f>
        <v>1</v>
      </c>
    </row>
    <row r="1099" spans="1:22">
      <c r="A1099" s="2">
        <v>45918</v>
      </c>
      <c r="B1099" s="1" t="s">
        <v>3104</v>
      </c>
      <c r="C1099" s="1" t="s">
        <v>481</v>
      </c>
      <c r="D1099" s="1" t="s">
        <v>1198</v>
      </c>
      <c r="E1099" s="1">
        <v>85607</v>
      </c>
      <c r="F1099" s="1" t="s">
        <v>3105</v>
      </c>
      <c r="G1099" s="1" t="s">
        <v>3083</v>
      </c>
      <c r="H1099" s="4" t="s">
        <v>90</v>
      </c>
      <c r="V109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0" spans="1:22">
      <c r="A1100" s="2">
        <v>45918</v>
      </c>
      <c r="B1100" s="1" t="s">
        <v>3106</v>
      </c>
      <c r="C1100" s="1" t="s">
        <v>382</v>
      </c>
      <c r="D1100" s="1" t="s">
        <v>635</v>
      </c>
      <c r="E1100" s="1">
        <v>85281</v>
      </c>
      <c r="F1100" s="1" t="s">
        <v>3107</v>
      </c>
      <c r="G1100" s="1" t="s">
        <v>3083</v>
      </c>
      <c r="H1100" s="4" t="s">
        <v>3108</v>
      </c>
      <c r="I1100" s="5" t="s">
        <v>36</v>
      </c>
      <c r="J1100" s="5" t="s">
        <v>37</v>
      </c>
      <c r="K1100" s="5" t="s">
        <v>37</v>
      </c>
      <c r="L1100" s="5" t="s">
        <v>38</v>
      </c>
      <c r="M1100" s="5" t="s">
        <v>37</v>
      </c>
      <c r="N1100" s="5" t="s">
        <v>37</v>
      </c>
      <c r="O1100" s="5" t="s">
        <v>38</v>
      </c>
      <c r="P1100" s="5" t="s">
        <v>39</v>
      </c>
      <c r="Q1100" s="2">
        <v>45961</v>
      </c>
      <c r="R1100" s="1" t="s">
        <v>3109</v>
      </c>
      <c r="V110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1" spans="1:22">
      <c r="A1101" s="2">
        <v>45918</v>
      </c>
      <c r="B1101" s="1" t="s">
        <v>3110</v>
      </c>
      <c r="C1101" s="1" t="s">
        <v>1647</v>
      </c>
      <c r="D1101" s="1" t="s">
        <v>3111</v>
      </c>
      <c r="E1101" s="1">
        <v>85901</v>
      </c>
      <c r="F1101" s="1" t="s">
        <v>3112</v>
      </c>
      <c r="G1101" s="1" t="s">
        <v>3083</v>
      </c>
      <c r="H1101" s="4" t="s">
        <v>3113</v>
      </c>
      <c r="I1101" s="5" t="s">
        <v>73</v>
      </c>
      <c r="J1101" s="5" t="s">
        <v>37</v>
      </c>
      <c r="K1101" s="5" t="s">
        <v>37</v>
      </c>
      <c r="L1101" s="5" t="s">
        <v>38</v>
      </c>
      <c r="M1101" s="5" t="s">
        <v>37</v>
      </c>
      <c r="N1101" s="5" t="s">
        <v>37</v>
      </c>
      <c r="O1101" s="5" t="s">
        <v>38</v>
      </c>
      <c r="P1101" s="5" t="s">
        <v>39</v>
      </c>
      <c r="Q1101" s="2">
        <v>45961</v>
      </c>
      <c r="V110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2" spans="1:22">
      <c r="A1102" s="2">
        <v>45918</v>
      </c>
      <c r="B1102" s="1" t="s">
        <v>3114</v>
      </c>
      <c r="C1102" s="1" t="s">
        <v>2643</v>
      </c>
      <c r="D1102" s="1" t="s">
        <v>169</v>
      </c>
      <c r="E1102" s="1">
        <v>85338</v>
      </c>
      <c r="F1102" s="1" t="s">
        <v>3115</v>
      </c>
      <c r="G1102" s="1" t="s">
        <v>3083</v>
      </c>
      <c r="H1102" s="4" t="s">
        <v>3116</v>
      </c>
      <c r="I1102" s="5" t="s">
        <v>126</v>
      </c>
      <c r="J1102" s="5" t="s">
        <v>37</v>
      </c>
      <c r="K1102" s="5" t="s">
        <v>37</v>
      </c>
      <c r="L1102" s="5" t="s">
        <v>38</v>
      </c>
      <c r="M1102" s="5" t="s">
        <v>37</v>
      </c>
      <c r="N1102" s="5" t="s">
        <v>37</v>
      </c>
      <c r="O1102" s="5" t="s">
        <v>38</v>
      </c>
      <c r="P1102" s="5" t="s">
        <v>39</v>
      </c>
      <c r="Q1102" s="2">
        <v>45961</v>
      </c>
      <c r="V110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3" spans="1:22">
      <c r="A1103" s="2">
        <v>45918</v>
      </c>
      <c r="B1103" s="1" t="s">
        <v>3117</v>
      </c>
      <c r="C1103" s="1" t="s">
        <v>3118</v>
      </c>
      <c r="D1103" s="1" t="s">
        <v>240</v>
      </c>
      <c r="E1103" s="1">
        <v>85340</v>
      </c>
      <c r="F1103" s="1" t="s">
        <v>310</v>
      </c>
      <c r="G1103" s="1" t="s">
        <v>3083</v>
      </c>
      <c r="H1103" s="4" t="s">
        <v>3119</v>
      </c>
      <c r="I1103" s="5" t="s">
        <v>196</v>
      </c>
      <c r="J1103" s="5" t="s">
        <v>37</v>
      </c>
      <c r="K1103" s="5" t="s">
        <v>37</v>
      </c>
      <c r="L1103" s="5" t="s">
        <v>3120</v>
      </c>
      <c r="M1103" s="5" t="s">
        <v>37</v>
      </c>
      <c r="N1103" s="5" t="s">
        <v>37</v>
      </c>
      <c r="O1103" s="5" t="s">
        <v>38</v>
      </c>
      <c r="P1103" s="5" t="s">
        <v>39</v>
      </c>
      <c r="Q1103" s="2">
        <v>45961</v>
      </c>
      <c r="V110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4" spans="1:22">
      <c r="A1104" s="2">
        <v>45918</v>
      </c>
      <c r="B1104" s="1" t="s">
        <v>655</v>
      </c>
      <c r="C1104" s="1" t="s">
        <v>3121</v>
      </c>
      <c r="D1104" s="1" t="s">
        <v>202</v>
      </c>
      <c r="E1104" s="1">
        <v>85383</v>
      </c>
      <c r="F1104" s="1" t="s">
        <v>3122</v>
      </c>
      <c r="G1104" s="1" t="s">
        <v>3083</v>
      </c>
      <c r="H1104" s="4" t="s">
        <v>27</v>
      </c>
      <c r="V110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5" spans="1:22">
      <c r="A1105" s="2">
        <v>45918</v>
      </c>
      <c r="B1105" s="1" t="s">
        <v>3123</v>
      </c>
      <c r="C1105" s="1" t="s">
        <v>3124</v>
      </c>
      <c r="D1105" s="1" t="s">
        <v>125</v>
      </c>
      <c r="E1105" s="1">
        <v>85260</v>
      </c>
      <c r="F1105" s="1" t="s">
        <v>3125</v>
      </c>
      <c r="G1105" s="1" t="s">
        <v>3083</v>
      </c>
      <c r="H1105" s="4" t="s">
        <v>3126</v>
      </c>
      <c r="I1105" s="5" t="s">
        <v>126</v>
      </c>
      <c r="J1105" s="5" t="s">
        <v>37</v>
      </c>
      <c r="K1105" s="5" t="s">
        <v>37</v>
      </c>
      <c r="L1105" s="5" t="s">
        <v>38</v>
      </c>
      <c r="M1105" s="5" t="s">
        <v>37</v>
      </c>
      <c r="N1105" s="5" t="s">
        <v>37</v>
      </c>
      <c r="O1105" s="5" t="s">
        <v>38</v>
      </c>
      <c r="P1105" s="5" t="s">
        <v>39</v>
      </c>
      <c r="Q1105" s="2">
        <v>45960</v>
      </c>
      <c r="V110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6" spans="1:22">
      <c r="A1106" s="2">
        <v>45918</v>
      </c>
      <c r="B1106" s="1" t="s">
        <v>3127</v>
      </c>
      <c r="C1106" s="1" t="s">
        <v>3128</v>
      </c>
      <c r="D1106" s="1" t="s">
        <v>169</v>
      </c>
      <c r="E1106" s="1">
        <v>85338</v>
      </c>
      <c r="F1106" s="1" t="s">
        <v>3129</v>
      </c>
      <c r="G1106" s="1" t="s">
        <v>3083</v>
      </c>
      <c r="H1106" s="4" t="s">
        <v>3130</v>
      </c>
      <c r="I1106" s="5" t="s">
        <v>243</v>
      </c>
      <c r="J1106" s="5" t="s">
        <v>37</v>
      </c>
      <c r="K1106" s="5" t="s">
        <v>37</v>
      </c>
      <c r="L1106" s="5" t="s">
        <v>389</v>
      </c>
      <c r="M1106" s="5" t="s">
        <v>37</v>
      </c>
      <c r="N1106" s="5" t="s">
        <v>37</v>
      </c>
      <c r="O1106" s="5" t="s">
        <v>38</v>
      </c>
      <c r="P1106" s="5" t="s">
        <v>39</v>
      </c>
      <c r="Q1106" s="2">
        <v>45960</v>
      </c>
      <c r="V110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7" spans="1:22">
      <c r="A1107" s="2">
        <v>45918</v>
      </c>
      <c r="B1107" s="1" t="s">
        <v>3131</v>
      </c>
      <c r="C1107" s="1" t="s">
        <v>3132</v>
      </c>
      <c r="D1107" s="1" t="s">
        <v>63</v>
      </c>
      <c r="E1107" s="1">
        <v>85029</v>
      </c>
      <c r="F1107" s="1" t="s">
        <v>3133</v>
      </c>
      <c r="G1107" s="1" t="s">
        <v>3083</v>
      </c>
      <c r="H1107" s="4" t="s">
        <v>3134</v>
      </c>
      <c r="I1107" s="5" t="s">
        <v>46</v>
      </c>
      <c r="J1107" s="5" t="s">
        <v>37</v>
      </c>
      <c r="K1107" s="5" t="s">
        <v>37</v>
      </c>
      <c r="L1107" s="5" t="s">
        <v>38</v>
      </c>
      <c r="M1107" s="5" t="s">
        <v>37</v>
      </c>
      <c r="N1107" s="5" t="s">
        <v>37</v>
      </c>
      <c r="O1107" s="5" t="s">
        <v>38</v>
      </c>
      <c r="P1107" s="5" t="s">
        <v>39</v>
      </c>
      <c r="Q1107" s="2">
        <v>45960</v>
      </c>
      <c r="V110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8" spans="1:22">
      <c r="A1108" s="2">
        <v>45918</v>
      </c>
      <c r="B1108" s="1" t="s">
        <v>3135</v>
      </c>
      <c r="C1108" s="1" t="s">
        <v>548</v>
      </c>
      <c r="D1108" s="1" t="s">
        <v>63</v>
      </c>
      <c r="E1108" s="1">
        <v>85053</v>
      </c>
      <c r="F1108" s="1" t="s">
        <v>3136</v>
      </c>
      <c r="G1108" s="1" t="s">
        <v>3083</v>
      </c>
      <c r="H1108" s="4" t="s">
        <v>3137</v>
      </c>
      <c r="I1108" s="5" t="s">
        <v>36</v>
      </c>
      <c r="J1108" s="5" t="s">
        <v>37</v>
      </c>
      <c r="K1108" s="5" t="s">
        <v>37</v>
      </c>
      <c r="L1108" s="5" t="s">
        <v>38</v>
      </c>
      <c r="M1108" s="5" t="s">
        <v>37</v>
      </c>
      <c r="N1108" s="5" t="s">
        <v>37</v>
      </c>
      <c r="O1108" s="5" t="s">
        <v>38</v>
      </c>
      <c r="P1108" s="5" t="s">
        <v>39</v>
      </c>
      <c r="Q1108" s="2">
        <v>45960</v>
      </c>
      <c r="V110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09" spans="1:22">
      <c r="A1109" s="2">
        <v>45918</v>
      </c>
      <c r="B1109" s="1" t="s">
        <v>3138</v>
      </c>
      <c r="C1109" s="1" t="s">
        <v>481</v>
      </c>
      <c r="D1109" s="1" t="s">
        <v>169</v>
      </c>
      <c r="E1109" s="1">
        <v>85338</v>
      </c>
      <c r="F1109" s="1" t="s">
        <v>3139</v>
      </c>
      <c r="G1109" s="1" t="s">
        <v>3083</v>
      </c>
      <c r="H1109" s="4" t="s">
        <v>3130</v>
      </c>
      <c r="I1109" s="5" t="s">
        <v>243</v>
      </c>
      <c r="J1109" s="5" t="s">
        <v>37</v>
      </c>
      <c r="K1109" s="5" t="s">
        <v>37</v>
      </c>
      <c r="L1109" s="5" t="s">
        <v>389</v>
      </c>
      <c r="M1109" s="5" t="s">
        <v>37</v>
      </c>
      <c r="N1109" s="5" t="s">
        <v>37</v>
      </c>
      <c r="O1109" s="5" t="s">
        <v>38</v>
      </c>
      <c r="P1109" s="5" t="s">
        <v>39</v>
      </c>
      <c r="Q1109" s="2">
        <v>45960</v>
      </c>
      <c r="V110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0" spans="1:22">
      <c r="A1110" s="2">
        <v>45918</v>
      </c>
      <c r="B1110" s="1" t="s">
        <v>3140</v>
      </c>
      <c r="C1110" s="1" t="s">
        <v>558</v>
      </c>
      <c r="D1110" s="1" t="s">
        <v>63</v>
      </c>
      <c r="E1110" s="1">
        <v>85013</v>
      </c>
      <c r="F1110" s="1" t="s">
        <v>3141</v>
      </c>
      <c r="G1110" s="1" t="s">
        <v>3083</v>
      </c>
      <c r="H1110" s="4" t="s">
        <v>3142</v>
      </c>
      <c r="I1110" s="5" t="s">
        <v>196</v>
      </c>
      <c r="J1110" s="5" t="s">
        <v>37</v>
      </c>
      <c r="K1110" s="5" t="s">
        <v>37</v>
      </c>
      <c r="L1110" s="7" t="s">
        <v>3143</v>
      </c>
      <c r="M1110" s="5" t="s">
        <v>38</v>
      </c>
      <c r="N1110" s="15">
        <v>349.63</v>
      </c>
      <c r="O1110" s="5" t="s">
        <v>38</v>
      </c>
      <c r="P1110" s="7"/>
      <c r="Q1110" s="2">
        <v>45960</v>
      </c>
      <c r="R1110" s="1" t="s">
        <v>495</v>
      </c>
      <c r="V11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1" spans="1:22">
      <c r="A1111" s="2">
        <v>45918</v>
      </c>
      <c r="B1111" s="1" t="s">
        <v>3144</v>
      </c>
      <c r="C1111" s="1" t="s">
        <v>1198</v>
      </c>
      <c r="D1111" s="1" t="s">
        <v>125</v>
      </c>
      <c r="E1111" s="1">
        <v>85260</v>
      </c>
      <c r="F1111" s="1" t="s">
        <v>3145</v>
      </c>
      <c r="G1111" s="1" t="s">
        <v>3083</v>
      </c>
      <c r="H1111" s="19" t="s">
        <v>3146</v>
      </c>
      <c r="I1111" s="5" t="s">
        <v>73</v>
      </c>
      <c r="J1111" s="5" t="s">
        <v>37</v>
      </c>
      <c r="K1111" s="5" t="s">
        <v>37</v>
      </c>
      <c r="L1111" s="5" t="s">
        <v>38</v>
      </c>
      <c r="M1111" s="5" t="s">
        <v>37</v>
      </c>
      <c r="N1111" s="5" t="s">
        <v>37</v>
      </c>
      <c r="O1111" s="5" t="s">
        <v>38</v>
      </c>
      <c r="P1111" s="5" t="s">
        <v>39</v>
      </c>
      <c r="Q1111" s="2">
        <v>45960</v>
      </c>
      <c r="V11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2" spans="1:22">
      <c r="A1112" s="2">
        <v>45918</v>
      </c>
      <c r="B1112" s="1" t="s">
        <v>3147</v>
      </c>
      <c r="C1112" s="1" t="s">
        <v>3148</v>
      </c>
      <c r="D1112" s="1" t="s">
        <v>174</v>
      </c>
      <c r="E1112" s="1">
        <v>85396</v>
      </c>
      <c r="F1112" s="1" t="s">
        <v>3149</v>
      </c>
      <c r="G1112" s="1" t="s">
        <v>3083</v>
      </c>
      <c r="H1112" s="4" t="s">
        <v>3150</v>
      </c>
      <c r="I1112" s="5" t="s">
        <v>196</v>
      </c>
      <c r="J1112" s="5" t="s">
        <v>37</v>
      </c>
      <c r="K1112" s="5" t="s">
        <v>37</v>
      </c>
      <c r="L1112" s="7" t="s">
        <v>3151</v>
      </c>
      <c r="M1112" s="5" t="s">
        <v>37</v>
      </c>
      <c r="N1112" s="5" t="s">
        <v>37</v>
      </c>
      <c r="O1112" s="5" t="s">
        <v>38</v>
      </c>
      <c r="P1112" s="5" t="s">
        <v>39</v>
      </c>
      <c r="Q1112" s="2">
        <v>45960</v>
      </c>
      <c r="R1112" s="1" t="s">
        <v>3152</v>
      </c>
      <c r="V11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3" spans="1:22">
      <c r="A1113" s="2">
        <v>45918</v>
      </c>
      <c r="B1113" s="1" t="s">
        <v>3153</v>
      </c>
      <c r="C1113" s="1" t="s">
        <v>252</v>
      </c>
      <c r="D1113" s="1" t="s">
        <v>240</v>
      </c>
      <c r="E1113" s="1">
        <v>85340</v>
      </c>
      <c r="F1113" s="1" t="s">
        <v>3154</v>
      </c>
      <c r="G1113" s="1" t="s">
        <v>3155</v>
      </c>
      <c r="H1113" s="4" t="s">
        <v>3156</v>
      </c>
      <c r="I1113" s="5" t="s">
        <v>73</v>
      </c>
      <c r="J1113" s="5" t="s">
        <v>37</v>
      </c>
      <c r="K1113" s="5" t="s">
        <v>37</v>
      </c>
      <c r="L1113" s="5" t="s">
        <v>1586</v>
      </c>
      <c r="M1113" s="5" t="s">
        <v>37</v>
      </c>
      <c r="N1113" s="5" t="s">
        <v>37</v>
      </c>
      <c r="O1113" s="5" t="s">
        <v>38</v>
      </c>
      <c r="P1113" s="5" t="s">
        <v>39</v>
      </c>
      <c r="Q1113" s="2">
        <v>45960</v>
      </c>
      <c r="V11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4" spans="1:22">
      <c r="A1114" s="2">
        <v>45918</v>
      </c>
      <c r="B1114" s="1" t="s">
        <v>1868</v>
      </c>
      <c r="C1114" s="1" t="s">
        <v>1475</v>
      </c>
      <c r="D1114" s="1" t="s">
        <v>30</v>
      </c>
      <c r="E1114" s="1" t="s">
        <v>30</v>
      </c>
      <c r="F1114" s="1" t="s">
        <v>3157</v>
      </c>
      <c r="G1114" s="1" t="s">
        <v>3158</v>
      </c>
      <c r="H1114" s="4" t="s">
        <v>209</v>
      </c>
      <c r="V111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5" spans="1:22">
      <c r="A1115" s="2">
        <v>45918</v>
      </c>
      <c r="B1115" s="1" t="s">
        <v>2825</v>
      </c>
      <c r="C1115" s="1" t="s">
        <v>230</v>
      </c>
      <c r="D1115" s="1" t="s">
        <v>125</v>
      </c>
      <c r="E1115" s="1">
        <v>85262</v>
      </c>
      <c r="F1115" s="1" t="s">
        <v>3159</v>
      </c>
      <c r="G1115" s="1" t="s">
        <v>3155</v>
      </c>
      <c r="H1115" s="4" t="s">
        <v>3160</v>
      </c>
      <c r="I1115" s="5" t="s">
        <v>1488</v>
      </c>
      <c r="J1115" s="5" t="s">
        <v>37</v>
      </c>
      <c r="K1115" s="5" t="s">
        <v>37</v>
      </c>
      <c r="L1115" s="5" t="s">
        <v>389</v>
      </c>
      <c r="M1115" s="5" t="s">
        <v>37</v>
      </c>
      <c r="N1115" s="5" t="s">
        <v>37</v>
      </c>
      <c r="O1115" s="5" t="s">
        <v>38</v>
      </c>
      <c r="P1115" s="5" t="s">
        <v>39</v>
      </c>
      <c r="Q1115" s="2">
        <v>45960</v>
      </c>
      <c r="V11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6" spans="1:22">
      <c r="A1116" s="2">
        <v>45919</v>
      </c>
      <c r="B1116" s="1" t="s">
        <v>930</v>
      </c>
      <c r="C1116" s="1" t="s">
        <v>135</v>
      </c>
      <c r="D1116" s="1" t="s">
        <v>112</v>
      </c>
      <c r="E1116" s="1">
        <v>85379</v>
      </c>
      <c r="F1116" s="1" t="s">
        <v>3161</v>
      </c>
      <c r="G1116" s="1" t="s">
        <v>3155</v>
      </c>
      <c r="H1116" s="4" t="s">
        <v>27</v>
      </c>
      <c r="V11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7" spans="1:22">
      <c r="A1117" s="2">
        <v>45919</v>
      </c>
      <c r="B1117" s="1" t="s">
        <v>3162</v>
      </c>
      <c r="C1117" s="1" t="s">
        <v>1444</v>
      </c>
      <c r="D1117" s="1" t="s">
        <v>63</v>
      </c>
      <c r="E1117" s="1">
        <v>85032</v>
      </c>
      <c r="F1117" s="1" t="s">
        <v>3163</v>
      </c>
      <c r="G1117" s="1" t="s">
        <v>3155</v>
      </c>
      <c r="H1117" s="4" t="s">
        <v>3164</v>
      </c>
      <c r="I1117" s="5" t="s">
        <v>243</v>
      </c>
      <c r="J1117" s="5" t="s">
        <v>37</v>
      </c>
      <c r="K1117" s="5" t="s">
        <v>37</v>
      </c>
      <c r="L1117" s="5" t="s">
        <v>389</v>
      </c>
      <c r="M1117" s="5" t="s">
        <v>38</v>
      </c>
      <c r="N1117" s="13">
        <v>719.22</v>
      </c>
      <c r="O1117" s="5" t="s">
        <v>38</v>
      </c>
      <c r="Q1117" s="2">
        <v>45960</v>
      </c>
      <c r="R1117" s="1" t="s">
        <v>3165</v>
      </c>
      <c r="V11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8" spans="1:22">
      <c r="A1118" s="2">
        <v>45919</v>
      </c>
      <c r="B1118" s="1" t="s">
        <v>3166</v>
      </c>
      <c r="C1118" s="1" t="s">
        <v>481</v>
      </c>
      <c r="D1118" s="1" t="s">
        <v>136</v>
      </c>
      <c r="E1118" s="1">
        <v>85377</v>
      </c>
      <c r="F1118" s="1" t="s">
        <v>3167</v>
      </c>
      <c r="G1118" s="1" t="s">
        <v>3155</v>
      </c>
      <c r="H1118" s="4" t="s">
        <v>27</v>
      </c>
      <c r="V11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19" spans="1:22">
      <c r="A1119" s="2">
        <v>45919</v>
      </c>
      <c r="B1119" s="1" t="s">
        <v>3168</v>
      </c>
      <c r="C1119" s="1" t="s">
        <v>835</v>
      </c>
      <c r="D1119" s="1" t="s">
        <v>169</v>
      </c>
      <c r="E1119" s="1">
        <v>85339</v>
      </c>
      <c r="F1119" s="1" t="s">
        <v>3169</v>
      </c>
      <c r="G1119" s="1" t="s">
        <v>3155</v>
      </c>
      <c r="H1119" s="4" t="s">
        <v>27</v>
      </c>
      <c r="V111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0" spans="1:22">
      <c r="A1120" s="2">
        <v>45919</v>
      </c>
      <c r="B1120" s="1" t="s">
        <v>3170</v>
      </c>
      <c r="C1120" s="1" t="s">
        <v>3171</v>
      </c>
      <c r="D1120" s="1" t="s">
        <v>63</v>
      </c>
      <c r="E1120" s="1">
        <v>85032</v>
      </c>
      <c r="F1120" s="1" t="s">
        <v>3172</v>
      </c>
      <c r="G1120" s="1" t="s">
        <v>3155</v>
      </c>
      <c r="H1120" s="4" t="s">
        <v>27</v>
      </c>
      <c r="V112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1" spans="1:22">
      <c r="A1121" s="2">
        <v>45919</v>
      </c>
      <c r="B1121" s="1" t="s">
        <v>3173</v>
      </c>
      <c r="C1121" s="1" t="s">
        <v>3075</v>
      </c>
      <c r="D1121" s="1" t="s">
        <v>428</v>
      </c>
      <c r="E1121" s="1">
        <v>85335</v>
      </c>
      <c r="F1121" s="1" t="s">
        <v>3174</v>
      </c>
      <c r="G1121" s="1" t="s">
        <v>3155</v>
      </c>
      <c r="H1121" s="4" t="s">
        <v>3175</v>
      </c>
      <c r="I1121" s="5" t="s">
        <v>46</v>
      </c>
      <c r="J1121" s="5" t="s">
        <v>37</v>
      </c>
      <c r="K1121" s="5" t="s">
        <v>37</v>
      </c>
      <c r="L1121" s="5" t="s">
        <v>38</v>
      </c>
      <c r="M1121" s="5" t="s">
        <v>37</v>
      </c>
      <c r="N1121" s="5" t="s">
        <v>37</v>
      </c>
      <c r="O1121" s="5" t="s">
        <v>38</v>
      </c>
      <c r="P1121" s="5" t="s">
        <v>39</v>
      </c>
      <c r="Q1121" s="2">
        <v>45960</v>
      </c>
      <c r="V112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2" spans="1:22">
      <c r="A1122" s="2">
        <v>45919</v>
      </c>
      <c r="B1122" s="1" t="s">
        <v>3176</v>
      </c>
      <c r="C1122" s="1" t="s">
        <v>1475</v>
      </c>
      <c r="D1122" s="1" t="s">
        <v>24</v>
      </c>
      <c r="E1122" s="1">
        <v>85310</v>
      </c>
      <c r="F1122" s="1" t="s">
        <v>3177</v>
      </c>
      <c r="G1122" s="1" t="s">
        <v>3155</v>
      </c>
      <c r="H1122" s="4" t="s">
        <v>3178</v>
      </c>
      <c r="I1122" s="5" t="s">
        <v>46</v>
      </c>
      <c r="J1122" s="5" t="s">
        <v>37</v>
      </c>
      <c r="K1122" s="5" t="s">
        <v>37</v>
      </c>
      <c r="L1122" s="7" t="s">
        <v>3179</v>
      </c>
      <c r="M1122" s="5" t="s">
        <v>37</v>
      </c>
      <c r="N1122" s="5" t="s">
        <v>37</v>
      </c>
      <c r="O1122" s="5" t="s">
        <v>38</v>
      </c>
      <c r="P1122" s="2">
        <v>45940</v>
      </c>
      <c r="Q1122" s="2">
        <v>45960</v>
      </c>
      <c r="R1122" s="1" t="s">
        <v>3180</v>
      </c>
      <c r="V112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3" spans="1:22">
      <c r="A1123" s="2">
        <v>45919</v>
      </c>
      <c r="B1123" s="1" t="s">
        <v>3181</v>
      </c>
      <c r="C1123" s="1" t="s">
        <v>3182</v>
      </c>
      <c r="D1123" s="1" t="s">
        <v>3183</v>
      </c>
      <c r="E1123" s="1">
        <v>85306</v>
      </c>
      <c r="F1123" s="1" t="s">
        <v>3184</v>
      </c>
      <c r="G1123" s="1" t="s">
        <v>3155</v>
      </c>
      <c r="H1123" s="4" t="s">
        <v>3185</v>
      </c>
      <c r="I1123" s="5" t="s">
        <v>250</v>
      </c>
      <c r="J1123" s="5" t="s">
        <v>37</v>
      </c>
      <c r="K1123" s="5" t="s">
        <v>37</v>
      </c>
      <c r="L1123" s="5" t="s">
        <v>38</v>
      </c>
      <c r="M1123" s="5" t="s">
        <v>37</v>
      </c>
      <c r="N1123" s="5" t="s">
        <v>37</v>
      </c>
      <c r="O1123" s="5" t="s">
        <v>38</v>
      </c>
      <c r="P1123" s="5" t="s">
        <v>39</v>
      </c>
      <c r="Q1123" s="2">
        <v>45960</v>
      </c>
      <c r="V112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4" spans="1:22">
      <c r="A1124" s="2">
        <v>45919</v>
      </c>
      <c r="B1124" s="1" t="s">
        <v>3186</v>
      </c>
      <c r="C1124" s="1" t="s">
        <v>3187</v>
      </c>
      <c r="D1124" s="1" t="s">
        <v>202</v>
      </c>
      <c r="E1124" s="1">
        <v>85345</v>
      </c>
      <c r="F1124" s="1" t="s">
        <v>3188</v>
      </c>
      <c r="G1124" s="1" t="s">
        <v>3189</v>
      </c>
      <c r="H1124" s="4" t="s">
        <v>3190</v>
      </c>
      <c r="I1124" s="5" t="s">
        <v>126</v>
      </c>
      <c r="J1124" s="5" t="s">
        <v>37</v>
      </c>
      <c r="K1124" s="5" t="s">
        <v>37</v>
      </c>
      <c r="L1124" s="5" t="s">
        <v>38</v>
      </c>
      <c r="M1124" s="5" t="s">
        <v>37</v>
      </c>
      <c r="N1124" s="5" t="s">
        <v>37</v>
      </c>
      <c r="O1124" s="5" t="s">
        <v>38</v>
      </c>
      <c r="P1124" s="5" t="s">
        <v>39</v>
      </c>
      <c r="Q1124" s="2">
        <v>45960</v>
      </c>
      <c r="V112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5" spans="1:22">
      <c r="A1125" s="2">
        <v>45919</v>
      </c>
      <c r="B1125" s="1" t="s">
        <v>3191</v>
      </c>
      <c r="C1125" s="1" t="s">
        <v>2454</v>
      </c>
      <c r="D1125" s="1" t="s">
        <v>3192</v>
      </c>
      <c r="E1125" s="1">
        <v>85253</v>
      </c>
      <c r="F1125" s="1" t="s">
        <v>3193</v>
      </c>
      <c r="G1125" s="1" t="s">
        <v>3189</v>
      </c>
      <c r="H1125" s="4" t="s">
        <v>3194</v>
      </c>
      <c r="I1125" s="5" t="s">
        <v>36</v>
      </c>
      <c r="J1125" s="5" t="s">
        <v>37</v>
      </c>
      <c r="K1125" s="5" t="s">
        <v>37</v>
      </c>
      <c r="L1125" s="5" t="s">
        <v>38</v>
      </c>
      <c r="M1125" s="5" t="s">
        <v>37</v>
      </c>
      <c r="N1125" s="5" t="s">
        <v>37</v>
      </c>
      <c r="O1125" s="5" t="s">
        <v>38</v>
      </c>
      <c r="P1125" s="5" t="s">
        <v>39</v>
      </c>
      <c r="Q1125" s="2">
        <v>45960</v>
      </c>
      <c r="V112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6" spans="1:22">
      <c r="A1126" s="2">
        <v>45919</v>
      </c>
      <c r="B1126" s="1" t="s">
        <v>3195</v>
      </c>
      <c r="C1126" s="1" t="s">
        <v>312</v>
      </c>
      <c r="D1126" s="1" t="s">
        <v>448</v>
      </c>
      <c r="E1126" s="1">
        <v>85361</v>
      </c>
      <c r="F1126" s="1" t="s">
        <v>3196</v>
      </c>
      <c r="G1126" s="1" t="s">
        <v>3189</v>
      </c>
      <c r="H1126" s="4" t="s">
        <v>3197</v>
      </c>
      <c r="I1126" s="5" t="s">
        <v>73</v>
      </c>
      <c r="J1126" s="5" t="s">
        <v>37</v>
      </c>
      <c r="K1126" s="5" t="s">
        <v>37</v>
      </c>
      <c r="L1126" s="5" t="s">
        <v>38</v>
      </c>
      <c r="M1126" s="5" t="s">
        <v>37</v>
      </c>
      <c r="N1126" s="5" t="s">
        <v>37</v>
      </c>
      <c r="O1126" s="5" t="s">
        <v>38</v>
      </c>
      <c r="P1126" s="5" t="s">
        <v>39</v>
      </c>
      <c r="Q1126" s="2">
        <v>45960</v>
      </c>
      <c r="V112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7" spans="1:22">
      <c r="A1127" s="2">
        <v>45919</v>
      </c>
      <c r="B1127" s="1" t="s">
        <v>399</v>
      </c>
      <c r="C1127" s="1" t="s">
        <v>3198</v>
      </c>
      <c r="D1127" s="1" t="s">
        <v>3192</v>
      </c>
      <c r="E1127" s="1">
        <v>85253</v>
      </c>
      <c r="F1127" s="1" t="s">
        <v>3199</v>
      </c>
      <c r="G1127" s="1" t="s">
        <v>3189</v>
      </c>
      <c r="H1127" s="4" t="s">
        <v>27</v>
      </c>
      <c r="V112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8" spans="1:22">
      <c r="A1128" s="2">
        <v>45919</v>
      </c>
      <c r="B1128" s="1" t="s">
        <v>930</v>
      </c>
      <c r="C1128" s="1" t="s">
        <v>3200</v>
      </c>
      <c r="D1128" s="1" t="s">
        <v>112</v>
      </c>
      <c r="E1128" s="1">
        <v>85379</v>
      </c>
      <c r="F1128" s="1" t="s">
        <v>3201</v>
      </c>
      <c r="G1128" s="1" t="s">
        <v>3189</v>
      </c>
      <c r="H1128" s="4" t="s">
        <v>3202</v>
      </c>
      <c r="I1128" s="5" t="s">
        <v>418</v>
      </c>
      <c r="J1128" s="5" t="s">
        <v>37</v>
      </c>
      <c r="K1128" s="5" t="s">
        <v>37</v>
      </c>
      <c r="L1128" s="5" t="s">
        <v>389</v>
      </c>
      <c r="M1128" s="5" t="s">
        <v>37</v>
      </c>
      <c r="N1128" s="5" t="s">
        <v>37</v>
      </c>
      <c r="O1128" s="5" t="s">
        <v>38</v>
      </c>
      <c r="P1128" s="5" t="s">
        <v>39</v>
      </c>
      <c r="Q1128" s="2">
        <v>45960</v>
      </c>
      <c r="R1128" s="1" t="s">
        <v>2565</v>
      </c>
      <c r="V112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29" spans="1:22">
      <c r="A1129" s="2">
        <v>45919</v>
      </c>
      <c r="B1129" s="1" t="s">
        <v>3203</v>
      </c>
      <c r="C1129" s="1" t="s">
        <v>3204</v>
      </c>
      <c r="D1129" s="1" t="s">
        <v>3205</v>
      </c>
      <c r="E1129" s="1">
        <v>85335</v>
      </c>
      <c r="F1129" s="1" t="s">
        <v>3206</v>
      </c>
      <c r="G1129" s="1" t="s">
        <v>3189</v>
      </c>
      <c r="H1129" s="4" t="s">
        <v>27</v>
      </c>
      <c r="V112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0" spans="1:22">
      <c r="A1130" s="2">
        <v>45919</v>
      </c>
      <c r="B1130" s="1" t="s">
        <v>3207</v>
      </c>
      <c r="C1130" s="1" t="s">
        <v>3208</v>
      </c>
      <c r="D1130" s="1" t="s">
        <v>63</v>
      </c>
      <c r="E1130" s="1">
        <v>85027</v>
      </c>
      <c r="F1130" s="1" t="s">
        <v>3209</v>
      </c>
      <c r="G1130" s="1" t="s">
        <v>3189</v>
      </c>
      <c r="H1130" s="4" t="s">
        <v>3210</v>
      </c>
      <c r="I1130" s="5" t="s">
        <v>418</v>
      </c>
      <c r="J1130" s="5" t="s">
        <v>37</v>
      </c>
      <c r="K1130" s="5" t="s">
        <v>37</v>
      </c>
      <c r="L1130" s="5" t="s">
        <v>389</v>
      </c>
      <c r="M1130" s="5" t="s">
        <v>37</v>
      </c>
      <c r="N1130" s="5" t="s">
        <v>37</v>
      </c>
      <c r="O1130" s="5" t="s">
        <v>38</v>
      </c>
      <c r="P1130" s="5" t="s">
        <v>39</v>
      </c>
      <c r="Q1130" s="2">
        <v>45960</v>
      </c>
      <c r="V113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1" spans="1:22">
      <c r="A1131" s="2">
        <v>45919</v>
      </c>
      <c r="B1131" s="1" t="s">
        <v>3211</v>
      </c>
      <c r="C1131" s="1" t="s">
        <v>3212</v>
      </c>
      <c r="D1131" s="1" t="s">
        <v>202</v>
      </c>
      <c r="E1131" s="1">
        <v>85382</v>
      </c>
      <c r="F1131" s="1" t="s">
        <v>3213</v>
      </c>
      <c r="G1131" s="1" t="s">
        <v>3189</v>
      </c>
      <c r="H1131" s="4" t="s">
        <v>3214</v>
      </c>
      <c r="I1131" s="5" t="s">
        <v>250</v>
      </c>
      <c r="J1131" s="5" t="s">
        <v>37</v>
      </c>
      <c r="K1131" s="5" t="s">
        <v>37</v>
      </c>
      <c r="L1131" s="5" t="s">
        <v>38</v>
      </c>
      <c r="M1131" s="5" t="s">
        <v>37</v>
      </c>
      <c r="N1131" s="5" t="s">
        <v>37</v>
      </c>
      <c r="O1131" s="5" t="s">
        <v>38</v>
      </c>
      <c r="P1131" s="5" t="s">
        <v>39</v>
      </c>
      <c r="Q1131" s="2">
        <v>45960</v>
      </c>
      <c r="V113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2" spans="1:22">
      <c r="A1132" s="2">
        <v>45919</v>
      </c>
      <c r="B1132" s="1" t="s">
        <v>3215</v>
      </c>
      <c r="C1132" s="1" t="s">
        <v>717</v>
      </c>
      <c r="D1132" s="1" t="s">
        <v>125</v>
      </c>
      <c r="E1132" s="1">
        <v>85254</v>
      </c>
      <c r="F1132" s="1" t="s">
        <v>3216</v>
      </c>
      <c r="G1132" s="1" t="s">
        <v>3189</v>
      </c>
      <c r="H1132" s="4" t="s">
        <v>3217</v>
      </c>
      <c r="I1132" s="5" t="s">
        <v>36</v>
      </c>
      <c r="J1132" s="5" t="s">
        <v>37</v>
      </c>
      <c r="K1132" s="5" t="s">
        <v>37</v>
      </c>
      <c r="L1132" s="5" t="s">
        <v>38</v>
      </c>
      <c r="M1132" s="5" t="s">
        <v>37</v>
      </c>
      <c r="N1132" s="5" t="s">
        <v>37</v>
      </c>
      <c r="O1132" s="5" t="s">
        <v>38</v>
      </c>
      <c r="P1132" s="5" t="s">
        <v>39</v>
      </c>
      <c r="Q1132" s="2">
        <v>45960</v>
      </c>
      <c r="V113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3" spans="1:22">
      <c r="A1133" s="2">
        <v>45919</v>
      </c>
      <c r="B1133" s="1" t="s">
        <v>3218</v>
      </c>
      <c r="C1133" s="1" t="s">
        <v>3219</v>
      </c>
      <c r="D1133" s="1" t="s">
        <v>169</v>
      </c>
      <c r="E1133" s="1">
        <v>85338</v>
      </c>
      <c r="F1133" s="1" t="s">
        <v>3220</v>
      </c>
      <c r="G1133" s="1" t="s">
        <v>3189</v>
      </c>
      <c r="H1133" s="4" t="s">
        <v>3221</v>
      </c>
      <c r="I1133" s="5" t="s">
        <v>36</v>
      </c>
      <c r="J1133" s="5" t="s">
        <v>37</v>
      </c>
      <c r="K1133" s="5" t="s">
        <v>37</v>
      </c>
      <c r="L1133" s="5" t="s">
        <v>38</v>
      </c>
      <c r="M1133" s="5" t="s">
        <v>38</v>
      </c>
      <c r="N1133" s="15">
        <v>747.64</v>
      </c>
      <c r="O1133" s="5" t="s">
        <v>38</v>
      </c>
      <c r="P1133" s="7"/>
      <c r="Q1133" s="2">
        <v>45960</v>
      </c>
      <c r="R1133" s="1" t="s">
        <v>495</v>
      </c>
      <c r="V113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4" spans="1:22">
      <c r="A1134" s="2">
        <v>45919</v>
      </c>
      <c r="B1134" s="1" t="s">
        <v>3222</v>
      </c>
      <c r="C1134" s="1" t="s">
        <v>597</v>
      </c>
      <c r="D1134" s="1" t="s">
        <v>169</v>
      </c>
      <c r="E1134" s="1">
        <v>85338</v>
      </c>
      <c r="F1134" s="1" t="s">
        <v>3169</v>
      </c>
      <c r="G1134" s="1" t="s">
        <v>3189</v>
      </c>
      <c r="H1134" s="4" t="s">
        <v>3223</v>
      </c>
      <c r="I1134" s="5" t="s">
        <v>126</v>
      </c>
      <c r="J1134" s="5" t="s">
        <v>37</v>
      </c>
      <c r="K1134" s="5" t="s">
        <v>37</v>
      </c>
      <c r="L1134" s="7" t="s">
        <v>3224</v>
      </c>
      <c r="M1134" s="5" t="s">
        <v>37</v>
      </c>
      <c r="N1134" s="5" t="s">
        <v>37</v>
      </c>
      <c r="O1134" s="5" t="s">
        <v>38</v>
      </c>
      <c r="P1134" s="5" t="s">
        <v>39</v>
      </c>
      <c r="Q1134" s="2">
        <v>45960</v>
      </c>
      <c r="R1134" s="1" t="s">
        <v>3225</v>
      </c>
      <c r="V113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5" spans="1:22">
      <c r="A1135" s="2">
        <v>45919</v>
      </c>
      <c r="B1135" s="1" t="s">
        <v>2571</v>
      </c>
      <c r="C1135" s="1" t="s">
        <v>3226</v>
      </c>
      <c r="D1135" s="1" t="s">
        <v>30</v>
      </c>
      <c r="E1135" s="1" t="s">
        <v>30</v>
      </c>
      <c r="F1135" s="1" t="s">
        <v>3227</v>
      </c>
      <c r="G1135" s="1" t="s">
        <v>3189</v>
      </c>
      <c r="H1135" s="4" t="s">
        <v>27</v>
      </c>
      <c r="V113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6" spans="1:22">
      <c r="A1136" s="2">
        <v>45919</v>
      </c>
      <c r="B1136" s="1" t="s">
        <v>3228</v>
      </c>
      <c r="C1136" s="1" t="s">
        <v>334</v>
      </c>
      <c r="D1136" s="1" t="s">
        <v>30</v>
      </c>
      <c r="E1136" s="1" t="s">
        <v>30</v>
      </c>
      <c r="F1136" s="1" t="s">
        <v>3229</v>
      </c>
      <c r="G1136" s="1" t="s">
        <v>3189</v>
      </c>
      <c r="H1136" s="4" t="s">
        <v>3230</v>
      </c>
      <c r="I1136" s="5" t="s">
        <v>418</v>
      </c>
      <c r="J1136" s="5" t="s">
        <v>37</v>
      </c>
      <c r="K1136" s="5" t="s">
        <v>37</v>
      </c>
      <c r="L1136" s="5" t="s">
        <v>389</v>
      </c>
      <c r="M1136" s="5" t="s">
        <v>37</v>
      </c>
      <c r="N1136" s="5" t="s">
        <v>37</v>
      </c>
      <c r="O1136" s="5" t="s">
        <v>38</v>
      </c>
      <c r="P1136" s="5" t="s">
        <v>39</v>
      </c>
      <c r="Q1136" s="2">
        <v>45960</v>
      </c>
      <c r="V113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7" spans="1:22">
      <c r="A1137" s="2">
        <v>45919</v>
      </c>
      <c r="B1137" s="1" t="s">
        <v>3231</v>
      </c>
      <c r="C1137" s="1" t="s">
        <v>529</v>
      </c>
      <c r="D1137" s="1" t="s">
        <v>63</v>
      </c>
      <c r="E1137" s="1">
        <v>85032</v>
      </c>
      <c r="F1137" s="1" t="s">
        <v>31</v>
      </c>
      <c r="G1137" s="1" t="s">
        <v>3189</v>
      </c>
      <c r="H1137" s="4" t="s">
        <v>3232</v>
      </c>
      <c r="I1137" s="5" t="s">
        <v>418</v>
      </c>
      <c r="J1137" s="5" t="s">
        <v>37</v>
      </c>
      <c r="K1137" s="5" t="s">
        <v>37</v>
      </c>
      <c r="L1137" s="5" t="s">
        <v>389</v>
      </c>
      <c r="M1137" s="5" t="s">
        <v>37</v>
      </c>
      <c r="N1137" s="5" t="s">
        <v>37</v>
      </c>
      <c r="O1137" s="5" t="s">
        <v>38</v>
      </c>
      <c r="P1137" s="5" t="s">
        <v>39</v>
      </c>
      <c r="Q1137" s="2">
        <v>45960</v>
      </c>
      <c r="V113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8" spans="1:22">
      <c r="A1138" s="2">
        <v>45919</v>
      </c>
      <c r="B1138" s="1" t="s">
        <v>3233</v>
      </c>
      <c r="C1138" s="1" t="s">
        <v>611</v>
      </c>
      <c r="D1138" s="1" t="s">
        <v>63</v>
      </c>
      <c r="E1138" s="1">
        <v>85022</v>
      </c>
      <c r="F1138" s="1" t="s">
        <v>3234</v>
      </c>
      <c r="G1138" s="1" t="s">
        <v>3189</v>
      </c>
      <c r="H1138" s="4" t="s">
        <v>3235</v>
      </c>
      <c r="I1138" s="5" t="s">
        <v>36</v>
      </c>
      <c r="J1138" s="5" t="s">
        <v>37</v>
      </c>
      <c r="K1138" s="5" t="s">
        <v>37</v>
      </c>
      <c r="L1138" s="5" t="s">
        <v>38</v>
      </c>
      <c r="M1138" s="5" t="s">
        <v>37</v>
      </c>
      <c r="N1138" s="5" t="s">
        <v>37</v>
      </c>
      <c r="O1138" s="5" t="s">
        <v>38</v>
      </c>
      <c r="P1138" s="5" t="s">
        <v>39</v>
      </c>
      <c r="Q1138" s="2">
        <v>45960</v>
      </c>
      <c r="V113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39" spans="1:22">
      <c r="A1139" s="2">
        <v>45919</v>
      </c>
      <c r="B1139" s="1" t="s">
        <v>3236</v>
      </c>
      <c r="C1139" s="1" t="s">
        <v>3237</v>
      </c>
      <c r="D1139" s="1" t="s">
        <v>816</v>
      </c>
      <c r="E1139" s="1">
        <v>86303</v>
      </c>
      <c r="F1139" s="1" t="s">
        <v>3238</v>
      </c>
      <c r="G1139" s="1" t="s">
        <v>3189</v>
      </c>
      <c r="H1139" s="4" t="s">
        <v>3239</v>
      </c>
      <c r="I1139" s="5" t="s">
        <v>126</v>
      </c>
      <c r="J1139" s="5" t="s">
        <v>37</v>
      </c>
      <c r="K1139" s="5" t="s">
        <v>37</v>
      </c>
      <c r="L1139" s="5" t="s">
        <v>38</v>
      </c>
      <c r="M1139" s="5" t="s">
        <v>37</v>
      </c>
      <c r="N1139" s="5" t="s">
        <v>37</v>
      </c>
      <c r="O1139" s="5" t="s">
        <v>38</v>
      </c>
      <c r="P1139" s="5" t="s">
        <v>39</v>
      </c>
      <c r="Q1139" s="2">
        <v>45960</v>
      </c>
      <c r="V113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0" spans="1:22">
      <c r="A1140" s="5" t="s">
        <v>3240</v>
      </c>
      <c r="B1140" s="1" t="s">
        <v>160</v>
      </c>
      <c r="C1140" s="1" t="s">
        <v>780</v>
      </c>
      <c r="D1140" s="1" t="s">
        <v>63</v>
      </c>
      <c r="E1140" s="1">
        <v>85015</v>
      </c>
      <c r="F1140" s="1" t="s">
        <v>310</v>
      </c>
      <c r="G1140" s="1" t="s">
        <v>2563</v>
      </c>
      <c r="H1140" s="4" t="s">
        <v>27</v>
      </c>
      <c r="V114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1" spans="1:22">
      <c r="A1141" s="2">
        <v>45919</v>
      </c>
      <c r="B1141" s="1" t="s">
        <v>3241</v>
      </c>
      <c r="C1141" s="1" t="s">
        <v>1423</v>
      </c>
      <c r="D1141" s="1" t="s">
        <v>125</v>
      </c>
      <c r="E1141" s="1">
        <v>85260</v>
      </c>
      <c r="F1141" s="1" t="s">
        <v>3242</v>
      </c>
      <c r="G1141" s="1" t="s">
        <v>2563</v>
      </c>
      <c r="H1141" s="4" t="s">
        <v>3243</v>
      </c>
      <c r="I1141" s="5" t="s">
        <v>36</v>
      </c>
      <c r="J1141" s="5" t="s">
        <v>37</v>
      </c>
      <c r="K1141" s="5" t="s">
        <v>37</v>
      </c>
      <c r="L1141" s="5" t="s">
        <v>1586</v>
      </c>
      <c r="M1141" s="5" t="s">
        <v>37</v>
      </c>
      <c r="N1141" s="5" t="s">
        <v>37</v>
      </c>
      <c r="O1141" s="5" t="s">
        <v>38</v>
      </c>
      <c r="P1141" s="5" t="s">
        <v>39</v>
      </c>
      <c r="Q1141" s="2">
        <v>45960</v>
      </c>
      <c r="V114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2" spans="1:22">
      <c r="A1142" s="2">
        <v>45919</v>
      </c>
      <c r="B1142" s="1" t="s">
        <v>3244</v>
      </c>
      <c r="C1142" s="1" t="s">
        <v>3245</v>
      </c>
      <c r="D1142" s="1" t="s">
        <v>63</v>
      </c>
      <c r="E1142" s="1">
        <v>85013</v>
      </c>
      <c r="F1142" s="1" t="s">
        <v>3246</v>
      </c>
      <c r="G1142" s="1" t="s">
        <v>2563</v>
      </c>
      <c r="H1142" s="4" t="s">
        <v>3247</v>
      </c>
      <c r="I1142" s="5" t="s">
        <v>36</v>
      </c>
      <c r="J1142" s="5" t="s">
        <v>37</v>
      </c>
      <c r="K1142" s="5" t="s">
        <v>37</v>
      </c>
      <c r="L1142" s="5" t="s">
        <v>1586</v>
      </c>
      <c r="M1142" s="5" t="s">
        <v>37</v>
      </c>
      <c r="N1142" s="5" t="s">
        <v>37</v>
      </c>
      <c r="O1142" s="5" t="s">
        <v>38</v>
      </c>
      <c r="P1142" s="5" t="s">
        <v>39</v>
      </c>
      <c r="Q1142" s="2">
        <v>45960</v>
      </c>
      <c r="R1142" s="1" t="s">
        <v>3248</v>
      </c>
      <c r="V114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3" spans="1:22">
      <c r="A1143" s="2">
        <v>45919</v>
      </c>
      <c r="B1143" s="1" t="s">
        <v>2561</v>
      </c>
      <c r="C1143" s="1" t="s">
        <v>2562</v>
      </c>
      <c r="D1143" s="1" t="s">
        <v>112</v>
      </c>
      <c r="E1143" s="1">
        <v>85388</v>
      </c>
      <c r="F1143" s="1" t="s">
        <v>310</v>
      </c>
      <c r="G1143" s="1" t="s">
        <v>2563</v>
      </c>
      <c r="H1143" s="4" t="s">
        <v>2564</v>
      </c>
      <c r="I1143" s="5" t="s">
        <v>46</v>
      </c>
      <c r="J1143" s="5" t="s">
        <v>37</v>
      </c>
      <c r="K1143" s="5" t="s">
        <v>37</v>
      </c>
      <c r="L1143" s="5" t="s">
        <v>1586</v>
      </c>
      <c r="M1143" s="5" t="s">
        <v>37</v>
      </c>
      <c r="N1143" s="5" t="s">
        <v>37</v>
      </c>
      <c r="O1143" s="5" t="s">
        <v>38</v>
      </c>
      <c r="P1143" s="5" t="s">
        <v>39</v>
      </c>
      <c r="Q1143" s="2">
        <v>45960</v>
      </c>
      <c r="V114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4" spans="1:22">
      <c r="A1144" s="2">
        <v>45919</v>
      </c>
      <c r="B1144" s="1" t="s">
        <v>3249</v>
      </c>
      <c r="C1144" s="1" t="s">
        <v>3250</v>
      </c>
      <c r="D1144" s="1" t="s">
        <v>63</v>
      </c>
      <c r="E1144" s="1">
        <v>85021</v>
      </c>
      <c r="F1144" s="1" t="s">
        <v>3251</v>
      </c>
      <c r="G1144" s="1" t="s">
        <v>2563</v>
      </c>
      <c r="H1144" s="4" t="s">
        <v>27</v>
      </c>
      <c r="V114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5" spans="1:22">
      <c r="A1145" s="2">
        <v>45919</v>
      </c>
      <c r="B1145" s="1" t="s">
        <v>3252</v>
      </c>
      <c r="C1145" s="1" t="s">
        <v>1354</v>
      </c>
      <c r="D1145" s="1" t="s">
        <v>112</v>
      </c>
      <c r="E1145" s="1">
        <v>85374</v>
      </c>
      <c r="F1145" s="1" t="s">
        <v>3253</v>
      </c>
      <c r="G1145" s="1" t="s">
        <v>2563</v>
      </c>
      <c r="H1145" s="4" t="s">
        <v>3254</v>
      </c>
      <c r="I1145" s="5" t="s">
        <v>36</v>
      </c>
      <c r="J1145" s="5" t="s">
        <v>37</v>
      </c>
      <c r="K1145" s="5" t="s">
        <v>37</v>
      </c>
      <c r="L1145" s="5" t="s">
        <v>1586</v>
      </c>
      <c r="M1145" s="5" t="s">
        <v>37</v>
      </c>
      <c r="N1145" s="5" t="s">
        <v>37</v>
      </c>
      <c r="O1145" s="5" t="s">
        <v>38</v>
      </c>
      <c r="P1145" s="5" t="s">
        <v>39</v>
      </c>
      <c r="Q1145" s="2">
        <v>45960</v>
      </c>
      <c r="V114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6" spans="1:22">
      <c r="A1146" s="2">
        <v>45922</v>
      </c>
      <c r="B1146" s="1" t="s">
        <v>3255</v>
      </c>
      <c r="C1146" s="1" t="s">
        <v>117</v>
      </c>
      <c r="D1146" s="1" t="s">
        <v>3256</v>
      </c>
      <c r="E1146" s="1">
        <v>85120</v>
      </c>
      <c r="F1146" s="1" t="s">
        <v>3257</v>
      </c>
      <c r="G1146" s="1" t="s">
        <v>2563</v>
      </c>
      <c r="H1146" s="4" t="s">
        <v>27</v>
      </c>
      <c r="V114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7" spans="1:22">
      <c r="A1147" s="2">
        <v>45921</v>
      </c>
      <c r="B1147" s="1" t="s">
        <v>3258</v>
      </c>
      <c r="C1147" s="1" t="s">
        <v>194</v>
      </c>
      <c r="D1147" s="1" t="s">
        <v>635</v>
      </c>
      <c r="E1147" s="1">
        <v>85281</v>
      </c>
      <c r="F1147" s="1" t="s">
        <v>3259</v>
      </c>
      <c r="G1147" s="1" t="s">
        <v>2563</v>
      </c>
      <c r="H1147" s="4" t="s">
        <v>3260</v>
      </c>
      <c r="I1147" s="5" t="s">
        <v>36</v>
      </c>
      <c r="J1147" s="5" t="s">
        <v>37</v>
      </c>
      <c r="K1147" s="5" t="s">
        <v>37</v>
      </c>
      <c r="L1147" s="5" t="s">
        <v>401</v>
      </c>
      <c r="M1147" s="5" t="s">
        <v>37</v>
      </c>
      <c r="N1147" s="5" t="s">
        <v>37</v>
      </c>
      <c r="O1147" s="5" t="s">
        <v>38</v>
      </c>
      <c r="P1147" s="5" t="s">
        <v>39</v>
      </c>
      <c r="Q1147" s="2">
        <v>45960</v>
      </c>
      <c r="V114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8" spans="1:22">
      <c r="A1148" s="2">
        <v>45921</v>
      </c>
      <c r="B1148" s="1" t="s">
        <v>3261</v>
      </c>
      <c r="C1148" s="1" t="s">
        <v>437</v>
      </c>
      <c r="D1148" s="1" t="s">
        <v>112</v>
      </c>
      <c r="E1148" s="1">
        <v>85379</v>
      </c>
      <c r="F1148" s="1" t="s">
        <v>3262</v>
      </c>
      <c r="G1148" s="1" t="s">
        <v>2563</v>
      </c>
      <c r="H1148" s="4" t="s">
        <v>90</v>
      </c>
      <c r="V114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49" spans="1:22">
      <c r="A1149" s="2">
        <v>45921</v>
      </c>
      <c r="B1149" s="1" t="s">
        <v>3263</v>
      </c>
      <c r="C1149" s="1" t="s">
        <v>302</v>
      </c>
      <c r="D1149" s="1" t="s">
        <v>63</v>
      </c>
      <c r="E1149" s="1">
        <v>85087</v>
      </c>
      <c r="F1149" s="1" t="s">
        <v>3264</v>
      </c>
      <c r="G1149" s="1" t="s">
        <v>2563</v>
      </c>
      <c r="H1149" s="4" t="s">
        <v>27</v>
      </c>
      <c r="V114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0" spans="1:22">
      <c r="A1150" s="2">
        <v>45922</v>
      </c>
      <c r="B1150" s="1" t="s">
        <v>3265</v>
      </c>
      <c r="C1150" s="1" t="s">
        <v>548</v>
      </c>
      <c r="D1150" s="1" t="s">
        <v>129</v>
      </c>
      <c r="E1150" s="1">
        <v>85296</v>
      </c>
      <c r="F1150" s="1" t="s">
        <v>3266</v>
      </c>
      <c r="G1150" s="1" t="s">
        <v>2563</v>
      </c>
      <c r="H1150" s="4" t="s">
        <v>3267</v>
      </c>
      <c r="I1150" s="5" t="s">
        <v>36</v>
      </c>
      <c r="J1150" s="5" t="s">
        <v>37</v>
      </c>
      <c r="K1150" s="5" t="s">
        <v>37</v>
      </c>
      <c r="L1150" s="5" t="s">
        <v>1586</v>
      </c>
      <c r="M1150" s="5" t="s">
        <v>38</v>
      </c>
      <c r="N1150" s="15">
        <v>507.13</v>
      </c>
      <c r="O1150" s="5" t="s">
        <v>38</v>
      </c>
      <c r="P1150" s="7"/>
      <c r="Q1150" s="2">
        <v>45960</v>
      </c>
      <c r="R1150" s="1" t="s">
        <v>495</v>
      </c>
      <c r="V115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1" spans="1:22">
      <c r="A1151" s="2">
        <v>45922</v>
      </c>
      <c r="B1151" s="1" t="s">
        <v>3268</v>
      </c>
      <c r="C1151" s="1" t="s">
        <v>611</v>
      </c>
      <c r="D1151" s="1" t="s">
        <v>63</v>
      </c>
      <c r="E1151" s="1">
        <v>85023</v>
      </c>
      <c r="F1151" s="1" t="s">
        <v>3269</v>
      </c>
      <c r="G1151" s="1" t="s">
        <v>2563</v>
      </c>
      <c r="H1151" s="4" t="s">
        <v>3270</v>
      </c>
      <c r="I1151" s="5" t="s">
        <v>36</v>
      </c>
      <c r="J1151" s="5" t="s">
        <v>38</v>
      </c>
      <c r="K1151" s="5" t="s">
        <v>37</v>
      </c>
      <c r="L1151" s="5" t="s">
        <v>401</v>
      </c>
      <c r="M1151" s="5" t="s">
        <v>37</v>
      </c>
      <c r="N1151" s="5" t="s">
        <v>37</v>
      </c>
      <c r="O1151" s="5" t="s">
        <v>38</v>
      </c>
      <c r="P1151" s="5" t="s">
        <v>39</v>
      </c>
      <c r="Q1151" s="2">
        <v>45960</v>
      </c>
      <c r="V115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2" spans="1:22">
      <c r="A1152" s="2">
        <v>45922</v>
      </c>
      <c r="B1152" s="1" t="s">
        <v>2343</v>
      </c>
      <c r="C1152" s="1" t="s">
        <v>3271</v>
      </c>
      <c r="D1152" s="1" t="s">
        <v>30</v>
      </c>
      <c r="E1152" s="1" t="s">
        <v>30</v>
      </c>
      <c r="F1152" s="1" t="s">
        <v>31</v>
      </c>
      <c r="G1152" s="1" t="s">
        <v>2563</v>
      </c>
      <c r="H1152" s="4" t="s">
        <v>209</v>
      </c>
      <c r="V115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3" spans="1:22">
      <c r="A1153" s="2">
        <v>45922</v>
      </c>
      <c r="B1153" s="1" t="s">
        <v>3272</v>
      </c>
      <c r="C1153" s="1" t="s">
        <v>3273</v>
      </c>
      <c r="D1153" s="1" t="s">
        <v>30</v>
      </c>
      <c r="E1153" s="1" t="s">
        <v>30</v>
      </c>
      <c r="F1153" s="1" t="s">
        <v>3274</v>
      </c>
      <c r="G1153" s="1" t="s">
        <v>2563</v>
      </c>
      <c r="H1153" s="4" t="s">
        <v>3275</v>
      </c>
      <c r="I1153" s="5" t="s">
        <v>36</v>
      </c>
      <c r="J1153" s="5" t="s">
        <v>37</v>
      </c>
      <c r="K1153" s="5" t="s">
        <v>37</v>
      </c>
      <c r="L1153" s="5" t="s">
        <v>1586</v>
      </c>
      <c r="M1153" s="5" t="s">
        <v>37</v>
      </c>
      <c r="N1153" s="5" t="s">
        <v>37</v>
      </c>
      <c r="O1153" s="5" t="s">
        <v>38</v>
      </c>
      <c r="P1153" s="5" t="s">
        <v>39</v>
      </c>
      <c r="Q1153" s="2">
        <v>45960</v>
      </c>
      <c r="V115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4" spans="1:22">
      <c r="A1154" s="2">
        <v>45919</v>
      </c>
      <c r="B1154" s="1" t="s">
        <v>3276</v>
      </c>
      <c r="C1154" s="1" t="s">
        <v>838</v>
      </c>
      <c r="D1154" s="1" t="s">
        <v>85</v>
      </c>
      <c r="E1154" s="1">
        <v>86323</v>
      </c>
      <c r="F1154" s="1" t="s">
        <v>3277</v>
      </c>
      <c r="G1154" s="1" t="s">
        <v>2563</v>
      </c>
      <c r="H1154" s="4" t="s">
        <v>3278</v>
      </c>
      <c r="I1154" s="5" t="s">
        <v>73</v>
      </c>
      <c r="J1154" s="5" t="s">
        <v>37</v>
      </c>
      <c r="K1154" s="5" t="s">
        <v>37</v>
      </c>
      <c r="L1154" s="5" t="s">
        <v>1586</v>
      </c>
      <c r="M1154" s="5" t="s">
        <v>37</v>
      </c>
      <c r="N1154" s="5" t="s">
        <v>37</v>
      </c>
      <c r="O1154" s="5" t="s">
        <v>38</v>
      </c>
      <c r="P1154" s="5" t="s">
        <v>39</v>
      </c>
      <c r="Q1154" s="2">
        <v>45960</v>
      </c>
      <c r="V115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5" spans="1:22">
      <c r="A1155" s="2">
        <v>45922</v>
      </c>
      <c r="B1155" s="1" t="s">
        <v>2447</v>
      </c>
      <c r="C1155" s="1" t="s">
        <v>3279</v>
      </c>
      <c r="D1155" s="1" t="s">
        <v>63</v>
      </c>
      <c r="E1155" s="1">
        <v>85012</v>
      </c>
      <c r="F1155" s="1" t="s">
        <v>3280</v>
      </c>
      <c r="G1155" s="1" t="s">
        <v>3281</v>
      </c>
      <c r="H1155" s="5">
        <v>9503447476</v>
      </c>
      <c r="I1155" s="5" t="s">
        <v>36</v>
      </c>
      <c r="J1155" s="5" t="s">
        <v>37</v>
      </c>
      <c r="K1155" s="5" t="s">
        <v>37</v>
      </c>
      <c r="L1155" s="7" t="s">
        <v>3282</v>
      </c>
      <c r="M1155" s="5" t="s">
        <v>37</v>
      </c>
      <c r="N1155" s="5" t="s">
        <v>37</v>
      </c>
      <c r="O1155" s="5" t="s">
        <v>38</v>
      </c>
      <c r="P1155" s="2">
        <v>45940</v>
      </c>
      <c r="Q1155" s="2">
        <v>45960</v>
      </c>
      <c r="R1155" s="1" t="s">
        <v>3283</v>
      </c>
      <c r="V115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6" spans="1:22">
      <c r="A1156" s="2">
        <v>45922</v>
      </c>
      <c r="B1156" s="1" t="s">
        <v>3284</v>
      </c>
      <c r="C1156" s="1" t="s">
        <v>184</v>
      </c>
      <c r="D1156" s="1" t="s">
        <v>30</v>
      </c>
      <c r="E1156" s="1" t="s">
        <v>30</v>
      </c>
      <c r="F1156" s="1" t="s">
        <v>3285</v>
      </c>
      <c r="G1156" s="1" t="s">
        <v>3281</v>
      </c>
      <c r="H1156" s="4" t="s">
        <v>27</v>
      </c>
      <c r="V115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7" spans="1:22" ht="11.45" customHeight="1">
      <c r="A1157" s="2">
        <v>45922</v>
      </c>
      <c r="B1157" s="1" t="s">
        <v>3286</v>
      </c>
      <c r="C1157" s="1" t="s">
        <v>252</v>
      </c>
      <c r="D1157" s="1" t="s">
        <v>112</v>
      </c>
      <c r="E1157" s="1">
        <v>85378</v>
      </c>
      <c r="F1157" s="1" t="s">
        <v>3287</v>
      </c>
      <c r="G1157" s="1" t="s">
        <v>3281</v>
      </c>
      <c r="H1157" s="4" t="s">
        <v>27</v>
      </c>
      <c r="V115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8" spans="1:22" ht="11.45" customHeight="1">
      <c r="A1158" s="2">
        <v>45922</v>
      </c>
      <c r="B1158" s="1" t="s">
        <v>3288</v>
      </c>
      <c r="C1158" s="1" t="s">
        <v>199</v>
      </c>
      <c r="D1158" s="1" t="s">
        <v>174</v>
      </c>
      <c r="E1158" s="1">
        <v>85326</v>
      </c>
      <c r="F1158" s="1" t="s">
        <v>310</v>
      </c>
      <c r="G1158" s="1" t="s">
        <v>3281</v>
      </c>
      <c r="H1158" s="4" t="s">
        <v>3289</v>
      </c>
      <c r="I1158" s="5" t="s">
        <v>36</v>
      </c>
      <c r="J1158" s="5" t="s">
        <v>37</v>
      </c>
      <c r="K1158" s="5" t="s">
        <v>37</v>
      </c>
      <c r="L1158" s="5" t="s">
        <v>1586</v>
      </c>
      <c r="M1158" s="5" t="s">
        <v>37</v>
      </c>
      <c r="N1158" s="5" t="s">
        <v>37</v>
      </c>
      <c r="O1158" s="5" t="s">
        <v>38</v>
      </c>
      <c r="P1158" s="5" t="s">
        <v>39</v>
      </c>
      <c r="Q1158" s="2">
        <v>45960</v>
      </c>
      <c r="V115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59" spans="1:22" ht="11.45" customHeight="1">
      <c r="A1159" s="2">
        <v>45922</v>
      </c>
      <c r="B1159" s="1" t="s">
        <v>3290</v>
      </c>
      <c r="C1159" s="1" t="s">
        <v>3291</v>
      </c>
      <c r="D1159" s="1" t="s">
        <v>240</v>
      </c>
      <c r="E1159" s="1">
        <v>85340</v>
      </c>
      <c r="F1159" s="1" t="s">
        <v>3292</v>
      </c>
      <c r="G1159" s="1" t="s">
        <v>3281</v>
      </c>
      <c r="H1159" s="4" t="s">
        <v>3293</v>
      </c>
      <c r="I1159" s="5" t="s">
        <v>36</v>
      </c>
      <c r="J1159" s="5" t="s">
        <v>37</v>
      </c>
      <c r="K1159" s="5" t="s">
        <v>37</v>
      </c>
      <c r="L1159" s="5" t="s">
        <v>1586</v>
      </c>
      <c r="M1159" s="5" t="s">
        <v>37</v>
      </c>
      <c r="N1159" s="5" t="s">
        <v>37</v>
      </c>
      <c r="O1159" s="5" t="s">
        <v>38</v>
      </c>
      <c r="P1159" s="5" t="s">
        <v>39</v>
      </c>
      <c r="Q1159" s="2">
        <v>45960</v>
      </c>
      <c r="V115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0" spans="1:22" ht="11.45" customHeight="1">
      <c r="A1160" s="2">
        <v>45922</v>
      </c>
      <c r="B1160" s="1" t="s">
        <v>269</v>
      </c>
      <c r="C1160" s="1" t="s">
        <v>2907</v>
      </c>
      <c r="D1160" s="1" t="s">
        <v>202</v>
      </c>
      <c r="E1160" s="1">
        <v>85383</v>
      </c>
      <c r="F1160" s="1" t="s">
        <v>3294</v>
      </c>
      <c r="G1160" s="1" t="s">
        <v>3281</v>
      </c>
      <c r="H1160" s="4" t="s">
        <v>3295</v>
      </c>
      <c r="I1160" s="5" t="s">
        <v>196</v>
      </c>
      <c r="J1160" s="5" t="s">
        <v>37</v>
      </c>
      <c r="K1160" s="5" t="s">
        <v>37</v>
      </c>
      <c r="L1160" s="5" t="s">
        <v>3296</v>
      </c>
      <c r="M1160" s="5" t="s">
        <v>37</v>
      </c>
      <c r="N1160" s="5" t="s">
        <v>37</v>
      </c>
      <c r="O1160" s="5" t="s">
        <v>38</v>
      </c>
      <c r="P1160" s="5" t="s">
        <v>39</v>
      </c>
      <c r="Q1160" s="2">
        <v>45960</v>
      </c>
      <c r="V116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1" spans="1:22" ht="11.45" customHeight="1">
      <c r="A1161" s="2">
        <v>45922</v>
      </c>
      <c r="B1161" s="1" t="s">
        <v>3297</v>
      </c>
      <c r="C1161" s="1" t="s">
        <v>3273</v>
      </c>
      <c r="D1161" s="1" t="s">
        <v>125</v>
      </c>
      <c r="E1161" s="1">
        <v>85254</v>
      </c>
      <c r="F1161" s="1" t="s">
        <v>310</v>
      </c>
      <c r="G1161" s="1" t="s">
        <v>3281</v>
      </c>
      <c r="H1161" s="4" t="s">
        <v>3298</v>
      </c>
      <c r="I1161" s="5" t="s">
        <v>196</v>
      </c>
      <c r="J1161" s="5" t="s">
        <v>37</v>
      </c>
      <c r="K1161" s="5" t="s">
        <v>37</v>
      </c>
      <c r="L1161" s="5" t="s">
        <v>3299</v>
      </c>
      <c r="M1161" s="5" t="s">
        <v>37</v>
      </c>
      <c r="N1161" s="5" t="s">
        <v>37</v>
      </c>
      <c r="O1161" s="5" t="s">
        <v>38</v>
      </c>
      <c r="P1161" s="5" t="s">
        <v>39</v>
      </c>
      <c r="Q1161" s="2">
        <v>45960</v>
      </c>
      <c r="V116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2" spans="1:22" ht="11.45" customHeight="1">
      <c r="A1162" s="2">
        <v>45922</v>
      </c>
      <c r="B1162" s="1" t="s">
        <v>3300</v>
      </c>
      <c r="C1162" s="1" t="s">
        <v>2149</v>
      </c>
      <c r="D1162" s="1" t="s">
        <v>174</v>
      </c>
      <c r="E1162" s="1">
        <v>85326</v>
      </c>
      <c r="F1162" s="1" t="s">
        <v>3301</v>
      </c>
      <c r="G1162" s="1" t="s">
        <v>3281</v>
      </c>
      <c r="H1162" s="4" t="s">
        <v>3302</v>
      </c>
      <c r="I1162" s="5" t="s">
        <v>46</v>
      </c>
      <c r="J1162" s="5" t="s">
        <v>37</v>
      </c>
      <c r="K1162" s="5" t="s">
        <v>37</v>
      </c>
      <c r="L1162" s="7" t="s">
        <v>3303</v>
      </c>
      <c r="M1162" s="5" t="s">
        <v>38</v>
      </c>
      <c r="N1162" s="15">
        <v>333.26</v>
      </c>
      <c r="O1162" s="5" t="s">
        <v>38</v>
      </c>
      <c r="P1162" s="30">
        <v>45940</v>
      </c>
      <c r="Q1162" s="2">
        <v>45960</v>
      </c>
      <c r="R1162" s="1" t="s">
        <v>3152</v>
      </c>
      <c r="V116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3" spans="1:22" ht="11.45" customHeight="1">
      <c r="A1163" s="2">
        <v>45922</v>
      </c>
      <c r="B1163" s="1" t="s">
        <v>3304</v>
      </c>
      <c r="C1163" s="1" t="s">
        <v>1268</v>
      </c>
      <c r="D1163" s="1" t="s">
        <v>2109</v>
      </c>
      <c r="E1163" s="1">
        <v>86327</v>
      </c>
      <c r="F1163" s="1" t="s">
        <v>3305</v>
      </c>
      <c r="G1163" s="1" t="s">
        <v>3281</v>
      </c>
      <c r="H1163" s="4" t="s">
        <v>3306</v>
      </c>
      <c r="I1163" s="5" t="s">
        <v>46</v>
      </c>
      <c r="J1163" s="5" t="s">
        <v>37</v>
      </c>
      <c r="K1163" s="5" t="s">
        <v>37</v>
      </c>
      <c r="L1163" s="5" t="s">
        <v>1586</v>
      </c>
      <c r="M1163" s="5" t="s">
        <v>37</v>
      </c>
      <c r="N1163" s="5" t="s">
        <v>37</v>
      </c>
      <c r="O1163" s="5" t="s">
        <v>38</v>
      </c>
      <c r="P1163" s="5" t="s">
        <v>39</v>
      </c>
      <c r="Q1163" s="2">
        <v>45960</v>
      </c>
      <c r="V116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4" spans="1:22" ht="11.45" customHeight="1">
      <c r="A1164" s="2">
        <v>45922</v>
      </c>
      <c r="B1164" s="1" t="s">
        <v>3307</v>
      </c>
      <c r="C1164" s="1" t="s">
        <v>777</v>
      </c>
      <c r="D1164" s="1" t="s">
        <v>428</v>
      </c>
      <c r="E1164" s="1">
        <v>85335</v>
      </c>
      <c r="F1164" s="1" t="s">
        <v>3308</v>
      </c>
      <c r="G1164" s="1" t="s">
        <v>3281</v>
      </c>
      <c r="H1164" s="4" t="s">
        <v>90</v>
      </c>
      <c r="V116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5" spans="1:22" ht="11.45" customHeight="1">
      <c r="A1165" s="2">
        <v>45922</v>
      </c>
      <c r="B1165" s="1" t="s">
        <v>3309</v>
      </c>
      <c r="C1165" s="1" t="s">
        <v>3310</v>
      </c>
      <c r="D1165" s="1" t="s">
        <v>112</v>
      </c>
      <c r="E1165" s="1">
        <v>85379</v>
      </c>
      <c r="F1165" s="1" t="s">
        <v>3311</v>
      </c>
      <c r="G1165" s="1" t="s">
        <v>3281</v>
      </c>
      <c r="H1165" s="5">
        <v>5392330000</v>
      </c>
      <c r="I1165" s="5" t="s">
        <v>250</v>
      </c>
      <c r="J1165" s="5" t="s">
        <v>37</v>
      </c>
      <c r="K1165" s="5" t="s">
        <v>37</v>
      </c>
      <c r="L1165" s="5" t="s">
        <v>38</v>
      </c>
      <c r="M1165" s="5" t="s">
        <v>38</v>
      </c>
      <c r="N1165" s="13">
        <v>309.36</v>
      </c>
      <c r="O1165" s="5" t="s">
        <v>38</v>
      </c>
      <c r="P1165" s="5" t="s">
        <v>39</v>
      </c>
      <c r="Q1165" s="2">
        <v>45960</v>
      </c>
      <c r="V116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6" spans="1:22" ht="11.45" customHeight="1">
      <c r="A1166" s="2">
        <v>45922</v>
      </c>
      <c r="B1166" s="1" t="s">
        <v>2626</v>
      </c>
      <c r="C1166" s="1" t="s">
        <v>117</v>
      </c>
      <c r="D1166" s="1" t="s">
        <v>816</v>
      </c>
      <c r="E1166" s="1">
        <v>86303</v>
      </c>
      <c r="F1166" s="1" t="s">
        <v>3312</v>
      </c>
      <c r="G1166" s="1" t="s">
        <v>3281</v>
      </c>
      <c r="H1166" s="4" t="s">
        <v>3313</v>
      </c>
      <c r="I1166" s="5" t="s">
        <v>73</v>
      </c>
      <c r="J1166" s="5" t="s">
        <v>37</v>
      </c>
      <c r="K1166" s="5" t="s">
        <v>37</v>
      </c>
      <c r="L1166" s="5" t="s">
        <v>38</v>
      </c>
      <c r="M1166" s="5" t="s">
        <v>37</v>
      </c>
      <c r="N1166" s="5" t="s">
        <v>37</v>
      </c>
      <c r="O1166" s="5" t="s">
        <v>38</v>
      </c>
      <c r="P1166" s="5" t="s">
        <v>39</v>
      </c>
      <c r="Q1166" s="2">
        <v>45960</v>
      </c>
      <c r="V116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7" spans="1:22" ht="11.45" customHeight="1">
      <c r="A1167" s="2">
        <v>45922</v>
      </c>
      <c r="B1167" s="1" t="s">
        <v>3314</v>
      </c>
      <c r="C1167" s="1" t="s">
        <v>1306</v>
      </c>
      <c r="D1167" s="1" t="s">
        <v>174</v>
      </c>
      <c r="E1167" s="1">
        <v>85326</v>
      </c>
      <c r="F1167" s="1" t="s">
        <v>3315</v>
      </c>
      <c r="G1167" s="1" t="s">
        <v>3281</v>
      </c>
      <c r="H1167" s="4" t="s">
        <v>3316</v>
      </c>
      <c r="I1167" s="5" t="s">
        <v>36</v>
      </c>
      <c r="J1167" s="5" t="s">
        <v>37</v>
      </c>
      <c r="K1167" s="5" t="s">
        <v>37</v>
      </c>
      <c r="L1167" s="5" t="s">
        <v>38</v>
      </c>
      <c r="M1167" s="5" t="s">
        <v>38</v>
      </c>
      <c r="N1167" s="15">
        <v>1027.99</v>
      </c>
      <c r="O1167" s="5" t="s">
        <v>38</v>
      </c>
      <c r="P1167" s="7"/>
      <c r="Q1167" s="2">
        <v>45960</v>
      </c>
      <c r="R1167" s="1" t="s">
        <v>495</v>
      </c>
      <c r="V116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8" spans="1:22" ht="11.45" customHeight="1">
      <c r="A1168" s="2">
        <v>45922</v>
      </c>
      <c r="B1168" s="1" t="s">
        <v>365</v>
      </c>
      <c r="C1168" s="1" t="s">
        <v>256</v>
      </c>
      <c r="D1168" s="1" t="s">
        <v>174</v>
      </c>
      <c r="E1168" s="1">
        <v>85326</v>
      </c>
      <c r="F1168" s="1" t="s">
        <v>3317</v>
      </c>
      <c r="G1168" s="1" t="s">
        <v>3281</v>
      </c>
      <c r="H1168" s="4" t="s">
        <v>27</v>
      </c>
      <c r="V116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69" spans="1:22" ht="11.45" customHeight="1">
      <c r="A1169" s="2">
        <v>45922</v>
      </c>
      <c r="B1169" s="1" t="s">
        <v>3318</v>
      </c>
      <c r="C1169" s="1" t="s">
        <v>624</v>
      </c>
      <c r="D1169" s="1" t="s">
        <v>174</v>
      </c>
      <c r="E1169" s="1">
        <v>85326</v>
      </c>
      <c r="F1169" s="1" t="s">
        <v>3319</v>
      </c>
      <c r="G1169" s="1" t="s">
        <v>3281</v>
      </c>
      <c r="H1169" s="4" t="s">
        <v>27</v>
      </c>
      <c r="V116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0" spans="1:22" ht="11.45" customHeight="1">
      <c r="A1170" s="2">
        <v>45922</v>
      </c>
      <c r="B1170" s="1" t="s">
        <v>3320</v>
      </c>
      <c r="C1170" s="1" t="s">
        <v>3321</v>
      </c>
      <c r="D1170" s="1" t="s">
        <v>112</v>
      </c>
      <c r="E1170" s="1">
        <v>85387</v>
      </c>
      <c r="F1170" s="1" t="s">
        <v>3322</v>
      </c>
      <c r="G1170" s="1" t="s">
        <v>3281</v>
      </c>
      <c r="H1170" s="4" t="s">
        <v>3323</v>
      </c>
      <c r="I1170" s="5" t="s">
        <v>36</v>
      </c>
      <c r="J1170" s="5" t="s">
        <v>37</v>
      </c>
      <c r="K1170" s="5" t="s">
        <v>37</v>
      </c>
      <c r="L1170" s="5" t="s">
        <v>38</v>
      </c>
      <c r="M1170" s="5" t="s">
        <v>37</v>
      </c>
      <c r="N1170" s="5" t="s">
        <v>37</v>
      </c>
      <c r="O1170" s="5" t="s">
        <v>38</v>
      </c>
      <c r="P1170" s="5" t="s">
        <v>39</v>
      </c>
      <c r="Q1170" s="2">
        <v>45960</v>
      </c>
      <c r="V117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1" spans="1:22" ht="11.45" customHeight="1">
      <c r="A1171" s="2">
        <v>45922</v>
      </c>
      <c r="B1171" s="1" t="s">
        <v>3324</v>
      </c>
      <c r="C1171" s="1" t="s">
        <v>2116</v>
      </c>
      <c r="D1171" s="1" t="s">
        <v>698</v>
      </c>
      <c r="E1171" s="1">
        <v>85375</v>
      </c>
      <c r="F1171" s="1" t="s">
        <v>3325</v>
      </c>
      <c r="G1171" s="1" t="s">
        <v>3326</v>
      </c>
      <c r="H1171" s="4" t="s">
        <v>27</v>
      </c>
      <c r="V117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2" spans="1:22" ht="11.45" customHeight="1">
      <c r="A1172" s="2">
        <v>45922</v>
      </c>
      <c r="B1172" s="1" t="s">
        <v>3327</v>
      </c>
      <c r="C1172" s="1" t="s">
        <v>3328</v>
      </c>
      <c r="D1172" s="1" t="s">
        <v>174</v>
      </c>
      <c r="E1172" s="1">
        <v>85326</v>
      </c>
      <c r="F1172" s="1" t="s">
        <v>3322</v>
      </c>
      <c r="G1172" s="1" t="s">
        <v>3326</v>
      </c>
      <c r="H1172" s="4" t="s">
        <v>3329</v>
      </c>
      <c r="I1172" s="5" t="s">
        <v>36</v>
      </c>
      <c r="J1172" s="5" t="s">
        <v>38</v>
      </c>
      <c r="K1172" s="5" t="s">
        <v>37</v>
      </c>
      <c r="L1172" s="5" t="s">
        <v>38</v>
      </c>
      <c r="M1172" s="5" t="s">
        <v>38</v>
      </c>
      <c r="N1172" s="15">
        <v>771.64</v>
      </c>
      <c r="O1172" s="5" t="s">
        <v>38</v>
      </c>
      <c r="P1172" s="7"/>
      <c r="Q1172" s="2">
        <v>45960</v>
      </c>
      <c r="R1172" s="1" t="s">
        <v>495</v>
      </c>
      <c r="V117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3" spans="1:22" ht="11.45" customHeight="1">
      <c r="A1173" s="2">
        <v>45922</v>
      </c>
      <c r="B1173" s="1" t="s">
        <v>3330</v>
      </c>
      <c r="C1173" s="1" t="s">
        <v>3331</v>
      </c>
      <c r="D1173" s="1" t="s">
        <v>63</v>
      </c>
      <c r="E1173" s="1">
        <v>85022</v>
      </c>
      <c r="F1173" s="1" t="s">
        <v>3332</v>
      </c>
      <c r="G1173" s="1" t="s">
        <v>3333</v>
      </c>
      <c r="H1173" s="4" t="s">
        <v>3334</v>
      </c>
      <c r="I1173" s="5" t="s">
        <v>126</v>
      </c>
      <c r="J1173" s="5" t="s">
        <v>38</v>
      </c>
      <c r="K1173" s="5" t="s">
        <v>37</v>
      </c>
      <c r="L1173" s="5" t="s">
        <v>38</v>
      </c>
      <c r="M1173" s="5" t="s">
        <v>37</v>
      </c>
      <c r="N1173" s="5" t="s">
        <v>37</v>
      </c>
      <c r="O1173" s="5" t="s">
        <v>38</v>
      </c>
      <c r="P1173" s="5" t="s">
        <v>39</v>
      </c>
      <c r="Q1173" s="2">
        <v>45960</v>
      </c>
      <c r="V117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4" spans="1:22" ht="11.45" customHeight="1">
      <c r="A1174" s="2">
        <v>45923</v>
      </c>
      <c r="B1174" s="1" t="s">
        <v>3335</v>
      </c>
      <c r="C1174" s="1" t="s">
        <v>3336</v>
      </c>
      <c r="D1174" s="1" t="s">
        <v>174</v>
      </c>
      <c r="E1174" s="1">
        <v>85326</v>
      </c>
      <c r="F1174" s="1" t="s">
        <v>3337</v>
      </c>
      <c r="G1174" s="1" t="s">
        <v>3326</v>
      </c>
      <c r="H1174" s="4" t="s">
        <v>3338</v>
      </c>
      <c r="I1174" s="5" t="s">
        <v>196</v>
      </c>
      <c r="J1174" s="5" t="s">
        <v>37</v>
      </c>
      <c r="K1174" s="5" t="s">
        <v>37</v>
      </c>
      <c r="L1174" s="7" t="s">
        <v>3339</v>
      </c>
      <c r="M1174" s="5" t="s">
        <v>37</v>
      </c>
      <c r="N1174" s="5" t="s">
        <v>37</v>
      </c>
      <c r="O1174" s="5" t="s">
        <v>38</v>
      </c>
      <c r="P1174" s="2">
        <v>45940</v>
      </c>
      <c r="Q1174" s="2">
        <v>45960</v>
      </c>
      <c r="R1174" s="1" t="s">
        <v>3340</v>
      </c>
      <c r="V117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5" spans="1:22" ht="11.45" customHeight="1">
      <c r="A1175" s="2">
        <v>45923</v>
      </c>
      <c r="B1175" s="1" t="s">
        <v>3341</v>
      </c>
      <c r="C1175" s="1" t="s">
        <v>284</v>
      </c>
      <c r="D1175" s="1" t="s">
        <v>174</v>
      </c>
      <c r="E1175" s="1">
        <v>85326</v>
      </c>
      <c r="F1175" s="1" t="s">
        <v>3342</v>
      </c>
      <c r="G1175" s="1" t="s">
        <v>3326</v>
      </c>
      <c r="H1175" s="4" t="s">
        <v>3343</v>
      </c>
      <c r="I1175" s="5" t="s">
        <v>46</v>
      </c>
      <c r="J1175" s="5" t="s">
        <v>37</v>
      </c>
      <c r="K1175" s="5" t="s">
        <v>37</v>
      </c>
      <c r="L1175" s="5" t="s">
        <v>38</v>
      </c>
      <c r="M1175" s="5" t="s">
        <v>37</v>
      </c>
      <c r="N1175" s="5" t="s">
        <v>37</v>
      </c>
      <c r="O1175" s="5" t="s">
        <v>38</v>
      </c>
      <c r="P1175" s="5" t="s">
        <v>39</v>
      </c>
      <c r="Q1175" s="2">
        <v>45960</v>
      </c>
      <c r="V117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6" spans="1:22" ht="11.45" customHeight="1">
      <c r="A1176" s="2">
        <v>45923</v>
      </c>
      <c r="B1176" s="1" t="s">
        <v>3344</v>
      </c>
      <c r="C1176" s="1" t="s">
        <v>1634</v>
      </c>
      <c r="D1176" s="1" t="s">
        <v>169</v>
      </c>
      <c r="E1176" s="1">
        <v>85338</v>
      </c>
      <c r="F1176" s="1" t="s">
        <v>3345</v>
      </c>
      <c r="G1176" s="1" t="s">
        <v>3326</v>
      </c>
      <c r="H1176" s="4" t="s">
        <v>27</v>
      </c>
      <c r="V117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7" spans="1:22" ht="11.45" customHeight="1">
      <c r="A1177" s="2">
        <v>45923</v>
      </c>
      <c r="B1177" s="1" t="s">
        <v>3346</v>
      </c>
      <c r="C1177" s="1" t="s">
        <v>3347</v>
      </c>
      <c r="D1177" s="1" t="s">
        <v>63</v>
      </c>
      <c r="E1177" s="1">
        <v>85022</v>
      </c>
      <c r="F1177" s="1" t="s">
        <v>3348</v>
      </c>
      <c r="G1177" s="1" t="s">
        <v>3326</v>
      </c>
      <c r="H1177" s="19" t="s">
        <v>3349</v>
      </c>
      <c r="I1177" s="5" t="s">
        <v>36</v>
      </c>
      <c r="J1177" s="5" t="s">
        <v>37</v>
      </c>
      <c r="K1177" s="5" t="s">
        <v>37</v>
      </c>
      <c r="L1177" s="5" t="s">
        <v>38</v>
      </c>
      <c r="M1177" s="5" t="s">
        <v>38</v>
      </c>
      <c r="N1177" s="15">
        <v>1080.4000000000001</v>
      </c>
      <c r="O1177" s="5" t="s">
        <v>38</v>
      </c>
      <c r="Q1177" s="2">
        <v>45960</v>
      </c>
      <c r="R1177" s="1" t="s">
        <v>495</v>
      </c>
      <c r="V117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8" spans="1:22" ht="11.45" customHeight="1">
      <c r="A1178" s="2">
        <v>45923</v>
      </c>
      <c r="B1178" s="1" t="s">
        <v>3350</v>
      </c>
      <c r="C1178" s="1" t="s">
        <v>3351</v>
      </c>
      <c r="D1178" s="1" t="s">
        <v>428</v>
      </c>
      <c r="E1178" s="1">
        <v>85335</v>
      </c>
      <c r="F1178" s="1" t="s">
        <v>3352</v>
      </c>
      <c r="G1178" s="1" t="s">
        <v>3353</v>
      </c>
      <c r="H1178" s="4" t="s">
        <v>27</v>
      </c>
      <c r="V117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79" spans="1:22" ht="11.45" customHeight="1">
      <c r="A1179" s="2">
        <v>45923</v>
      </c>
      <c r="B1179" s="1" t="s">
        <v>930</v>
      </c>
      <c r="C1179" s="1" t="s">
        <v>263</v>
      </c>
      <c r="D1179" s="1" t="s">
        <v>240</v>
      </c>
      <c r="E1179" s="1">
        <v>85340</v>
      </c>
      <c r="F1179" s="1" t="s">
        <v>3354</v>
      </c>
      <c r="G1179" s="1" t="s">
        <v>3326</v>
      </c>
      <c r="H1179" s="4" t="s">
        <v>3355</v>
      </c>
      <c r="I1179" s="5" t="s">
        <v>36</v>
      </c>
      <c r="J1179" s="5" t="s">
        <v>37</v>
      </c>
      <c r="K1179" s="5" t="s">
        <v>37</v>
      </c>
      <c r="L1179" s="5" t="s">
        <v>38</v>
      </c>
      <c r="M1179" s="5" t="s">
        <v>37</v>
      </c>
      <c r="N1179" s="5" t="s">
        <v>37</v>
      </c>
      <c r="O1179" s="5" t="s">
        <v>38</v>
      </c>
      <c r="P1179" s="5" t="s">
        <v>39</v>
      </c>
      <c r="Q1179" s="2">
        <v>45960</v>
      </c>
      <c r="V117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0" spans="1:22" ht="11.45" customHeight="1">
      <c r="A1180" s="2">
        <v>45924</v>
      </c>
      <c r="B1180" s="1" t="s">
        <v>3244</v>
      </c>
      <c r="C1180" s="1" t="s">
        <v>3245</v>
      </c>
      <c r="D1180" s="1" t="s">
        <v>63</v>
      </c>
      <c r="E1180" s="1">
        <v>85013</v>
      </c>
      <c r="F1180" s="1" t="s">
        <v>3356</v>
      </c>
      <c r="G1180" s="1" t="s">
        <v>3357</v>
      </c>
      <c r="H1180" s="4" t="s">
        <v>3358</v>
      </c>
      <c r="I1180" s="5" t="s">
        <v>36</v>
      </c>
      <c r="J1180" s="5" t="s">
        <v>37</v>
      </c>
      <c r="K1180" s="5" t="s">
        <v>37</v>
      </c>
      <c r="L1180" s="5" t="s">
        <v>38</v>
      </c>
      <c r="M1180" s="5" t="s">
        <v>37</v>
      </c>
      <c r="N1180" s="5" t="s">
        <v>37</v>
      </c>
      <c r="O1180" s="5" t="s">
        <v>38</v>
      </c>
      <c r="P1180" s="5" t="s">
        <v>39</v>
      </c>
      <c r="Q1180" s="2">
        <v>45960</v>
      </c>
      <c r="R1180" s="1" t="s">
        <v>2565</v>
      </c>
      <c r="V118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1" spans="1:22" ht="11.45" customHeight="1">
      <c r="A1181" s="2">
        <v>44098</v>
      </c>
      <c r="B1181" s="1" t="s">
        <v>3359</v>
      </c>
      <c r="C1181" s="1" t="s">
        <v>3360</v>
      </c>
      <c r="D1181" s="1" t="s">
        <v>3361</v>
      </c>
      <c r="E1181" s="1">
        <v>86322</v>
      </c>
      <c r="F1181" s="1" t="s">
        <v>3362</v>
      </c>
      <c r="G1181" s="1" t="s">
        <v>3357</v>
      </c>
      <c r="H1181" s="19" t="s">
        <v>3363</v>
      </c>
      <c r="I1181" s="5" t="s">
        <v>57</v>
      </c>
      <c r="J1181" s="5" t="s">
        <v>37</v>
      </c>
      <c r="K1181" s="5" t="s">
        <v>37</v>
      </c>
      <c r="L1181" s="7" t="s">
        <v>3364</v>
      </c>
      <c r="M1181" s="5" t="s">
        <v>37</v>
      </c>
      <c r="N1181" s="5" t="s">
        <v>37</v>
      </c>
      <c r="O1181" s="5" t="s">
        <v>38</v>
      </c>
      <c r="P1181" s="2">
        <v>45940</v>
      </c>
      <c r="Q1181" s="2">
        <v>45960</v>
      </c>
      <c r="R1181" s="1" t="s">
        <v>3152</v>
      </c>
      <c r="V118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2" spans="1:22" ht="11.45" customHeight="1">
      <c r="A1182" s="2">
        <v>45924</v>
      </c>
      <c r="B1182" s="1" t="s">
        <v>3365</v>
      </c>
      <c r="C1182" s="1" t="s">
        <v>3023</v>
      </c>
      <c r="D1182" s="1" t="s">
        <v>112</v>
      </c>
      <c r="E1182" s="1">
        <v>85387</v>
      </c>
      <c r="F1182" s="1" t="s">
        <v>3366</v>
      </c>
      <c r="G1182" s="1" t="s">
        <v>3357</v>
      </c>
      <c r="H1182" s="4" t="s">
        <v>209</v>
      </c>
      <c r="V118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3" spans="1:22" ht="11.45" customHeight="1">
      <c r="A1183" s="2">
        <v>45925</v>
      </c>
      <c r="B1183" s="1" t="s">
        <v>3367</v>
      </c>
      <c r="C1183" s="1" t="s">
        <v>135</v>
      </c>
      <c r="D1183" s="1" t="s">
        <v>264</v>
      </c>
      <c r="E1183" s="1">
        <v>85541</v>
      </c>
      <c r="F1183" s="1" t="s">
        <v>3368</v>
      </c>
      <c r="G1183" s="1" t="s">
        <v>3357</v>
      </c>
      <c r="H1183" s="4" t="s">
        <v>3369</v>
      </c>
      <c r="I1183" s="5" t="s">
        <v>73</v>
      </c>
      <c r="J1183" s="5" t="s">
        <v>37</v>
      </c>
      <c r="K1183" s="5" t="s">
        <v>37</v>
      </c>
      <c r="L1183" s="5" t="s">
        <v>38</v>
      </c>
      <c r="M1183" s="5" t="s">
        <v>37</v>
      </c>
      <c r="N1183" s="5" t="s">
        <v>37</v>
      </c>
      <c r="O1183" s="5" t="s">
        <v>38</v>
      </c>
      <c r="P1183" s="5" t="s">
        <v>39</v>
      </c>
      <c r="Q1183" s="2">
        <v>45960</v>
      </c>
      <c r="V118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4" spans="1:22" ht="11.45" customHeight="1">
      <c r="A1184" s="2">
        <v>45925</v>
      </c>
      <c r="B1184" s="1" t="s">
        <v>3370</v>
      </c>
      <c r="C1184" s="1" t="s">
        <v>145</v>
      </c>
      <c r="D1184" s="1" t="s">
        <v>63</v>
      </c>
      <c r="E1184" s="1">
        <v>85032</v>
      </c>
      <c r="F1184" s="1" t="s">
        <v>3371</v>
      </c>
      <c r="G1184" s="1" t="s">
        <v>3357</v>
      </c>
      <c r="H1184" s="4" t="s">
        <v>3372</v>
      </c>
      <c r="I1184" s="5" t="s">
        <v>1684</v>
      </c>
      <c r="J1184" s="5" t="s">
        <v>37</v>
      </c>
      <c r="K1184" s="5" t="s">
        <v>37</v>
      </c>
      <c r="L1184" s="5" t="s">
        <v>38</v>
      </c>
      <c r="M1184" s="5" t="s">
        <v>37</v>
      </c>
      <c r="N1184" s="5" t="s">
        <v>37</v>
      </c>
      <c r="O1184" s="5" t="s">
        <v>38</v>
      </c>
      <c r="P1184" s="5" t="s">
        <v>39</v>
      </c>
      <c r="Q1184" s="2">
        <v>45960</v>
      </c>
      <c r="R1184" s="31" t="s">
        <v>3373</v>
      </c>
      <c r="V118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5" spans="1:22" ht="11.45" customHeight="1">
      <c r="A1185" s="2">
        <v>45925</v>
      </c>
      <c r="B1185" s="1" t="s">
        <v>3374</v>
      </c>
      <c r="C1185" s="1" t="s">
        <v>597</v>
      </c>
      <c r="D1185" s="1" t="s">
        <v>816</v>
      </c>
      <c r="E1185" s="1">
        <v>86301</v>
      </c>
      <c r="F1185" s="1" t="s">
        <v>3375</v>
      </c>
      <c r="G1185" s="1" t="s">
        <v>3357</v>
      </c>
      <c r="H1185" s="19" t="s">
        <v>3376</v>
      </c>
      <c r="I1185" s="5" t="s">
        <v>46</v>
      </c>
      <c r="J1185" s="5" t="s">
        <v>37</v>
      </c>
      <c r="K1185" s="5" t="s">
        <v>37</v>
      </c>
      <c r="L1185" s="5" t="s">
        <v>38</v>
      </c>
      <c r="M1185" s="5" t="s">
        <v>37</v>
      </c>
      <c r="N1185" s="5" t="s">
        <v>37</v>
      </c>
      <c r="O1185" s="5" t="s">
        <v>38</v>
      </c>
      <c r="P1185" s="5" t="s">
        <v>39</v>
      </c>
      <c r="Q1185" s="2">
        <v>45960</v>
      </c>
      <c r="V118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6" spans="1:22" ht="11.45" customHeight="1">
      <c r="A1186" s="2">
        <v>45926</v>
      </c>
      <c r="B1186" s="1" t="s">
        <v>3377</v>
      </c>
      <c r="C1186" s="1" t="s">
        <v>437</v>
      </c>
      <c r="D1186" s="1" t="s">
        <v>85</v>
      </c>
      <c r="E1186" s="1">
        <v>86323</v>
      </c>
      <c r="F1186" s="1" t="s">
        <v>3378</v>
      </c>
      <c r="G1186" s="1" t="s">
        <v>3379</v>
      </c>
      <c r="H1186" s="19">
        <v>6292353892</v>
      </c>
      <c r="I1186" s="5" t="s">
        <v>126</v>
      </c>
      <c r="J1186" s="5" t="s">
        <v>37</v>
      </c>
      <c r="K1186" s="5" t="s">
        <v>37</v>
      </c>
      <c r="L1186" s="5" t="s">
        <v>38</v>
      </c>
      <c r="M1186" s="5" t="s">
        <v>37</v>
      </c>
      <c r="N1186" s="5" t="s">
        <v>37</v>
      </c>
      <c r="O1186" s="5" t="s">
        <v>38</v>
      </c>
      <c r="P1186" s="5" t="s">
        <v>39</v>
      </c>
      <c r="Q1186" s="2">
        <v>45960</v>
      </c>
      <c r="V118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7" spans="1:22" ht="11.45" customHeight="1">
      <c r="A1187" s="2">
        <v>45926</v>
      </c>
      <c r="B1187" s="1" t="s">
        <v>246</v>
      </c>
      <c r="C1187" s="1" t="s">
        <v>3380</v>
      </c>
      <c r="D1187" s="1" t="s">
        <v>93</v>
      </c>
      <c r="E1187" s="1">
        <v>85351</v>
      </c>
      <c r="F1187" s="1" t="s">
        <v>3381</v>
      </c>
      <c r="G1187" s="1" t="s">
        <v>3382</v>
      </c>
      <c r="H1187" s="4" t="s">
        <v>27</v>
      </c>
      <c r="V118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8" spans="1:22" ht="11.45" customHeight="1">
      <c r="A1188" s="2">
        <v>45926</v>
      </c>
      <c r="B1188" s="1" t="s">
        <v>3383</v>
      </c>
      <c r="C1188" s="1" t="s">
        <v>1755</v>
      </c>
      <c r="D1188" s="1" t="s">
        <v>240</v>
      </c>
      <c r="E1188" s="1">
        <v>85340</v>
      </c>
      <c r="F1188" s="1" t="s">
        <v>3384</v>
      </c>
      <c r="G1188" s="1" t="s">
        <v>3379</v>
      </c>
      <c r="H1188" s="4" t="s">
        <v>3385</v>
      </c>
      <c r="I1188" s="5" t="s">
        <v>36</v>
      </c>
      <c r="J1188" s="5" t="s">
        <v>37</v>
      </c>
      <c r="K1188" s="5" t="s">
        <v>37</v>
      </c>
      <c r="L1188" s="5" t="s">
        <v>38</v>
      </c>
      <c r="M1188" s="5" t="s">
        <v>37</v>
      </c>
      <c r="N1188" s="5" t="s">
        <v>37</v>
      </c>
      <c r="O1188" s="5" t="s">
        <v>38</v>
      </c>
      <c r="P1188" s="5" t="s">
        <v>39</v>
      </c>
      <c r="Q1188" s="2">
        <v>45960</v>
      </c>
      <c r="V118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89" spans="1:22" ht="11.45" customHeight="1">
      <c r="A1189" s="2">
        <v>45927</v>
      </c>
      <c r="B1189" s="1" t="s">
        <v>2404</v>
      </c>
      <c r="C1189" s="1" t="s">
        <v>3006</v>
      </c>
      <c r="D1189" s="1" t="s">
        <v>24</v>
      </c>
      <c r="E1189" s="1">
        <v>85308</v>
      </c>
      <c r="F1189" s="1" t="s">
        <v>3386</v>
      </c>
      <c r="G1189" s="1" t="s">
        <v>3387</v>
      </c>
      <c r="H1189" s="4" t="s">
        <v>209</v>
      </c>
      <c r="V1189"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0" spans="1:22" ht="11.45" customHeight="1">
      <c r="A1190" s="2">
        <v>45928</v>
      </c>
      <c r="B1190" s="1" t="s">
        <v>3388</v>
      </c>
      <c r="C1190" s="1" t="s">
        <v>556</v>
      </c>
      <c r="D1190" s="1" t="s">
        <v>619</v>
      </c>
      <c r="E1190" s="1">
        <v>85367</v>
      </c>
      <c r="F1190" s="1" t="s">
        <v>3389</v>
      </c>
      <c r="G1190" s="1" t="s">
        <v>3387</v>
      </c>
      <c r="H1190" s="4" t="s">
        <v>3390</v>
      </c>
      <c r="I1190" s="5" t="s">
        <v>36</v>
      </c>
      <c r="J1190" s="5" t="s">
        <v>37</v>
      </c>
      <c r="K1190" s="5" t="s">
        <v>37</v>
      </c>
      <c r="L1190" s="5" t="s">
        <v>38</v>
      </c>
      <c r="M1190" s="5" t="s">
        <v>37</v>
      </c>
      <c r="N1190" s="5" t="s">
        <v>37</v>
      </c>
      <c r="O1190" s="5" t="s">
        <v>38</v>
      </c>
      <c r="P1190" s="5" t="s">
        <v>39</v>
      </c>
      <c r="Q1190" s="2">
        <v>45960</v>
      </c>
      <c r="V1190"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1" spans="1:22" ht="11.45" customHeight="1">
      <c r="A1191" s="2">
        <v>45928</v>
      </c>
      <c r="B1191" s="1" t="s">
        <v>3391</v>
      </c>
      <c r="C1191" s="1" t="s">
        <v>3392</v>
      </c>
      <c r="D1191" s="1" t="s">
        <v>24</v>
      </c>
      <c r="E1191" s="1">
        <v>85310</v>
      </c>
      <c r="F1191" s="1" t="s">
        <v>3393</v>
      </c>
      <c r="G1191" s="1" t="s">
        <v>3387</v>
      </c>
      <c r="H1191" s="4" t="s">
        <v>3394</v>
      </c>
      <c r="I1191" s="5" t="s">
        <v>541</v>
      </c>
      <c r="J1191" s="5" t="s">
        <v>37</v>
      </c>
      <c r="K1191" s="5" t="s">
        <v>37</v>
      </c>
      <c r="L1191" s="5" t="s">
        <v>389</v>
      </c>
      <c r="M1191" s="5" t="s">
        <v>38</v>
      </c>
      <c r="N1191" s="13">
        <v>368.4</v>
      </c>
      <c r="O1191" s="5" t="s">
        <v>38</v>
      </c>
      <c r="P1191" s="5" t="s">
        <v>39</v>
      </c>
      <c r="Q1191" s="2">
        <v>45960</v>
      </c>
      <c r="V1191"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2" spans="1:22" ht="11.45" customHeight="1">
      <c r="A1192" s="2">
        <v>45929</v>
      </c>
      <c r="B1192" s="1" t="s">
        <v>3395</v>
      </c>
      <c r="C1192" s="1" t="s">
        <v>1423</v>
      </c>
      <c r="D1192" s="1" t="s">
        <v>63</v>
      </c>
      <c r="E1192" s="1">
        <v>85086</v>
      </c>
      <c r="F1192" s="1" t="s">
        <v>3396</v>
      </c>
      <c r="G1192" s="1" t="s">
        <v>3387</v>
      </c>
      <c r="H1192" s="4" t="s">
        <v>27</v>
      </c>
      <c r="V1192"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3" spans="1:22" ht="11.45" customHeight="1">
      <c r="A1193" s="2">
        <v>45929</v>
      </c>
      <c r="B1193" s="1" t="s">
        <v>3397</v>
      </c>
      <c r="C1193" s="1" t="s">
        <v>3398</v>
      </c>
      <c r="D1193" s="1" t="s">
        <v>63</v>
      </c>
      <c r="E1193" s="1">
        <v>85050</v>
      </c>
      <c r="F1193" s="1" t="s">
        <v>3399</v>
      </c>
      <c r="G1193" s="1" t="s">
        <v>3387</v>
      </c>
      <c r="H1193" s="19" t="s">
        <v>3400</v>
      </c>
      <c r="I1193" s="5" t="s">
        <v>36</v>
      </c>
      <c r="J1193" s="5" t="s">
        <v>37</v>
      </c>
      <c r="K1193" s="5" t="s">
        <v>37</v>
      </c>
      <c r="L1193" s="5" t="s">
        <v>38</v>
      </c>
      <c r="M1193" s="5" t="s">
        <v>37</v>
      </c>
      <c r="N1193" s="5" t="s">
        <v>37</v>
      </c>
      <c r="O1193" s="5" t="s">
        <v>38</v>
      </c>
      <c r="P1193" s="5" t="s">
        <v>39</v>
      </c>
      <c r="Q1193" s="2">
        <v>45960</v>
      </c>
      <c r="V1193"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4" spans="1:22" ht="11.45" customHeight="1">
      <c r="A1194" s="2">
        <v>45930</v>
      </c>
      <c r="B1194" s="1" t="s">
        <v>3401</v>
      </c>
      <c r="C1194" s="1" t="s">
        <v>3402</v>
      </c>
      <c r="D1194" s="1" t="s">
        <v>112</v>
      </c>
      <c r="E1194" s="1">
        <v>85379</v>
      </c>
      <c r="F1194" s="1" t="s">
        <v>3403</v>
      </c>
      <c r="G1194" s="1" t="s">
        <v>3404</v>
      </c>
      <c r="H1194" s="4" t="s">
        <v>719</v>
      </c>
      <c r="I1194" s="5" t="s">
        <v>243</v>
      </c>
      <c r="J1194" s="5" t="s">
        <v>37</v>
      </c>
      <c r="K1194" s="5" t="s">
        <v>37</v>
      </c>
      <c r="L1194" s="5" t="s">
        <v>389</v>
      </c>
      <c r="M1194" s="5" t="s">
        <v>37</v>
      </c>
      <c r="N1194" s="5" t="s">
        <v>37</v>
      </c>
      <c r="O1194" s="5" t="s">
        <v>38</v>
      </c>
      <c r="P1194" s="5" t="s">
        <v>39</v>
      </c>
      <c r="Q1194" s="2">
        <v>45960</v>
      </c>
      <c r="V1194"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5" spans="1:22" ht="11.45" customHeight="1">
      <c r="A1195" s="2">
        <v>45930</v>
      </c>
      <c r="B1195" s="1" t="s">
        <v>3405</v>
      </c>
      <c r="C1195" s="1" t="s">
        <v>1093</v>
      </c>
      <c r="D1195" s="1" t="s">
        <v>125</v>
      </c>
      <c r="E1195" s="1">
        <v>85266</v>
      </c>
      <c r="F1195" s="1" t="s">
        <v>3406</v>
      </c>
      <c r="G1195" s="1" t="s">
        <v>3404</v>
      </c>
      <c r="H1195" s="4" t="s">
        <v>3407</v>
      </c>
      <c r="I1195" s="5" t="s">
        <v>36</v>
      </c>
      <c r="J1195" s="5" t="s">
        <v>37</v>
      </c>
      <c r="K1195" s="5" t="s">
        <v>37</v>
      </c>
      <c r="L1195" s="5" t="s">
        <v>38</v>
      </c>
      <c r="M1195" s="5" t="s">
        <v>37</v>
      </c>
      <c r="N1195" s="5" t="s">
        <v>37</v>
      </c>
      <c r="O1195" s="5" t="s">
        <v>38</v>
      </c>
      <c r="P1195" s="5" t="s">
        <v>39</v>
      </c>
      <c r="Q1195" s="2">
        <v>45960</v>
      </c>
      <c r="V1195"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6" spans="1:22" ht="11.45" customHeight="1">
      <c r="A1196" s="2">
        <v>45930</v>
      </c>
      <c r="B1196" s="1" t="s">
        <v>1271</v>
      </c>
      <c r="C1196" s="1" t="s">
        <v>124</v>
      </c>
      <c r="D1196" s="1" t="s">
        <v>93</v>
      </c>
      <c r="E1196" s="1">
        <v>85351</v>
      </c>
      <c r="F1196" s="1" t="s">
        <v>3408</v>
      </c>
      <c r="G1196" s="1" t="s">
        <v>3404</v>
      </c>
      <c r="H1196" s="4" t="s">
        <v>3409</v>
      </c>
      <c r="I1196" s="5" t="s">
        <v>250</v>
      </c>
      <c r="J1196" s="5" t="s">
        <v>37</v>
      </c>
      <c r="K1196" s="5" t="s">
        <v>37</v>
      </c>
      <c r="L1196" s="5" t="s">
        <v>38</v>
      </c>
      <c r="M1196" s="5" t="s">
        <v>37</v>
      </c>
      <c r="N1196" s="5" t="s">
        <v>37</v>
      </c>
      <c r="O1196" s="5" t="s">
        <v>38</v>
      </c>
      <c r="P1196" s="5" t="s">
        <v>39</v>
      </c>
      <c r="Q1196" s="2">
        <v>45960</v>
      </c>
      <c r="R1196" s="1" t="s">
        <v>3410</v>
      </c>
      <c r="V1196"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7" spans="1:22" ht="11.45" customHeight="1">
      <c r="A1197" s="2">
        <v>45930</v>
      </c>
      <c r="B1197" s="1" t="s">
        <v>3411</v>
      </c>
      <c r="C1197" s="1" t="s">
        <v>284</v>
      </c>
      <c r="D1197" s="1" t="s">
        <v>2109</v>
      </c>
      <c r="E1197" s="1">
        <v>86327</v>
      </c>
      <c r="F1197" s="1" t="s">
        <v>3412</v>
      </c>
      <c r="G1197" s="1" t="s">
        <v>3404</v>
      </c>
      <c r="H1197" s="4" t="s">
        <v>3413</v>
      </c>
      <c r="I1197" s="5" t="s">
        <v>73</v>
      </c>
      <c r="J1197" s="5" t="s">
        <v>37</v>
      </c>
      <c r="K1197" s="5" t="s">
        <v>37</v>
      </c>
      <c r="L1197" s="5" t="s">
        <v>3414</v>
      </c>
      <c r="M1197" s="5" t="s">
        <v>37</v>
      </c>
      <c r="N1197" s="5" t="s">
        <v>37</v>
      </c>
      <c r="O1197" s="5" t="s">
        <v>38</v>
      </c>
      <c r="P1197" s="5" t="s">
        <v>39</v>
      </c>
      <c r="Q1197" s="2">
        <v>45960</v>
      </c>
      <c r="R1197" s="1" t="s">
        <v>3415</v>
      </c>
      <c r="V1197"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8" spans="1:22" ht="11.25" customHeight="1">
      <c r="A1198" s="2">
        <v>45930</v>
      </c>
      <c r="B1198" s="1" t="s">
        <v>3416</v>
      </c>
      <c r="C1198" s="1" t="s">
        <v>3417</v>
      </c>
      <c r="D1198" s="1" t="s">
        <v>202</v>
      </c>
      <c r="E1198" s="1">
        <v>85345</v>
      </c>
      <c r="F1198" s="1" t="s">
        <v>310</v>
      </c>
      <c r="G1198" s="1" t="s">
        <v>3404</v>
      </c>
      <c r="H1198" s="4" t="s">
        <v>3418</v>
      </c>
      <c r="I1198" s="5" t="s">
        <v>196</v>
      </c>
      <c r="J1198" s="5" t="s">
        <v>37</v>
      </c>
      <c r="K1198" s="5" t="s">
        <v>37</v>
      </c>
      <c r="L1198" s="7" t="s">
        <v>3419</v>
      </c>
      <c r="M1198" s="5" t="s">
        <v>37</v>
      </c>
      <c r="N1198" s="5" t="s">
        <v>37</v>
      </c>
      <c r="O1198" s="5" t="s">
        <v>38</v>
      </c>
      <c r="P1198" s="2">
        <v>45940</v>
      </c>
      <c r="Q1198" s="2">
        <v>45960</v>
      </c>
      <c r="R1198" s="1" t="s">
        <v>3420</v>
      </c>
      <c r="V1198" s="46">
        <f>IF(
  OR(
    ISNUMBER(SEARCH("unable to locate acct", tblDocketedComments[[#This Row],[Docketed Consumer Comments]])),
    ISNUMBER(SEARCH("unknown", tblDocketedComments[[#This Row],[Docketed Consumer Comments]])),
    ISNUMBER(SEARCH("inactive", tblDocketedComments[[#This Row],[Docketed Consumer Comments]]))
  ),
  0,
  1
)</f>
        <v>1</v>
      </c>
    </row>
    <row r="1199" spans="1:22" ht="13.5" customHeight="1">
      <c r="A1199" s="2">
        <v>45930</v>
      </c>
      <c r="B1199" s="1" t="s">
        <v>3421</v>
      </c>
      <c r="C1199" s="1" t="s">
        <v>2273</v>
      </c>
      <c r="D1199" s="1" t="s">
        <v>169</v>
      </c>
      <c r="E1199" s="1">
        <v>85395</v>
      </c>
      <c r="F1199" s="1" t="s">
        <v>3422</v>
      </c>
      <c r="G1199" s="1" t="s">
        <v>3404</v>
      </c>
      <c r="H1199" s="4" t="s">
        <v>3423</v>
      </c>
      <c r="I1199" s="5" t="s">
        <v>46</v>
      </c>
      <c r="J1199" s="5" t="s">
        <v>37</v>
      </c>
      <c r="K1199" s="5" t="s">
        <v>37</v>
      </c>
      <c r="L1199" s="5" t="s">
        <v>3424</v>
      </c>
      <c r="M1199" s="5" t="s">
        <v>37</v>
      </c>
      <c r="N1199" s="5" t="s">
        <v>37</v>
      </c>
      <c r="O1199" s="5" t="s">
        <v>38</v>
      </c>
      <c r="P1199" s="5" t="s">
        <v>39</v>
      </c>
      <c r="Q1199" s="2">
        <v>45960</v>
      </c>
      <c r="V119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0" spans="1:22" ht="11.45" customHeight="1">
      <c r="A1200" s="2">
        <v>45930</v>
      </c>
      <c r="B1200" s="1" t="s">
        <v>3425</v>
      </c>
      <c r="C1200" s="1" t="s">
        <v>3426</v>
      </c>
      <c r="D1200" s="1" t="s">
        <v>174</v>
      </c>
      <c r="E1200" s="1">
        <v>85396</v>
      </c>
      <c r="F1200" s="1" t="s">
        <v>3427</v>
      </c>
      <c r="G1200" s="1" t="s">
        <v>3428</v>
      </c>
      <c r="H1200" s="4" t="s">
        <v>3429</v>
      </c>
      <c r="I1200" s="5" t="s">
        <v>1040</v>
      </c>
      <c r="J1200" s="5" t="s">
        <v>37</v>
      </c>
      <c r="K1200" s="5" t="s">
        <v>37</v>
      </c>
      <c r="L1200" s="5" t="s">
        <v>3430</v>
      </c>
      <c r="M1200" s="5" t="s">
        <v>37</v>
      </c>
      <c r="N1200" s="5" t="s">
        <v>37</v>
      </c>
      <c r="O1200" s="5" t="s">
        <v>38</v>
      </c>
      <c r="P1200" s="5" t="s">
        <v>39</v>
      </c>
      <c r="Q1200" s="2">
        <v>45960</v>
      </c>
      <c r="V120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1" spans="1:22" ht="13.5" customHeight="1">
      <c r="A1201" s="2">
        <v>45931</v>
      </c>
      <c r="B1201" s="1" t="s">
        <v>3431</v>
      </c>
      <c r="C1201" s="1" t="s">
        <v>3432</v>
      </c>
      <c r="D1201" s="1" t="s">
        <v>63</v>
      </c>
      <c r="E1201" s="1">
        <v>85032</v>
      </c>
      <c r="F1201" s="1" t="s">
        <v>3433</v>
      </c>
      <c r="G1201" s="1" t="s">
        <v>3434</v>
      </c>
      <c r="H1201" s="4" t="s">
        <v>90</v>
      </c>
      <c r="V120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2" spans="1:22">
      <c r="A1202" s="2">
        <v>45932</v>
      </c>
      <c r="B1202" s="1" t="s">
        <v>3435</v>
      </c>
      <c r="C1202" s="1" t="s">
        <v>3436</v>
      </c>
      <c r="D1202" s="1" t="s">
        <v>30</v>
      </c>
      <c r="E1202" s="1" t="s">
        <v>30</v>
      </c>
      <c r="F1202" s="1" t="s">
        <v>3437</v>
      </c>
      <c r="G1202" s="1" t="s">
        <v>3438</v>
      </c>
      <c r="H1202" s="4" t="s">
        <v>3439</v>
      </c>
      <c r="I1202" s="5" t="s">
        <v>541</v>
      </c>
      <c r="J1202" s="5" t="s">
        <v>37</v>
      </c>
      <c r="K1202" s="5" t="s">
        <v>37</v>
      </c>
      <c r="L1202" s="5" t="s">
        <v>389</v>
      </c>
      <c r="M1202" s="5" t="s">
        <v>38</v>
      </c>
      <c r="N1202" s="13">
        <v>170.45</v>
      </c>
      <c r="O1202" s="5" t="s">
        <v>38</v>
      </c>
      <c r="P1202" s="5" t="s">
        <v>39</v>
      </c>
      <c r="Q1202" s="2">
        <v>45960</v>
      </c>
      <c r="V120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3" spans="1:22">
      <c r="A1203" s="2">
        <v>45932</v>
      </c>
      <c r="B1203" s="1" t="s">
        <v>3440</v>
      </c>
      <c r="C1203" s="1" t="s">
        <v>3441</v>
      </c>
      <c r="D1203" s="1" t="s">
        <v>129</v>
      </c>
      <c r="E1203" s="1">
        <v>85233</v>
      </c>
      <c r="F1203" s="1" t="s">
        <v>310</v>
      </c>
      <c r="G1203" s="1" t="s">
        <v>3442</v>
      </c>
      <c r="H1203" s="4" t="s">
        <v>3443</v>
      </c>
      <c r="I1203" s="5" t="s">
        <v>243</v>
      </c>
      <c r="J1203" s="5" t="s">
        <v>37</v>
      </c>
      <c r="K1203" s="5" t="s">
        <v>37</v>
      </c>
      <c r="L1203" s="5" t="s">
        <v>389</v>
      </c>
      <c r="M1203" s="5" t="s">
        <v>37</v>
      </c>
      <c r="N1203" s="5" t="s">
        <v>37</v>
      </c>
      <c r="O1203" s="5" t="s">
        <v>38</v>
      </c>
      <c r="P1203" s="5" t="s">
        <v>39</v>
      </c>
      <c r="Q1203" s="2">
        <v>45960</v>
      </c>
      <c r="V120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4" spans="1:22">
      <c r="A1204" s="2">
        <v>45932</v>
      </c>
      <c r="B1204" s="1" t="s">
        <v>528</v>
      </c>
      <c r="C1204" s="1" t="s">
        <v>3395</v>
      </c>
      <c r="D1204" s="1" t="s">
        <v>63</v>
      </c>
      <c r="E1204" s="1">
        <v>85085</v>
      </c>
      <c r="F1204" s="1" t="s">
        <v>3444</v>
      </c>
      <c r="G1204" s="1" t="s">
        <v>3442</v>
      </c>
      <c r="H1204" s="4" t="s">
        <v>3445</v>
      </c>
      <c r="I1204" s="5" t="s">
        <v>1040</v>
      </c>
      <c r="J1204" s="5" t="s">
        <v>37</v>
      </c>
      <c r="K1204" s="5" t="s">
        <v>37</v>
      </c>
      <c r="L1204" s="5" t="s">
        <v>401</v>
      </c>
      <c r="M1204" s="5" t="s">
        <v>37</v>
      </c>
      <c r="N1204" s="5" t="s">
        <v>37</v>
      </c>
      <c r="O1204" s="5" t="s">
        <v>38</v>
      </c>
      <c r="P1204" s="5" t="s">
        <v>39</v>
      </c>
      <c r="Q1204" s="2">
        <v>45960</v>
      </c>
      <c r="R1204" s="1" t="s">
        <v>3446</v>
      </c>
      <c r="V120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5" spans="1:22">
      <c r="A1205" s="2">
        <v>45933</v>
      </c>
      <c r="B1205" s="1" t="s">
        <v>800</v>
      </c>
      <c r="C1205" s="1" t="s">
        <v>801</v>
      </c>
      <c r="D1205" s="1" t="s">
        <v>30</v>
      </c>
      <c r="E1205" s="1" t="s">
        <v>30</v>
      </c>
      <c r="F1205" s="1" t="s">
        <v>3447</v>
      </c>
      <c r="G1205" s="1" t="s">
        <v>3448</v>
      </c>
      <c r="H1205" s="4" t="s">
        <v>3449</v>
      </c>
      <c r="I1205" s="5" t="s">
        <v>73</v>
      </c>
      <c r="J1205" s="5" t="s">
        <v>37</v>
      </c>
      <c r="K1205" s="5" t="s">
        <v>37</v>
      </c>
      <c r="L1205" s="5" t="s">
        <v>38</v>
      </c>
      <c r="M1205" s="5" t="s">
        <v>37</v>
      </c>
      <c r="N1205" s="5" t="s">
        <v>37</v>
      </c>
      <c r="O1205" s="5" t="s">
        <v>38</v>
      </c>
      <c r="P1205" s="5" t="s">
        <v>39</v>
      </c>
      <c r="Q1205" s="2">
        <v>45960</v>
      </c>
      <c r="V120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6" spans="1:22">
      <c r="A1206" s="2">
        <v>45933</v>
      </c>
      <c r="B1206" s="1" t="s">
        <v>134</v>
      </c>
      <c r="C1206" s="1" t="s">
        <v>363</v>
      </c>
      <c r="D1206" s="1" t="s">
        <v>30</v>
      </c>
      <c r="E1206" s="1" t="s">
        <v>30</v>
      </c>
      <c r="F1206" s="1" t="s">
        <v>31</v>
      </c>
      <c r="G1206" s="1" t="s">
        <v>3448</v>
      </c>
      <c r="H1206" s="4" t="s">
        <v>209</v>
      </c>
      <c r="V120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7" spans="1:22">
      <c r="A1207" s="2">
        <v>45933</v>
      </c>
      <c r="B1207" s="1" t="s">
        <v>3450</v>
      </c>
      <c r="C1207" s="1" t="s">
        <v>88</v>
      </c>
      <c r="D1207" s="1" t="s">
        <v>68</v>
      </c>
      <c r="E1207" s="1">
        <v>85331</v>
      </c>
      <c r="F1207" s="1" t="s">
        <v>3451</v>
      </c>
      <c r="G1207" s="1" t="s">
        <v>3452</v>
      </c>
      <c r="H1207" s="4" t="s">
        <v>3453</v>
      </c>
      <c r="I1207" s="5" t="s">
        <v>36</v>
      </c>
      <c r="J1207" s="5" t="s">
        <v>37</v>
      </c>
      <c r="K1207" s="5" t="s">
        <v>37</v>
      </c>
      <c r="L1207" s="5" t="s">
        <v>38</v>
      </c>
      <c r="M1207" s="5" t="s">
        <v>37</v>
      </c>
      <c r="N1207" s="5" t="s">
        <v>37</v>
      </c>
      <c r="O1207" s="5" t="s">
        <v>38</v>
      </c>
      <c r="P1207" s="5" t="s">
        <v>39</v>
      </c>
      <c r="Q1207" s="2">
        <v>45960</v>
      </c>
      <c r="V120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8" spans="1:22">
      <c r="A1208" s="2">
        <v>45934</v>
      </c>
      <c r="B1208" s="1" t="s">
        <v>3454</v>
      </c>
      <c r="C1208" s="1" t="s">
        <v>1354</v>
      </c>
      <c r="D1208" s="1" t="s">
        <v>370</v>
      </c>
      <c r="E1208" s="1">
        <v>85225</v>
      </c>
      <c r="F1208" s="1" t="s">
        <v>3455</v>
      </c>
      <c r="G1208" s="1" t="s">
        <v>3456</v>
      </c>
      <c r="H1208" s="4" t="s">
        <v>719</v>
      </c>
      <c r="I1208" s="5" t="s">
        <v>3457</v>
      </c>
      <c r="J1208" s="5" t="s">
        <v>37</v>
      </c>
      <c r="K1208" s="5" t="s">
        <v>37</v>
      </c>
      <c r="L1208" s="5" t="s">
        <v>3458</v>
      </c>
      <c r="M1208" s="5" t="s">
        <v>37</v>
      </c>
      <c r="N1208" s="5" t="s">
        <v>37</v>
      </c>
      <c r="O1208" s="5" t="s">
        <v>38</v>
      </c>
      <c r="P1208" s="5" t="s">
        <v>39</v>
      </c>
      <c r="Q1208" s="2">
        <v>45954</v>
      </c>
      <c r="V120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09" spans="1:22">
      <c r="A1209" s="2">
        <v>45934</v>
      </c>
      <c r="B1209" s="1" t="s">
        <v>3459</v>
      </c>
      <c r="C1209" s="1" t="s">
        <v>320</v>
      </c>
      <c r="D1209" s="1" t="s">
        <v>63</v>
      </c>
      <c r="E1209" s="1">
        <v>85032</v>
      </c>
      <c r="F1209" s="1" t="s">
        <v>3460</v>
      </c>
      <c r="G1209" s="1" t="s">
        <v>3456</v>
      </c>
      <c r="H1209" s="4" t="s">
        <v>3461</v>
      </c>
      <c r="I1209" s="5" t="s">
        <v>36</v>
      </c>
      <c r="J1209" s="5" t="s">
        <v>38</v>
      </c>
      <c r="K1209" s="5" t="s">
        <v>37</v>
      </c>
      <c r="L1209" s="5" t="s">
        <v>38</v>
      </c>
      <c r="M1209" s="5" t="s">
        <v>37</v>
      </c>
      <c r="N1209" s="5" t="s">
        <v>37</v>
      </c>
      <c r="O1209" s="5" t="s">
        <v>38</v>
      </c>
      <c r="P1209" s="5" t="s">
        <v>39</v>
      </c>
      <c r="Q1209" s="2">
        <v>45954</v>
      </c>
      <c r="V120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0" spans="1:22">
      <c r="A1210" s="2">
        <v>45934</v>
      </c>
      <c r="B1210" s="1" t="s">
        <v>34</v>
      </c>
      <c r="C1210" s="1" t="s">
        <v>2273</v>
      </c>
      <c r="D1210" s="1" t="s">
        <v>261</v>
      </c>
      <c r="E1210" s="1">
        <v>86314</v>
      </c>
      <c r="F1210" s="1" t="s">
        <v>3462</v>
      </c>
      <c r="G1210" s="1" t="s">
        <v>3456</v>
      </c>
      <c r="H1210" s="4" t="s">
        <v>3463</v>
      </c>
      <c r="I1210" s="5" t="s">
        <v>196</v>
      </c>
      <c r="J1210" s="5" t="s">
        <v>37</v>
      </c>
      <c r="K1210" s="5" t="s">
        <v>37</v>
      </c>
      <c r="L1210" s="5" t="s">
        <v>3464</v>
      </c>
      <c r="M1210" s="5" t="s">
        <v>37</v>
      </c>
      <c r="N1210" s="5" t="s">
        <v>37</v>
      </c>
      <c r="O1210" s="5" t="s">
        <v>38</v>
      </c>
      <c r="P1210" s="5" t="s">
        <v>39</v>
      </c>
      <c r="Q1210" s="2">
        <v>45954</v>
      </c>
      <c r="V12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1" spans="1:22">
      <c r="A1211" s="2">
        <v>45935</v>
      </c>
      <c r="B1211" s="1" t="s">
        <v>1210</v>
      </c>
      <c r="C1211" s="1" t="s">
        <v>3465</v>
      </c>
      <c r="D1211" s="1" t="s">
        <v>737</v>
      </c>
      <c r="E1211" s="1">
        <v>86326</v>
      </c>
      <c r="F1211" s="1" t="s">
        <v>3466</v>
      </c>
      <c r="G1211" s="1" t="s">
        <v>3456</v>
      </c>
      <c r="H1211" s="4" t="s">
        <v>3467</v>
      </c>
      <c r="I1211" s="5" t="s">
        <v>243</v>
      </c>
      <c r="J1211" s="5" t="s">
        <v>37</v>
      </c>
      <c r="K1211" s="5" t="s">
        <v>37</v>
      </c>
      <c r="L1211" s="5" t="s">
        <v>389</v>
      </c>
      <c r="M1211" s="5" t="s">
        <v>37</v>
      </c>
      <c r="N1211" s="5" t="s">
        <v>37</v>
      </c>
      <c r="O1211" s="5" t="s">
        <v>38</v>
      </c>
      <c r="P1211" s="5" t="s">
        <v>39</v>
      </c>
      <c r="Q1211" s="2">
        <v>45954</v>
      </c>
      <c r="V12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2" spans="1:22">
      <c r="A1212" s="2">
        <v>45935</v>
      </c>
      <c r="B1212" s="1" t="s">
        <v>3468</v>
      </c>
      <c r="C1212" s="1" t="s">
        <v>2931</v>
      </c>
      <c r="D1212" s="1" t="s">
        <v>63</v>
      </c>
      <c r="E1212" s="1">
        <v>85014</v>
      </c>
      <c r="F1212" s="1" t="s">
        <v>310</v>
      </c>
      <c r="G1212" s="1" t="s">
        <v>3456</v>
      </c>
      <c r="H1212" s="4" t="s">
        <v>27</v>
      </c>
      <c r="V12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3" spans="1:22">
      <c r="A1213" s="2">
        <v>45935</v>
      </c>
      <c r="B1213" s="1" t="s">
        <v>3469</v>
      </c>
      <c r="C1213" s="1" t="s">
        <v>1089</v>
      </c>
      <c r="D1213" s="1" t="s">
        <v>3470</v>
      </c>
      <c r="E1213" s="1">
        <v>86324</v>
      </c>
      <c r="F1213" s="1" t="s">
        <v>31</v>
      </c>
      <c r="G1213" s="1" t="s">
        <v>3456</v>
      </c>
      <c r="H1213" s="4" t="s">
        <v>3471</v>
      </c>
      <c r="I1213" s="5" t="s">
        <v>73</v>
      </c>
      <c r="J1213" s="5" t="s">
        <v>37</v>
      </c>
      <c r="K1213" s="5" t="s">
        <v>37</v>
      </c>
      <c r="L1213" s="5" t="s">
        <v>38</v>
      </c>
      <c r="M1213" s="5" t="s">
        <v>37</v>
      </c>
      <c r="N1213" s="5" t="s">
        <v>37</v>
      </c>
      <c r="O1213" s="5" t="s">
        <v>38</v>
      </c>
      <c r="P1213" s="5" t="s">
        <v>39</v>
      </c>
      <c r="Q1213" s="2">
        <v>45954</v>
      </c>
      <c r="R1213" s="1" t="s">
        <v>3415</v>
      </c>
      <c r="V12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4" spans="1:22">
      <c r="A1214" s="2">
        <v>45936</v>
      </c>
      <c r="B1214" s="1" t="s">
        <v>3472</v>
      </c>
      <c r="C1214" s="1" t="s">
        <v>3473</v>
      </c>
      <c r="D1214" s="1" t="s">
        <v>63</v>
      </c>
      <c r="E1214" s="1">
        <v>85024</v>
      </c>
      <c r="F1214" s="1" t="s">
        <v>3474</v>
      </c>
      <c r="G1214" s="1" t="s">
        <v>3456</v>
      </c>
      <c r="H1214" s="4" t="s">
        <v>27</v>
      </c>
      <c r="V121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5" spans="1:22">
      <c r="A1215" s="2">
        <v>45936</v>
      </c>
      <c r="B1215" s="1" t="s">
        <v>3475</v>
      </c>
      <c r="C1215" s="1" t="s">
        <v>1707</v>
      </c>
      <c r="D1215" s="1" t="s">
        <v>24</v>
      </c>
      <c r="E1215" s="1">
        <v>85308</v>
      </c>
      <c r="F1215" s="1" t="s">
        <v>3476</v>
      </c>
      <c r="G1215" s="1" t="s">
        <v>3456</v>
      </c>
      <c r="H1215" s="4" t="s">
        <v>27</v>
      </c>
      <c r="V12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6" spans="1:22">
      <c r="A1216" s="2">
        <v>45937</v>
      </c>
      <c r="B1216" s="1" t="s">
        <v>3477</v>
      </c>
      <c r="C1216" s="1" t="s">
        <v>3478</v>
      </c>
      <c r="D1216" s="1" t="s">
        <v>169</v>
      </c>
      <c r="E1216" s="1">
        <v>85338</v>
      </c>
      <c r="F1216" s="1" t="s">
        <v>3479</v>
      </c>
      <c r="G1216" s="1" t="s">
        <v>3456</v>
      </c>
      <c r="H1216" s="4" t="s">
        <v>3480</v>
      </c>
      <c r="I1216" s="5" t="s">
        <v>541</v>
      </c>
      <c r="J1216" s="5" t="s">
        <v>38</v>
      </c>
      <c r="K1216" s="5" t="s">
        <v>37</v>
      </c>
      <c r="L1216" s="5" t="s">
        <v>389</v>
      </c>
      <c r="M1216" s="5" t="s">
        <v>37</v>
      </c>
      <c r="N1216" s="5" t="s">
        <v>37</v>
      </c>
      <c r="O1216" s="5" t="s">
        <v>38</v>
      </c>
      <c r="P1216" s="5" t="s">
        <v>39</v>
      </c>
      <c r="Q1216" s="2">
        <v>45954</v>
      </c>
      <c r="V12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7" spans="1:22">
      <c r="A1217" s="2">
        <v>45938</v>
      </c>
      <c r="B1217" s="1" t="s">
        <v>3481</v>
      </c>
      <c r="C1217" s="1" t="s">
        <v>3482</v>
      </c>
      <c r="D1217" s="1" t="s">
        <v>112</v>
      </c>
      <c r="E1217" s="1">
        <v>85379</v>
      </c>
      <c r="F1217" s="1" t="s">
        <v>310</v>
      </c>
      <c r="G1217" s="1" t="s">
        <v>3158</v>
      </c>
      <c r="H1217" s="4" t="s">
        <v>90</v>
      </c>
      <c r="V12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8" spans="1:22">
      <c r="A1218" s="2">
        <v>45938</v>
      </c>
      <c r="B1218" s="1" t="s">
        <v>3483</v>
      </c>
      <c r="C1218" s="1" t="s">
        <v>3484</v>
      </c>
      <c r="D1218" s="1" t="s">
        <v>125</v>
      </c>
      <c r="E1218" s="1">
        <v>85258</v>
      </c>
      <c r="F1218" s="1" t="s">
        <v>3485</v>
      </c>
      <c r="G1218" s="1" t="s">
        <v>3158</v>
      </c>
      <c r="H1218" s="4" t="s">
        <v>3486</v>
      </c>
      <c r="I1218" s="5" t="s">
        <v>36</v>
      </c>
      <c r="J1218" s="5" t="s">
        <v>37</v>
      </c>
      <c r="K1218" s="5" t="s">
        <v>37</v>
      </c>
      <c r="L1218" s="5" t="s">
        <v>38</v>
      </c>
      <c r="M1218" s="5" t="s">
        <v>37</v>
      </c>
      <c r="N1218" s="5" t="s">
        <v>37</v>
      </c>
      <c r="O1218" s="5" t="s">
        <v>38</v>
      </c>
      <c r="P1218" s="5" t="s">
        <v>39</v>
      </c>
      <c r="Q1218" s="2">
        <v>45954</v>
      </c>
      <c r="V12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19" spans="1:22">
      <c r="A1219" s="2">
        <v>45938</v>
      </c>
      <c r="B1219" s="1" t="s">
        <v>3487</v>
      </c>
      <c r="C1219" s="1" t="s">
        <v>2040</v>
      </c>
      <c r="D1219" s="1" t="s">
        <v>30</v>
      </c>
      <c r="E1219" s="1" t="s">
        <v>30</v>
      </c>
      <c r="F1219" s="1" t="s">
        <v>3488</v>
      </c>
      <c r="G1219" s="1" t="s">
        <v>3158</v>
      </c>
      <c r="H1219" s="4" t="s">
        <v>3489</v>
      </c>
      <c r="I1219" s="5" t="s">
        <v>57</v>
      </c>
      <c r="J1219" s="5" t="s">
        <v>37</v>
      </c>
      <c r="K1219" s="5" t="s">
        <v>37</v>
      </c>
      <c r="L1219" s="5" t="s">
        <v>3490</v>
      </c>
      <c r="M1219" s="5" t="s">
        <v>37</v>
      </c>
      <c r="N1219" s="5" t="s">
        <v>37</v>
      </c>
      <c r="O1219" s="5" t="s">
        <v>38</v>
      </c>
      <c r="P1219" s="5" t="s">
        <v>39</v>
      </c>
      <c r="Q1219" s="2">
        <v>45954</v>
      </c>
      <c r="V121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0" spans="1:22">
      <c r="A1220" s="2">
        <v>45938</v>
      </c>
      <c r="B1220" s="1" t="s">
        <v>3491</v>
      </c>
      <c r="C1220" s="1" t="s">
        <v>3492</v>
      </c>
      <c r="D1220" s="1" t="s">
        <v>125</v>
      </c>
      <c r="E1220" s="1">
        <v>85258</v>
      </c>
      <c r="F1220" s="1" t="s">
        <v>3493</v>
      </c>
      <c r="G1220" s="1" t="s">
        <v>3494</v>
      </c>
      <c r="H1220" s="4" t="s">
        <v>3495</v>
      </c>
      <c r="I1220" s="5" t="s">
        <v>36</v>
      </c>
      <c r="J1220" s="5" t="s">
        <v>37</v>
      </c>
      <c r="K1220" s="5" t="s">
        <v>37</v>
      </c>
      <c r="L1220" s="5" t="s">
        <v>38</v>
      </c>
      <c r="M1220" s="5" t="s">
        <v>37</v>
      </c>
      <c r="N1220" s="5" t="s">
        <v>37</v>
      </c>
      <c r="O1220" s="5" t="s">
        <v>38</v>
      </c>
      <c r="P1220" s="5" t="s">
        <v>39</v>
      </c>
      <c r="Q1220" s="2">
        <v>45954</v>
      </c>
      <c r="V122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1" spans="1:22">
      <c r="A1221" s="2">
        <v>45938</v>
      </c>
      <c r="B1221" s="1" t="s">
        <v>3496</v>
      </c>
      <c r="C1221" s="1" t="s">
        <v>3497</v>
      </c>
      <c r="D1221" s="1" t="s">
        <v>3498</v>
      </c>
      <c r="E1221" s="1" t="s">
        <v>30</v>
      </c>
      <c r="F1221" s="1" t="s">
        <v>310</v>
      </c>
      <c r="G1221" s="1" t="s">
        <v>3494</v>
      </c>
      <c r="H1221" s="4" t="s">
        <v>27</v>
      </c>
      <c r="R1221" s="1" t="s">
        <v>3499</v>
      </c>
      <c r="V122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2" spans="1:22">
      <c r="A1222" s="2">
        <v>45938</v>
      </c>
      <c r="B1222" s="1" t="s">
        <v>3500</v>
      </c>
      <c r="C1222" s="1" t="s">
        <v>3497</v>
      </c>
      <c r="D1222" s="1" t="s">
        <v>3498</v>
      </c>
      <c r="E1222" s="1" t="s">
        <v>30</v>
      </c>
      <c r="F1222" s="1" t="s">
        <v>310</v>
      </c>
      <c r="G1222" s="1" t="s">
        <v>3494</v>
      </c>
      <c r="H1222" s="4" t="s">
        <v>27</v>
      </c>
      <c r="R1222" s="1" t="s">
        <v>3499</v>
      </c>
      <c r="V122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3" spans="1:22">
      <c r="A1223" s="2">
        <v>45938</v>
      </c>
      <c r="B1223" s="1" t="s">
        <v>447</v>
      </c>
      <c r="C1223" s="1" t="s">
        <v>1223</v>
      </c>
      <c r="D1223" s="1" t="s">
        <v>3501</v>
      </c>
      <c r="E1223" s="1">
        <v>85541</v>
      </c>
      <c r="F1223" s="1" t="s">
        <v>3502</v>
      </c>
      <c r="G1223" s="1" t="s">
        <v>3494</v>
      </c>
      <c r="H1223" s="4" t="s">
        <v>3503</v>
      </c>
      <c r="I1223" s="5" t="s">
        <v>73</v>
      </c>
      <c r="J1223" s="5" t="s">
        <v>37</v>
      </c>
      <c r="K1223" s="5" t="s">
        <v>37</v>
      </c>
      <c r="L1223" s="5" t="s">
        <v>38</v>
      </c>
      <c r="M1223" s="5" t="s">
        <v>37</v>
      </c>
      <c r="N1223" s="5" t="s">
        <v>37</v>
      </c>
      <c r="O1223" s="5" t="s">
        <v>38</v>
      </c>
      <c r="P1223" s="5" t="s">
        <v>39</v>
      </c>
      <c r="Q1223" s="2">
        <v>45954</v>
      </c>
      <c r="V122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4" spans="1:22">
      <c r="A1224" s="2">
        <v>45938</v>
      </c>
      <c r="B1224" s="1" t="s">
        <v>3497</v>
      </c>
      <c r="C1224" s="1" t="s">
        <v>3500</v>
      </c>
      <c r="D1224" s="1" t="s">
        <v>3498</v>
      </c>
      <c r="E1224" s="1" t="s">
        <v>30</v>
      </c>
      <c r="F1224" s="1" t="s">
        <v>310</v>
      </c>
      <c r="G1224" s="1" t="s">
        <v>3494</v>
      </c>
      <c r="H1224" s="4" t="s">
        <v>27</v>
      </c>
      <c r="R1224" s="1" t="s">
        <v>3499</v>
      </c>
      <c r="V122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5" spans="1:22">
      <c r="A1225" s="2">
        <v>45938</v>
      </c>
      <c r="B1225" s="1" t="s">
        <v>3497</v>
      </c>
      <c r="C1225" s="1" t="s">
        <v>3500</v>
      </c>
      <c r="D1225" s="1" t="s">
        <v>3498</v>
      </c>
      <c r="E1225" s="1" t="s">
        <v>30</v>
      </c>
      <c r="F1225" s="1" t="s">
        <v>310</v>
      </c>
      <c r="G1225" s="1" t="s">
        <v>3494</v>
      </c>
      <c r="H1225" s="4" t="s">
        <v>27</v>
      </c>
      <c r="R1225" s="1" t="s">
        <v>3499</v>
      </c>
      <c r="V122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6" spans="1:22">
      <c r="A1226" s="2">
        <v>45938</v>
      </c>
      <c r="B1226" s="1" t="s">
        <v>3497</v>
      </c>
      <c r="C1226" s="1" t="s">
        <v>3504</v>
      </c>
      <c r="D1226" s="1" t="s">
        <v>3498</v>
      </c>
      <c r="E1226" s="1" t="s">
        <v>30</v>
      </c>
      <c r="F1226" s="1" t="s">
        <v>310</v>
      </c>
      <c r="G1226" s="1" t="s">
        <v>3494</v>
      </c>
      <c r="H1226" s="4" t="s">
        <v>27</v>
      </c>
      <c r="R1226" s="1" t="s">
        <v>3499</v>
      </c>
      <c r="V122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7" spans="1:22">
      <c r="A1227" s="2">
        <v>45939</v>
      </c>
      <c r="B1227" s="1" t="s">
        <v>3505</v>
      </c>
      <c r="C1227" s="1" t="s">
        <v>3506</v>
      </c>
      <c r="D1227" s="1" t="s">
        <v>202</v>
      </c>
      <c r="E1227" s="1">
        <v>85382</v>
      </c>
      <c r="F1227" s="1" t="s">
        <v>3507</v>
      </c>
      <c r="G1227" s="1" t="s">
        <v>3494</v>
      </c>
      <c r="H1227" s="4" t="s">
        <v>3508</v>
      </c>
      <c r="I1227" s="5" t="s">
        <v>36</v>
      </c>
      <c r="J1227" s="5" t="s">
        <v>37</v>
      </c>
      <c r="K1227" s="5" t="s">
        <v>37</v>
      </c>
      <c r="L1227" s="5" t="s">
        <v>38</v>
      </c>
      <c r="M1227" s="5" t="s">
        <v>37</v>
      </c>
      <c r="N1227" s="5" t="s">
        <v>37</v>
      </c>
      <c r="O1227" s="5" t="s">
        <v>38</v>
      </c>
      <c r="P1227" s="5" t="s">
        <v>39</v>
      </c>
      <c r="Q1227" s="2">
        <v>45954</v>
      </c>
      <c r="V122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8" spans="1:22">
      <c r="A1228" s="2">
        <v>45939</v>
      </c>
      <c r="B1228" s="1" t="s">
        <v>3509</v>
      </c>
      <c r="C1228" s="1" t="s">
        <v>801</v>
      </c>
      <c r="D1228" s="1" t="s">
        <v>63</v>
      </c>
      <c r="E1228" s="1">
        <v>85050</v>
      </c>
      <c r="F1228" s="1" t="s">
        <v>3510</v>
      </c>
      <c r="G1228" s="1" t="s">
        <v>3494</v>
      </c>
      <c r="H1228" s="4" t="s">
        <v>90</v>
      </c>
      <c r="V122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29" spans="1:22">
      <c r="A1229" s="2">
        <v>45940</v>
      </c>
      <c r="B1229" s="1" t="s">
        <v>3511</v>
      </c>
      <c r="C1229" s="1" t="s">
        <v>135</v>
      </c>
      <c r="D1229" s="1" t="s">
        <v>169</v>
      </c>
      <c r="E1229" s="1">
        <v>85338</v>
      </c>
      <c r="F1229" s="1" t="s">
        <v>2251</v>
      </c>
      <c r="G1229" s="8" t="s">
        <v>3512</v>
      </c>
      <c r="H1229" s="4" t="s">
        <v>27</v>
      </c>
      <c r="V122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0" spans="1:22">
      <c r="A1230" s="2">
        <v>45940</v>
      </c>
      <c r="B1230" s="1" t="s">
        <v>91</v>
      </c>
      <c r="C1230" s="1" t="s">
        <v>3513</v>
      </c>
      <c r="D1230" s="1" t="s">
        <v>93</v>
      </c>
      <c r="E1230" s="1">
        <v>85351</v>
      </c>
      <c r="F1230" s="1" t="s">
        <v>3514</v>
      </c>
      <c r="G1230" s="8" t="s">
        <v>3512</v>
      </c>
      <c r="H1230" s="4" t="s">
        <v>3515</v>
      </c>
      <c r="I1230" s="5" t="s">
        <v>73</v>
      </c>
      <c r="J1230" s="5" t="s">
        <v>37</v>
      </c>
      <c r="K1230" s="5" t="s">
        <v>37</v>
      </c>
      <c r="L1230" s="5" t="s">
        <v>38</v>
      </c>
      <c r="M1230" s="5" t="s">
        <v>37</v>
      </c>
      <c r="N1230" s="5" t="s">
        <v>37</v>
      </c>
      <c r="O1230" s="5" t="s">
        <v>38</v>
      </c>
      <c r="P1230" s="5" t="s">
        <v>39</v>
      </c>
      <c r="Q1230" s="2">
        <v>45954</v>
      </c>
      <c r="R1230" s="1" t="s">
        <v>3516</v>
      </c>
      <c r="V123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1" spans="1:22">
      <c r="A1231" s="2">
        <v>45940</v>
      </c>
      <c r="B1231" s="1" t="s">
        <v>3517</v>
      </c>
      <c r="C1231" s="1" t="s">
        <v>1729</v>
      </c>
      <c r="D1231" s="1" t="s">
        <v>2429</v>
      </c>
      <c r="E1231" s="1">
        <v>85132</v>
      </c>
      <c r="F1231" s="1" t="s">
        <v>3518</v>
      </c>
      <c r="G1231" s="8" t="s">
        <v>3512</v>
      </c>
      <c r="H1231" s="4" t="s">
        <v>3519</v>
      </c>
      <c r="I1231" s="5" t="s">
        <v>250</v>
      </c>
      <c r="J1231" s="5" t="s">
        <v>37</v>
      </c>
      <c r="K1231" s="5" t="s">
        <v>37</v>
      </c>
      <c r="L1231" s="5" t="s">
        <v>38</v>
      </c>
      <c r="M1231" s="5" t="s">
        <v>37</v>
      </c>
      <c r="N1231" s="5" t="s">
        <v>37</v>
      </c>
      <c r="O1231" s="5" t="s">
        <v>38</v>
      </c>
      <c r="P1231" s="5" t="s">
        <v>39</v>
      </c>
      <c r="Q1231" s="2">
        <v>45954</v>
      </c>
      <c r="V123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2" spans="1:22">
      <c r="A1232" s="2">
        <v>45940</v>
      </c>
      <c r="B1232" s="1" t="s">
        <v>3520</v>
      </c>
      <c r="C1232" s="1" t="s">
        <v>420</v>
      </c>
      <c r="D1232" s="1" t="s">
        <v>539</v>
      </c>
      <c r="E1232" s="1">
        <v>85122</v>
      </c>
      <c r="F1232" s="1" t="s">
        <v>3521</v>
      </c>
      <c r="G1232" s="8" t="s">
        <v>3512</v>
      </c>
      <c r="H1232" s="4" t="s">
        <v>3522</v>
      </c>
      <c r="I1232" s="5" t="s">
        <v>36</v>
      </c>
      <c r="J1232" s="5" t="s">
        <v>37</v>
      </c>
      <c r="K1232" s="5" t="s">
        <v>37</v>
      </c>
      <c r="L1232" s="5" t="s">
        <v>38</v>
      </c>
      <c r="M1232" s="5" t="s">
        <v>37</v>
      </c>
      <c r="N1232" s="5" t="s">
        <v>37</v>
      </c>
      <c r="O1232" s="5" t="s">
        <v>38</v>
      </c>
      <c r="P1232" s="5" t="s">
        <v>39</v>
      </c>
      <c r="Q1232" s="2">
        <v>45954</v>
      </c>
      <c r="R1232" s="1" t="s">
        <v>3523</v>
      </c>
      <c r="V123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3" spans="1:22">
      <c r="A1233" s="2">
        <v>45940</v>
      </c>
      <c r="B1233" s="1" t="s">
        <v>3520</v>
      </c>
      <c r="C1233" s="1" t="s">
        <v>597</v>
      </c>
      <c r="D1233" s="1" t="s">
        <v>539</v>
      </c>
      <c r="E1233" s="1">
        <v>85122</v>
      </c>
      <c r="F1233" s="1" t="s">
        <v>3524</v>
      </c>
      <c r="G1233" s="8" t="s">
        <v>3512</v>
      </c>
      <c r="H1233" s="4" t="s">
        <v>3522</v>
      </c>
      <c r="I1233" s="5" t="s">
        <v>36</v>
      </c>
      <c r="J1233" s="5" t="s">
        <v>37</v>
      </c>
      <c r="K1233" s="5" t="s">
        <v>37</v>
      </c>
      <c r="L1233" s="5" t="s">
        <v>38</v>
      </c>
      <c r="M1233" s="5" t="s">
        <v>37</v>
      </c>
      <c r="N1233" s="5" t="s">
        <v>37</v>
      </c>
      <c r="O1233" s="5" t="s">
        <v>38</v>
      </c>
      <c r="P1233" s="5" t="s">
        <v>39</v>
      </c>
      <c r="Q1233" s="2">
        <v>45954</v>
      </c>
      <c r="R1233" s="1" t="s">
        <v>3523</v>
      </c>
      <c r="V123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4" spans="1:22">
      <c r="A1234" s="2">
        <v>45940</v>
      </c>
      <c r="B1234" s="1" t="s">
        <v>1134</v>
      </c>
      <c r="C1234" s="1" t="s">
        <v>312</v>
      </c>
      <c r="D1234" s="1" t="s">
        <v>24</v>
      </c>
      <c r="E1234" s="1">
        <v>85308</v>
      </c>
      <c r="F1234" s="1" t="s">
        <v>3525</v>
      </c>
      <c r="G1234" s="8" t="s">
        <v>3512</v>
      </c>
      <c r="H1234" s="4" t="s">
        <v>27</v>
      </c>
      <c r="V123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5" spans="1:22">
      <c r="A1235" s="23">
        <v>45942</v>
      </c>
      <c r="B1235" s="1" t="s">
        <v>3526</v>
      </c>
      <c r="C1235" s="1" t="s">
        <v>145</v>
      </c>
      <c r="D1235" s="1" t="s">
        <v>539</v>
      </c>
      <c r="E1235" s="1">
        <v>85122</v>
      </c>
      <c r="F1235" s="1" t="s">
        <v>3527</v>
      </c>
      <c r="G1235" s="8" t="s">
        <v>3512</v>
      </c>
      <c r="H1235" s="4" t="s">
        <v>3528</v>
      </c>
      <c r="I1235" s="5" t="s">
        <v>36</v>
      </c>
      <c r="J1235" s="5" t="s">
        <v>37</v>
      </c>
      <c r="K1235" s="5" t="s">
        <v>37</v>
      </c>
      <c r="L1235" s="5" t="s">
        <v>38</v>
      </c>
      <c r="M1235" s="5" t="s">
        <v>37</v>
      </c>
      <c r="N1235" s="5" t="s">
        <v>37</v>
      </c>
      <c r="O1235" s="5" t="s">
        <v>38</v>
      </c>
      <c r="P1235" s="5" t="s">
        <v>39</v>
      </c>
      <c r="Q1235" s="2">
        <v>45954</v>
      </c>
      <c r="V123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6" spans="1:22">
      <c r="A1236" s="2">
        <v>45939</v>
      </c>
      <c r="B1236" s="1" t="s">
        <v>3529</v>
      </c>
      <c r="C1236" s="1" t="s">
        <v>3530</v>
      </c>
      <c r="D1236" s="1" t="s">
        <v>63</v>
      </c>
      <c r="E1236" s="1">
        <v>85050</v>
      </c>
      <c r="F1236" s="1" t="s">
        <v>3531</v>
      </c>
      <c r="G1236" s="32" t="s">
        <v>3512</v>
      </c>
      <c r="H1236" s="4" t="s">
        <v>3532</v>
      </c>
      <c r="I1236" s="5" t="s">
        <v>3533</v>
      </c>
      <c r="J1236" s="5" t="s">
        <v>37</v>
      </c>
      <c r="K1236" s="5" t="s">
        <v>37</v>
      </c>
      <c r="L1236" s="5" t="s">
        <v>389</v>
      </c>
      <c r="M1236" s="5" t="s">
        <v>37</v>
      </c>
      <c r="N1236" s="5" t="s">
        <v>37</v>
      </c>
      <c r="O1236" s="5" t="s">
        <v>38</v>
      </c>
      <c r="P1236" s="5" t="s">
        <v>39</v>
      </c>
      <c r="Q1236" s="2">
        <v>45954</v>
      </c>
      <c r="V123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7" spans="1:22">
      <c r="A1237" s="2">
        <v>45940</v>
      </c>
      <c r="B1237" s="1" t="s">
        <v>3534</v>
      </c>
      <c r="C1237" s="1" t="s">
        <v>2772</v>
      </c>
      <c r="D1237" s="1" t="s">
        <v>2542</v>
      </c>
      <c r="E1237" s="1">
        <v>86325</v>
      </c>
      <c r="F1237" s="1" t="s">
        <v>3535</v>
      </c>
      <c r="G1237" s="8" t="s">
        <v>3512</v>
      </c>
      <c r="H1237" s="4" t="s">
        <v>3536</v>
      </c>
      <c r="I1237" s="5" t="s">
        <v>73</v>
      </c>
      <c r="J1237" s="5" t="s">
        <v>38</v>
      </c>
      <c r="K1237" s="5" t="s">
        <v>37</v>
      </c>
      <c r="L1237" s="5" t="s">
        <v>1420</v>
      </c>
      <c r="M1237" s="5" t="s">
        <v>37</v>
      </c>
      <c r="N1237" s="5" t="s">
        <v>37</v>
      </c>
      <c r="O1237" s="5" t="s">
        <v>38</v>
      </c>
      <c r="P1237" s="5" t="s">
        <v>39</v>
      </c>
      <c r="Q1237" s="2">
        <v>45954</v>
      </c>
      <c r="R1237" s="1" t="s">
        <v>3537</v>
      </c>
      <c r="V123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8" spans="1:22">
      <c r="A1238" s="2">
        <v>45940</v>
      </c>
      <c r="B1238" s="1" t="s">
        <v>2175</v>
      </c>
      <c r="C1238" s="1" t="s">
        <v>1815</v>
      </c>
      <c r="D1238" s="1" t="s">
        <v>3538</v>
      </c>
      <c r="E1238" s="1">
        <v>85741</v>
      </c>
      <c r="F1238" s="1" t="s">
        <v>3531</v>
      </c>
      <c r="G1238" s="8" t="s">
        <v>3512</v>
      </c>
      <c r="H1238" s="4" t="s">
        <v>27</v>
      </c>
      <c r="V123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39" spans="1:22">
      <c r="A1239" s="2">
        <v>45940</v>
      </c>
      <c r="B1239" s="1" t="s">
        <v>3539</v>
      </c>
      <c r="C1239" s="1" t="s">
        <v>3540</v>
      </c>
      <c r="D1239" s="1" t="s">
        <v>3538</v>
      </c>
      <c r="E1239" s="1">
        <v>85712</v>
      </c>
      <c r="F1239" s="1" t="s">
        <v>3531</v>
      </c>
      <c r="G1239" s="8" t="s">
        <v>3512</v>
      </c>
      <c r="H1239" s="4" t="s">
        <v>27</v>
      </c>
      <c r="V123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0" spans="1:22">
      <c r="A1240" s="2">
        <v>45940</v>
      </c>
      <c r="B1240" s="1" t="s">
        <v>3541</v>
      </c>
      <c r="C1240" s="1" t="s">
        <v>3542</v>
      </c>
      <c r="D1240" s="1" t="s">
        <v>63</v>
      </c>
      <c r="E1240" s="1">
        <v>85029</v>
      </c>
      <c r="F1240" s="1" t="s">
        <v>3531</v>
      </c>
      <c r="G1240" s="8" t="s">
        <v>3512</v>
      </c>
      <c r="H1240" s="4" t="s">
        <v>3543</v>
      </c>
      <c r="I1240" s="5" t="s">
        <v>418</v>
      </c>
      <c r="J1240" s="5" t="s">
        <v>37</v>
      </c>
      <c r="K1240" s="5" t="s">
        <v>37</v>
      </c>
      <c r="L1240" s="5" t="s">
        <v>389</v>
      </c>
      <c r="M1240" s="13" t="s">
        <v>38</v>
      </c>
      <c r="N1240" s="13">
        <v>288.29000000000002</v>
      </c>
      <c r="O1240" s="5" t="s">
        <v>38</v>
      </c>
      <c r="P1240" s="5" t="s">
        <v>39</v>
      </c>
      <c r="Q1240" s="2">
        <v>45954</v>
      </c>
      <c r="V124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1" spans="1:22">
      <c r="A1241" s="2">
        <v>45940</v>
      </c>
      <c r="B1241" s="1" t="s">
        <v>3544</v>
      </c>
      <c r="C1241" s="1" t="s">
        <v>3023</v>
      </c>
      <c r="D1241" s="1" t="s">
        <v>93</v>
      </c>
      <c r="E1241" s="1">
        <v>85373</v>
      </c>
      <c r="F1241" s="1" t="s">
        <v>3531</v>
      </c>
      <c r="G1241" s="8" t="s">
        <v>3512</v>
      </c>
      <c r="H1241" s="4" t="s">
        <v>3545</v>
      </c>
      <c r="I1241" s="5" t="s">
        <v>57</v>
      </c>
      <c r="J1241" s="5" t="s">
        <v>38</v>
      </c>
      <c r="K1241" s="5" t="s">
        <v>37</v>
      </c>
      <c r="L1241" s="7" t="s">
        <v>3546</v>
      </c>
      <c r="M1241" s="5" t="s">
        <v>37</v>
      </c>
      <c r="N1241" s="5" t="s">
        <v>37</v>
      </c>
      <c r="O1241" s="5" t="s">
        <v>38</v>
      </c>
      <c r="P1241" s="2">
        <v>45945</v>
      </c>
      <c r="Q1241" s="2">
        <v>45954</v>
      </c>
      <c r="R1241" s="1" t="s">
        <v>2440</v>
      </c>
      <c r="V124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2" spans="1:22">
      <c r="A1242" s="2">
        <v>45940</v>
      </c>
      <c r="B1242" s="1" t="s">
        <v>3547</v>
      </c>
      <c r="C1242" s="1" t="s">
        <v>3548</v>
      </c>
      <c r="D1242" s="1" t="s">
        <v>68</v>
      </c>
      <c r="E1242" s="1">
        <v>85331</v>
      </c>
      <c r="F1242" s="1" t="s">
        <v>3531</v>
      </c>
      <c r="G1242" s="8" t="s">
        <v>3512</v>
      </c>
      <c r="H1242" s="4" t="s">
        <v>3549</v>
      </c>
      <c r="I1242" s="5" t="s">
        <v>46</v>
      </c>
      <c r="J1242" s="5" t="s">
        <v>37</v>
      </c>
      <c r="K1242" s="5" t="s">
        <v>37</v>
      </c>
      <c r="L1242" s="5" t="s">
        <v>401</v>
      </c>
      <c r="M1242" s="5" t="s">
        <v>37</v>
      </c>
      <c r="N1242" s="5" t="s">
        <v>37</v>
      </c>
      <c r="O1242" s="5" t="s">
        <v>38</v>
      </c>
      <c r="P1242" s="5" t="s">
        <v>39</v>
      </c>
      <c r="Q1242" s="2">
        <v>45954</v>
      </c>
      <c r="R1242" s="1" t="s">
        <v>3550</v>
      </c>
      <c r="V124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3" spans="1:22">
      <c r="A1243" s="2">
        <v>45940</v>
      </c>
      <c r="B1243" s="1" t="s">
        <v>3551</v>
      </c>
      <c r="C1243" s="1" t="s">
        <v>307</v>
      </c>
      <c r="D1243" s="1" t="s">
        <v>63</v>
      </c>
      <c r="E1243" s="1">
        <v>85050</v>
      </c>
      <c r="F1243" s="1" t="s">
        <v>3531</v>
      </c>
      <c r="G1243" s="8" t="s">
        <v>3512</v>
      </c>
      <c r="H1243" s="4" t="s">
        <v>3552</v>
      </c>
      <c r="I1243" s="5" t="s">
        <v>541</v>
      </c>
      <c r="J1243" s="5" t="s">
        <v>37</v>
      </c>
      <c r="K1243" s="5" t="s">
        <v>37</v>
      </c>
      <c r="L1243" s="5" t="s">
        <v>389</v>
      </c>
      <c r="M1243" s="5" t="s">
        <v>37</v>
      </c>
      <c r="N1243" s="5" t="s">
        <v>37</v>
      </c>
      <c r="O1243" s="5" t="s">
        <v>38</v>
      </c>
      <c r="P1243" s="5" t="s">
        <v>39</v>
      </c>
      <c r="Q1243" s="2">
        <v>45954</v>
      </c>
      <c r="V124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4" spans="1:22">
      <c r="A1244" s="2">
        <v>45940</v>
      </c>
      <c r="B1244" s="1" t="s">
        <v>3553</v>
      </c>
      <c r="C1244" s="1" t="s">
        <v>3554</v>
      </c>
      <c r="D1244" s="1" t="s">
        <v>125</v>
      </c>
      <c r="E1244" s="1">
        <v>85254</v>
      </c>
      <c r="F1244" s="1" t="s">
        <v>3531</v>
      </c>
      <c r="G1244" s="8" t="s">
        <v>3512</v>
      </c>
      <c r="H1244" s="4" t="s">
        <v>3555</v>
      </c>
      <c r="I1244" s="5" t="s">
        <v>196</v>
      </c>
      <c r="J1244" s="5" t="s">
        <v>37</v>
      </c>
      <c r="K1244" s="5" t="s">
        <v>37</v>
      </c>
      <c r="L1244" s="7" t="s">
        <v>3556</v>
      </c>
      <c r="M1244" s="5" t="s">
        <v>38</v>
      </c>
      <c r="N1244" s="13">
        <v>2463.12</v>
      </c>
      <c r="O1244" s="5" t="s">
        <v>38</v>
      </c>
      <c r="P1244" s="2">
        <v>45945</v>
      </c>
      <c r="Q1244" s="2">
        <v>45954</v>
      </c>
      <c r="R1244" s="1" t="s">
        <v>3557</v>
      </c>
      <c r="V124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5" spans="1:22">
      <c r="A1245" s="2">
        <v>45940</v>
      </c>
      <c r="B1245" s="1" t="s">
        <v>3558</v>
      </c>
      <c r="C1245" s="1" t="s">
        <v>3559</v>
      </c>
      <c r="D1245" s="1" t="s">
        <v>30</v>
      </c>
      <c r="E1245" s="1" t="s">
        <v>30</v>
      </c>
      <c r="F1245" s="1" t="s">
        <v>3560</v>
      </c>
      <c r="G1245" s="8" t="s">
        <v>3512</v>
      </c>
      <c r="H1245" s="4" t="s">
        <v>27</v>
      </c>
      <c r="V124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6" spans="1:22">
      <c r="A1246" s="2">
        <v>45944</v>
      </c>
      <c r="B1246" s="1" t="s">
        <v>3561</v>
      </c>
      <c r="C1246" s="1" t="s">
        <v>481</v>
      </c>
      <c r="D1246" s="1" t="s">
        <v>30</v>
      </c>
      <c r="E1246" s="1" t="s">
        <v>30</v>
      </c>
      <c r="F1246" s="1" t="s">
        <v>3562</v>
      </c>
      <c r="G1246" s="1" t="s">
        <v>3563</v>
      </c>
      <c r="H1246" s="4" t="s">
        <v>209</v>
      </c>
      <c r="V124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7" spans="1:22">
      <c r="A1247" s="2">
        <v>45944</v>
      </c>
      <c r="B1247" s="1" t="s">
        <v>3564</v>
      </c>
      <c r="C1247" s="1" t="s">
        <v>3565</v>
      </c>
      <c r="D1247" s="1" t="s">
        <v>63</v>
      </c>
      <c r="E1247" s="1">
        <v>85032</v>
      </c>
      <c r="F1247" s="1" t="s">
        <v>3531</v>
      </c>
      <c r="G1247" s="1" t="s">
        <v>3563</v>
      </c>
      <c r="H1247" s="4" t="s">
        <v>3566</v>
      </c>
      <c r="I1247" s="5" t="s">
        <v>36</v>
      </c>
      <c r="J1247" s="5" t="s">
        <v>37</v>
      </c>
      <c r="K1247" s="5" t="s">
        <v>37</v>
      </c>
      <c r="L1247" s="5" t="s">
        <v>1586</v>
      </c>
      <c r="M1247" s="5" t="s">
        <v>37</v>
      </c>
      <c r="N1247" s="5" t="s">
        <v>37</v>
      </c>
      <c r="O1247" s="5" t="s">
        <v>38</v>
      </c>
      <c r="P1247" s="5" t="s">
        <v>39</v>
      </c>
      <c r="Q1247" s="2">
        <v>45954</v>
      </c>
      <c r="V124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8" spans="1:22">
      <c r="A1248" s="2">
        <v>45944</v>
      </c>
      <c r="B1248" s="1" t="s">
        <v>3567</v>
      </c>
      <c r="C1248" s="1" t="s">
        <v>3568</v>
      </c>
      <c r="D1248" s="1" t="s">
        <v>93</v>
      </c>
      <c r="E1248" s="1">
        <v>85351</v>
      </c>
      <c r="F1248" s="1" t="s">
        <v>3569</v>
      </c>
      <c r="G1248" s="1" t="s">
        <v>3563</v>
      </c>
      <c r="H1248" s="4" t="s">
        <v>3570</v>
      </c>
      <c r="I1248" s="5" t="s">
        <v>36</v>
      </c>
      <c r="J1248" s="5" t="s">
        <v>37</v>
      </c>
      <c r="K1248" s="5" t="s">
        <v>37</v>
      </c>
      <c r="L1248" s="5" t="s">
        <v>1586</v>
      </c>
      <c r="M1248" s="5" t="s">
        <v>37</v>
      </c>
      <c r="N1248" s="5" t="s">
        <v>37</v>
      </c>
      <c r="O1248" s="5" t="s">
        <v>38</v>
      </c>
      <c r="P1248" s="5" t="s">
        <v>39</v>
      </c>
      <c r="Q1248" s="2">
        <v>45954</v>
      </c>
      <c r="V124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49" spans="1:22">
      <c r="A1249" s="2">
        <v>45944</v>
      </c>
      <c r="B1249" s="1" t="s">
        <v>3571</v>
      </c>
      <c r="C1249" s="1" t="s">
        <v>3540</v>
      </c>
      <c r="D1249" s="1" t="s">
        <v>93</v>
      </c>
      <c r="E1249" s="1">
        <v>85351</v>
      </c>
      <c r="F1249" s="1" t="s">
        <v>3569</v>
      </c>
      <c r="G1249" s="1" t="s">
        <v>3563</v>
      </c>
      <c r="H1249" s="4" t="s">
        <v>3570</v>
      </c>
      <c r="I1249" s="5" t="s">
        <v>36</v>
      </c>
      <c r="J1249" s="5" t="s">
        <v>37</v>
      </c>
      <c r="K1249" s="5" t="s">
        <v>37</v>
      </c>
      <c r="L1249" s="5" t="s">
        <v>1586</v>
      </c>
      <c r="M1249" s="5" t="s">
        <v>37</v>
      </c>
      <c r="N1249" s="5" t="s">
        <v>37</v>
      </c>
      <c r="O1249" s="5" t="s">
        <v>38</v>
      </c>
      <c r="P1249" s="5" t="s">
        <v>39</v>
      </c>
      <c r="Q1249" s="2">
        <v>45954</v>
      </c>
      <c r="V124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0" spans="1:22">
      <c r="A1250" s="2">
        <v>45944</v>
      </c>
      <c r="B1250" s="1" t="s">
        <v>3534</v>
      </c>
      <c r="C1250" s="1" t="s">
        <v>2772</v>
      </c>
      <c r="D1250" s="1" t="s">
        <v>2542</v>
      </c>
      <c r="E1250" s="1">
        <v>86325</v>
      </c>
      <c r="F1250" s="1" t="s">
        <v>3572</v>
      </c>
      <c r="G1250" s="1" t="s">
        <v>3563</v>
      </c>
      <c r="H1250" s="4" t="s">
        <v>3536</v>
      </c>
      <c r="I1250" s="5" t="s">
        <v>73</v>
      </c>
      <c r="J1250" s="5" t="s">
        <v>38</v>
      </c>
      <c r="K1250" s="5" t="s">
        <v>37</v>
      </c>
      <c r="L1250" s="5" t="s">
        <v>1420</v>
      </c>
      <c r="M1250" s="5" t="s">
        <v>37</v>
      </c>
      <c r="N1250" s="5" t="s">
        <v>37</v>
      </c>
      <c r="O1250" s="5" t="s">
        <v>38</v>
      </c>
      <c r="P1250" s="5" t="s">
        <v>39</v>
      </c>
      <c r="Q1250" s="2">
        <v>45954</v>
      </c>
      <c r="R1250" s="1" t="s">
        <v>3537</v>
      </c>
      <c r="V125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1" spans="1:22">
      <c r="A1251" s="2">
        <v>45944</v>
      </c>
      <c r="B1251" s="1" t="s">
        <v>2594</v>
      </c>
      <c r="C1251" s="1" t="s">
        <v>3040</v>
      </c>
      <c r="D1251" s="1" t="s">
        <v>63</v>
      </c>
      <c r="E1251" s="1">
        <v>85041</v>
      </c>
      <c r="F1251" s="1" t="s">
        <v>3531</v>
      </c>
      <c r="G1251" s="1" t="s">
        <v>3563</v>
      </c>
      <c r="H1251" s="4" t="s">
        <v>27</v>
      </c>
      <c r="V125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2" spans="1:22">
      <c r="A1252" s="2">
        <v>45945</v>
      </c>
      <c r="B1252" s="1" t="s">
        <v>3573</v>
      </c>
      <c r="C1252" s="1" t="s">
        <v>184</v>
      </c>
      <c r="D1252" s="1" t="s">
        <v>2265</v>
      </c>
      <c r="E1252" s="1">
        <v>85603</v>
      </c>
      <c r="F1252" s="1" t="s">
        <v>3574</v>
      </c>
      <c r="G1252" s="1" t="s">
        <v>3575</v>
      </c>
      <c r="H1252" s="4" t="s">
        <v>3576</v>
      </c>
      <c r="I1252" s="5" t="s">
        <v>196</v>
      </c>
      <c r="J1252" s="5" t="s">
        <v>37</v>
      </c>
      <c r="K1252" s="5" t="s">
        <v>37</v>
      </c>
      <c r="L1252" s="7" t="s">
        <v>3577</v>
      </c>
      <c r="M1252" s="5" t="s">
        <v>37</v>
      </c>
      <c r="N1252" s="5" t="s">
        <v>37</v>
      </c>
      <c r="O1252" s="5" t="s">
        <v>38</v>
      </c>
      <c r="P1252" s="2">
        <v>45947</v>
      </c>
      <c r="Q1252" s="2">
        <v>45954</v>
      </c>
      <c r="R1252" s="1" t="s">
        <v>3578</v>
      </c>
      <c r="V125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3" spans="1:22">
      <c r="A1253" s="2">
        <v>45944</v>
      </c>
      <c r="B1253" s="1" t="s">
        <v>3579</v>
      </c>
      <c r="C1253" s="1" t="s">
        <v>747</v>
      </c>
      <c r="D1253" s="1" t="s">
        <v>63</v>
      </c>
      <c r="E1253" s="1">
        <v>85032</v>
      </c>
      <c r="F1253" s="1" t="s">
        <v>3531</v>
      </c>
      <c r="G1253" s="1" t="s">
        <v>3580</v>
      </c>
      <c r="H1253" s="4" t="s">
        <v>3581</v>
      </c>
      <c r="I1253" s="5" t="s">
        <v>196</v>
      </c>
      <c r="J1253" s="5" t="s">
        <v>37</v>
      </c>
      <c r="L1253" s="5" t="s">
        <v>3582</v>
      </c>
      <c r="O1253" s="5" t="s">
        <v>38</v>
      </c>
      <c r="P1253" s="5" t="s">
        <v>39</v>
      </c>
      <c r="R1253" s="1" t="s">
        <v>3583</v>
      </c>
      <c r="V125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4" spans="1:22">
      <c r="A1254" s="2">
        <v>45944</v>
      </c>
      <c r="B1254" s="1" t="s">
        <v>3584</v>
      </c>
      <c r="C1254" s="1" t="s">
        <v>685</v>
      </c>
      <c r="D1254" s="1" t="s">
        <v>63</v>
      </c>
      <c r="E1254" s="1">
        <v>85015</v>
      </c>
      <c r="F1254" s="1" t="s">
        <v>3531</v>
      </c>
      <c r="G1254" s="1" t="s">
        <v>3580</v>
      </c>
      <c r="H1254" s="4" t="s">
        <v>3585</v>
      </c>
      <c r="I1254" s="5" t="s">
        <v>57</v>
      </c>
      <c r="J1254" s="5" t="s">
        <v>37</v>
      </c>
      <c r="K1254" s="5" t="s">
        <v>37</v>
      </c>
      <c r="L1254" s="7" t="s">
        <v>3586</v>
      </c>
      <c r="M1254" s="5" t="s">
        <v>37</v>
      </c>
      <c r="N1254" s="5" t="s">
        <v>37</v>
      </c>
      <c r="O1254" s="5" t="s">
        <v>38</v>
      </c>
      <c r="P1254" s="2">
        <v>45947</v>
      </c>
      <c r="Q1254" s="2">
        <v>45954</v>
      </c>
      <c r="R1254" s="1" t="s">
        <v>3587</v>
      </c>
      <c r="V125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5" spans="1:22">
      <c r="A1255" s="2">
        <v>45944</v>
      </c>
      <c r="B1255" s="1" t="s">
        <v>3588</v>
      </c>
      <c r="C1255" s="1" t="s">
        <v>548</v>
      </c>
      <c r="D1255" s="1" t="s">
        <v>3589</v>
      </c>
      <c r="E1255" s="1">
        <v>85602</v>
      </c>
      <c r="F1255" s="1" t="s">
        <v>3531</v>
      </c>
      <c r="G1255" s="1" t="s">
        <v>3580</v>
      </c>
      <c r="H1255" s="4" t="s">
        <v>27</v>
      </c>
      <c r="R1255" s="1" t="s">
        <v>3583</v>
      </c>
      <c r="V125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6" spans="1:22">
      <c r="A1256" s="2">
        <v>45944</v>
      </c>
      <c r="B1256" s="1" t="s">
        <v>3590</v>
      </c>
      <c r="C1256" s="1" t="s">
        <v>3591</v>
      </c>
      <c r="D1256" s="1" t="s">
        <v>3538</v>
      </c>
      <c r="E1256" s="1">
        <v>85747</v>
      </c>
      <c r="F1256" s="1" t="s">
        <v>3531</v>
      </c>
      <c r="G1256" s="1" t="s">
        <v>3580</v>
      </c>
      <c r="H1256" s="4" t="s">
        <v>27</v>
      </c>
      <c r="R1256" s="1" t="s">
        <v>3583</v>
      </c>
      <c r="V125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7" spans="1:22">
      <c r="A1257" s="2">
        <v>45944</v>
      </c>
      <c r="B1257" s="1" t="s">
        <v>3592</v>
      </c>
      <c r="C1257" s="1" t="s">
        <v>256</v>
      </c>
      <c r="D1257" s="1" t="s">
        <v>63</v>
      </c>
      <c r="E1257" s="1">
        <v>85032</v>
      </c>
      <c r="F1257" s="1" t="s">
        <v>3531</v>
      </c>
      <c r="G1257" s="1" t="s">
        <v>3580</v>
      </c>
      <c r="H1257" s="4" t="s">
        <v>27</v>
      </c>
      <c r="R1257" s="1" t="s">
        <v>3583</v>
      </c>
      <c r="V125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8" spans="1:22">
      <c r="A1258" s="2">
        <v>45944</v>
      </c>
      <c r="B1258" s="1" t="s">
        <v>3593</v>
      </c>
      <c r="C1258" s="1" t="s">
        <v>225</v>
      </c>
      <c r="D1258" s="1" t="s">
        <v>63</v>
      </c>
      <c r="E1258" s="1">
        <v>85032</v>
      </c>
      <c r="F1258" s="1" t="s">
        <v>3531</v>
      </c>
      <c r="G1258" s="1" t="s">
        <v>3580</v>
      </c>
      <c r="H1258" s="4" t="s">
        <v>3594</v>
      </c>
      <c r="I1258" s="5" t="s">
        <v>46</v>
      </c>
      <c r="J1258" s="5" t="s">
        <v>37</v>
      </c>
      <c r="K1258" s="5" t="s">
        <v>37</v>
      </c>
      <c r="L1258" s="5" t="s">
        <v>1586</v>
      </c>
      <c r="M1258" s="5" t="s">
        <v>37</v>
      </c>
      <c r="N1258" s="5" t="s">
        <v>37</v>
      </c>
      <c r="O1258" s="5" t="s">
        <v>38</v>
      </c>
      <c r="P1258" s="5" t="s">
        <v>39</v>
      </c>
      <c r="Q1258" s="2">
        <v>45954</v>
      </c>
      <c r="R1258" s="1" t="s">
        <v>3595</v>
      </c>
      <c r="V125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59" spans="1:22">
      <c r="A1259" s="2">
        <v>45944</v>
      </c>
      <c r="B1259" s="1" t="s">
        <v>167</v>
      </c>
      <c r="C1259" s="1" t="s">
        <v>3596</v>
      </c>
      <c r="D1259" s="1" t="s">
        <v>63</v>
      </c>
      <c r="E1259" s="1">
        <v>85007</v>
      </c>
      <c r="F1259" s="1" t="s">
        <v>3531</v>
      </c>
      <c r="G1259" s="1" t="s">
        <v>3580</v>
      </c>
      <c r="H1259" s="4" t="s">
        <v>3597</v>
      </c>
      <c r="I1259" s="5" t="s">
        <v>36</v>
      </c>
      <c r="J1259" s="5" t="s">
        <v>37</v>
      </c>
      <c r="K1259" s="5" t="s">
        <v>37</v>
      </c>
      <c r="L1259" s="5" t="s">
        <v>1586</v>
      </c>
      <c r="M1259" s="5" t="s">
        <v>37</v>
      </c>
      <c r="N1259" s="5" t="s">
        <v>37</v>
      </c>
      <c r="O1259" s="5" t="s">
        <v>38</v>
      </c>
      <c r="P1259" s="5" t="s">
        <v>39</v>
      </c>
      <c r="Q1259" s="2">
        <v>45954</v>
      </c>
      <c r="R1259" s="1" t="s">
        <v>3583</v>
      </c>
      <c r="V125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0" spans="1:22">
      <c r="A1260" s="2">
        <v>45944</v>
      </c>
      <c r="B1260" s="1" t="s">
        <v>2175</v>
      </c>
      <c r="C1260" s="1" t="s">
        <v>1815</v>
      </c>
      <c r="D1260" s="1" t="s">
        <v>3538</v>
      </c>
      <c r="E1260" s="1" t="s">
        <v>30</v>
      </c>
      <c r="F1260" s="1" t="s">
        <v>3531</v>
      </c>
      <c r="G1260" s="1" t="s">
        <v>3598</v>
      </c>
      <c r="H1260" s="4" t="s">
        <v>27</v>
      </c>
      <c r="V126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1" spans="1:22">
      <c r="A1261" s="2">
        <v>45944</v>
      </c>
      <c r="B1261" s="1" t="s">
        <v>3599</v>
      </c>
      <c r="C1261" s="1" t="s">
        <v>228</v>
      </c>
      <c r="D1261" s="1" t="s">
        <v>3538</v>
      </c>
      <c r="E1261" s="1" t="s">
        <v>30</v>
      </c>
      <c r="F1261" s="1" t="s">
        <v>3531</v>
      </c>
      <c r="G1261" s="1" t="s">
        <v>3598</v>
      </c>
      <c r="H1261" s="4" t="s">
        <v>27</v>
      </c>
      <c r="V126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2" spans="1:22">
      <c r="A1262" s="2">
        <v>45944</v>
      </c>
      <c r="B1262" s="1" t="s">
        <v>1116</v>
      </c>
      <c r="C1262" s="1" t="s">
        <v>3600</v>
      </c>
      <c r="D1262" s="1" t="s">
        <v>3538</v>
      </c>
      <c r="E1262" s="1" t="s">
        <v>30</v>
      </c>
      <c r="F1262" s="1" t="s">
        <v>3531</v>
      </c>
      <c r="G1262" s="1" t="s">
        <v>3598</v>
      </c>
      <c r="H1262" s="4" t="s">
        <v>27</v>
      </c>
      <c r="V126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3" spans="1:22">
      <c r="A1263" s="2">
        <v>45945</v>
      </c>
      <c r="B1263" s="1" t="s">
        <v>3601</v>
      </c>
      <c r="C1263" s="1" t="s">
        <v>440</v>
      </c>
      <c r="D1263" s="1" t="s">
        <v>3602</v>
      </c>
      <c r="E1263" s="1">
        <v>86337</v>
      </c>
      <c r="F1263" s="1" t="s">
        <v>3603</v>
      </c>
      <c r="G1263" s="1" t="s">
        <v>3604</v>
      </c>
      <c r="H1263" s="4" t="s">
        <v>3605</v>
      </c>
      <c r="I1263" s="5" t="s">
        <v>418</v>
      </c>
      <c r="J1263" s="5" t="s">
        <v>37</v>
      </c>
      <c r="K1263" s="5" t="s">
        <v>37</v>
      </c>
      <c r="L1263" s="5" t="s">
        <v>389</v>
      </c>
      <c r="M1263" s="5" t="s">
        <v>37</v>
      </c>
      <c r="N1263" s="5" t="s">
        <v>37</v>
      </c>
      <c r="O1263" s="5" t="s">
        <v>38</v>
      </c>
      <c r="P1263" s="5" t="s">
        <v>39</v>
      </c>
      <c r="Q1263" s="2">
        <v>45954</v>
      </c>
      <c r="V126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4" spans="1:22">
      <c r="A1264" s="2">
        <v>45945</v>
      </c>
      <c r="B1264" s="1" t="s">
        <v>3606</v>
      </c>
      <c r="C1264" s="1" t="s">
        <v>3273</v>
      </c>
      <c r="D1264" s="1" t="s">
        <v>3607</v>
      </c>
      <c r="E1264" s="1">
        <v>85650</v>
      </c>
      <c r="F1264" s="1" t="s">
        <v>3608</v>
      </c>
      <c r="G1264" s="1" t="s">
        <v>3604</v>
      </c>
      <c r="H1264" s="4" t="s">
        <v>3609</v>
      </c>
      <c r="I1264" s="5" t="s">
        <v>36</v>
      </c>
      <c r="J1264" s="5" t="s">
        <v>37</v>
      </c>
      <c r="K1264" s="5" t="s">
        <v>37</v>
      </c>
      <c r="L1264" s="5" t="s">
        <v>1586</v>
      </c>
      <c r="M1264" s="5" t="s">
        <v>37</v>
      </c>
      <c r="N1264" s="5" t="s">
        <v>37</v>
      </c>
      <c r="O1264" s="5" t="s">
        <v>38</v>
      </c>
      <c r="P1264" s="5" t="s">
        <v>39</v>
      </c>
      <c r="Q1264" s="2">
        <v>45954</v>
      </c>
      <c r="V126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5" spans="1:22">
      <c r="A1265" s="2">
        <v>45945</v>
      </c>
      <c r="B1265" s="1" t="s">
        <v>2594</v>
      </c>
      <c r="C1265" s="1" t="s">
        <v>3040</v>
      </c>
      <c r="D1265" s="1" t="s">
        <v>63</v>
      </c>
      <c r="E1265" s="1">
        <v>85041</v>
      </c>
      <c r="F1265" s="1" t="s">
        <v>3531</v>
      </c>
      <c r="G1265" s="1" t="s">
        <v>3604</v>
      </c>
      <c r="H1265" s="4" t="s">
        <v>27</v>
      </c>
      <c r="V126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6" spans="1:22">
      <c r="A1266" s="2">
        <v>45945</v>
      </c>
      <c r="B1266" s="1" t="s">
        <v>281</v>
      </c>
      <c r="C1266" s="1" t="s">
        <v>153</v>
      </c>
      <c r="D1266" s="1" t="s">
        <v>24</v>
      </c>
      <c r="E1266" s="1" t="s">
        <v>30</v>
      </c>
      <c r="F1266" s="1" t="s">
        <v>3610</v>
      </c>
      <c r="G1266" s="1" t="s">
        <v>3611</v>
      </c>
      <c r="H1266" s="4" t="s">
        <v>27</v>
      </c>
      <c r="V126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7" spans="1:22">
      <c r="A1267" s="2">
        <v>45946</v>
      </c>
      <c r="B1267" s="1" t="s">
        <v>3612</v>
      </c>
      <c r="C1267" s="1" t="s">
        <v>747</v>
      </c>
      <c r="D1267" s="1" t="s">
        <v>3613</v>
      </c>
      <c r="E1267" s="1">
        <v>85553</v>
      </c>
      <c r="F1267" s="1" t="s">
        <v>3614</v>
      </c>
      <c r="G1267" s="1" t="s">
        <v>3615</v>
      </c>
      <c r="H1267" s="4" t="s">
        <v>3616</v>
      </c>
      <c r="I1267" s="5" t="s">
        <v>541</v>
      </c>
      <c r="J1267" s="5" t="s">
        <v>37</v>
      </c>
      <c r="K1267" s="5" t="s">
        <v>37</v>
      </c>
      <c r="L1267" s="5" t="s">
        <v>389</v>
      </c>
      <c r="M1267" s="5" t="s">
        <v>37</v>
      </c>
      <c r="N1267" s="5" t="s">
        <v>37</v>
      </c>
      <c r="O1267" s="5" t="s">
        <v>38</v>
      </c>
      <c r="P1267" s="5" t="s">
        <v>39</v>
      </c>
      <c r="Q1267" s="2">
        <v>45954</v>
      </c>
      <c r="V126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8" spans="1:22">
      <c r="A1268" s="2">
        <v>45946</v>
      </c>
      <c r="B1268" s="1" t="s">
        <v>990</v>
      </c>
      <c r="C1268" s="1" t="s">
        <v>3617</v>
      </c>
      <c r="D1268" s="1" t="s">
        <v>63</v>
      </c>
      <c r="E1268" s="1">
        <v>85024</v>
      </c>
      <c r="F1268" s="1" t="s">
        <v>3618</v>
      </c>
      <c r="G1268" s="1" t="s">
        <v>3619</v>
      </c>
      <c r="H1268" s="4" t="s">
        <v>3620</v>
      </c>
      <c r="I1268" s="5" t="s">
        <v>36</v>
      </c>
      <c r="J1268" s="5" t="s">
        <v>37</v>
      </c>
      <c r="K1268" s="5" t="s">
        <v>37</v>
      </c>
      <c r="L1268" s="5" t="s">
        <v>1586</v>
      </c>
      <c r="M1268" s="5" t="s">
        <v>37</v>
      </c>
      <c r="N1268" s="5" t="s">
        <v>37</v>
      </c>
      <c r="O1268" s="5" t="s">
        <v>38</v>
      </c>
      <c r="P1268" s="5" t="s">
        <v>39</v>
      </c>
      <c r="Q1268" s="2">
        <v>45954</v>
      </c>
      <c r="V126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69" spans="1:22">
      <c r="A1269" s="2">
        <v>45946</v>
      </c>
      <c r="B1269" s="1" t="s">
        <v>3431</v>
      </c>
      <c r="C1269" s="1" t="s">
        <v>3621</v>
      </c>
      <c r="D1269" s="1" t="s">
        <v>816</v>
      </c>
      <c r="E1269" s="1">
        <v>86301</v>
      </c>
      <c r="F1269" s="1" t="s">
        <v>3622</v>
      </c>
      <c r="G1269" s="1" t="s">
        <v>3623</v>
      </c>
      <c r="H1269" s="4" t="s">
        <v>3624</v>
      </c>
      <c r="I1269" s="5" t="s">
        <v>36</v>
      </c>
      <c r="J1269" s="5" t="s">
        <v>37</v>
      </c>
      <c r="K1269" s="5" t="s">
        <v>37</v>
      </c>
      <c r="L1269" s="5" t="s">
        <v>1586</v>
      </c>
      <c r="M1269" s="5" t="s">
        <v>37</v>
      </c>
      <c r="N1269" s="5" t="s">
        <v>37</v>
      </c>
      <c r="O1269" s="5" t="s">
        <v>38</v>
      </c>
      <c r="P1269" s="5" t="s">
        <v>39</v>
      </c>
      <c r="Q1269" s="2">
        <v>45954</v>
      </c>
      <c r="V126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0" spans="1:22">
      <c r="A1270" s="2">
        <v>45946</v>
      </c>
      <c r="B1270" s="1" t="s">
        <v>3625</v>
      </c>
      <c r="C1270" s="1" t="s">
        <v>382</v>
      </c>
      <c r="D1270" s="1" t="s">
        <v>619</v>
      </c>
      <c r="E1270" s="1">
        <v>85364</v>
      </c>
      <c r="F1270" s="1" t="s">
        <v>3626</v>
      </c>
      <c r="G1270" s="1" t="s">
        <v>3623</v>
      </c>
      <c r="H1270" s="4" t="s">
        <v>3627</v>
      </c>
      <c r="I1270" s="5" t="s">
        <v>46</v>
      </c>
      <c r="J1270" s="5" t="s">
        <v>37</v>
      </c>
      <c r="K1270" s="5" t="s">
        <v>37</v>
      </c>
      <c r="L1270" s="5" t="s">
        <v>3628</v>
      </c>
      <c r="M1270" s="5" t="s">
        <v>37</v>
      </c>
      <c r="N1270" s="5" t="s">
        <v>37</v>
      </c>
      <c r="O1270" s="5" t="s">
        <v>38</v>
      </c>
      <c r="P1270" s="5" t="s">
        <v>39</v>
      </c>
      <c r="Q1270" s="2">
        <v>45954</v>
      </c>
      <c r="R1270" s="1" t="s">
        <v>3629</v>
      </c>
      <c r="V127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1" spans="1:22">
      <c r="A1271" s="2">
        <v>45946</v>
      </c>
      <c r="B1271" s="1" t="s">
        <v>3630</v>
      </c>
      <c r="C1271" s="1" t="s">
        <v>3631</v>
      </c>
      <c r="D1271" s="1" t="s">
        <v>635</v>
      </c>
      <c r="E1271" s="1">
        <v>85281</v>
      </c>
      <c r="F1271" s="1" t="s">
        <v>310</v>
      </c>
      <c r="G1271" s="1" t="s">
        <v>3623</v>
      </c>
      <c r="H1271" s="4" t="s">
        <v>90</v>
      </c>
      <c r="V127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2" spans="1:22">
      <c r="A1272" s="2">
        <v>45946</v>
      </c>
      <c r="B1272" s="1" t="s">
        <v>1134</v>
      </c>
      <c r="C1272" s="1" t="s">
        <v>991</v>
      </c>
      <c r="D1272" s="1" t="s">
        <v>63</v>
      </c>
      <c r="E1272" s="1">
        <v>85006</v>
      </c>
      <c r="F1272" s="1" t="s">
        <v>3632</v>
      </c>
      <c r="G1272" s="1" t="s">
        <v>3623</v>
      </c>
      <c r="H1272" s="4" t="s">
        <v>3633</v>
      </c>
      <c r="I1272" s="5" t="s">
        <v>541</v>
      </c>
      <c r="J1272" s="5" t="s">
        <v>37</v>
      </c>
      <c r="K1272" s="5" t="s">
        <v>37</v>
      </c>
      <c r="L1272" s="5" t="s">
        <v>389</v>
      </c>
      <c r="M1272" s="5" t="s">
        <v>37</v>
      </c>
      <c r="N1272" s="5" t="s">
        <v>37</v>
      </c>
      <c r="O1272" s="5" t="s">
        <v>38</v>
      </c>
      <c r="P1272" s="5" t="s">
        <v>39</v>
      </c>
      <c r="Q1272" s="2">
        <v>45954</v>
      </c>
      <c r="V127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3" spans="1:22">
      <c r="A1273" s="2">
        <v>45946</v>
      </c>
      <c r="B1273" s="1" t="s">
        <v>3634</v>
      </c>
      <c r="C1273" s="1" t="s">
        <v>3635</v>
      </c>
      <c r="D1273" s="1" t="s">
        <v>504</v>
      </c>
      <c r="E1273" s="1">
        <v>86005</v>
      </c>
      <c r="F1273" s="1" t="s">
        <v>3636</v>
      </c>
      <c r="G1273" s="1" t="s">
        <v>3623</v>
      </c>
      <c r="H1273" s="4" t="s">
        <v>3637</v>
      </c>
      <c r="I1273" s="5" t="s">
        <v>126</v>
      </c>
      <c r="J1273" s="5" t="s">
        <v>37</v>
      </c>
      <c r="K1273" s="5" t="s">
        <v>37</v>
      </c>
      <c r="L1273" s="5" t="s">
        <v>3638</v>
      </c>
      <c r="M1273" s="5" t="s">
        <v>37</v>
      </c>
      <c r="N1273" s="5" t="s">
        <v>37</v>
      </c>
      <c r="O1273" s="5" t="s">
        <v>38</v>
      </c>
      <c r="P1273" s="5" t="s">
        <v>39</v>
      </c>
      <c r="Q1273" s="2">
        <v>45954</v>
      </c>
      <c r="V127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4" spans="1:22">
      <c r="A1274" s="2">
        <v>45946</v>
      </c>
      <c r="B1274" s="1" t="s">
        <v>419</v>
      </c>
      <c r="C1274" s="1" t="s">
        <v>3639</v>
      </c>
      <c r="D1274" s="1" t="s">
        <v>63</v>
      </c>
      <c r="E1274" s="1">
        <v>85029</v>
      </c>
      <c r="F1274" s="1" t="s">
        <v>3640</v>
      </c>
      <c r="G1274" s="1" t="s">
        <v>3623</v>
      </c>
      <c r="H1274" s="4" t="s">
        <v>3641</v>
      </c>
      <c r="I1274" s="5" t="s">
        <v>126</v>
      </c>
      <c r="J1274" s="5" t="s">
        <v>37</v>
      </c>
      <c r="K1274" s="5" t="s">
        <v>37</v>
      </c>
      <c r="L1274" s="5" t="s">
        <v>1586</v>
      </c>
      <c r="M1274" s="5" t="s">
        <v>37</v>
      </c>
      <c r="N1274" s="5" t="s">
        <v>37</v>
      </c>
      <c r="O1274" s="5" t="s">
        <v>38</v>
      </c>
      <c r="P1274" s="5" t="s">
        <v>39</v>
      </c>
      <c r="Q1274" s="2">
        <v>45954</v>
      </c>
      <c r="V127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5" spans="1:22">
      <c r="A1275" s="2">
        <v>45947</v>
      </c>
      <c r="B1275" s="1" t="s">
        <v>78</v>
      </c>
      <c r="C1275" s="1" t="s">
        <v>79</v>
      </c>
      <c r="D1275" s="1" t="s">
        <v>125</v>
      </c>
      <c r="E1275" s="1">
        <v>85254</v>
      </c>
      <c r="F1275" s="1" t="s">
        <v>3642</v>
      </c>
      <c r="G1275" s="1" t="s">
        <v>3643</v>
      </c>
      <c r="H1275" s="4" t="s">
        <v>80</v>
      </c>
      <c r="I1275" s="5" t="s">
        <v>81</v>
      </c>
      <c r="J1275" s="5" t="s">
        <v>37</v>
      </c>
      <c r="K1275" s="5" t="s">
        <v>37</v>
      </c>
      <c r="L1275" s="5" t="s">
        <v>389</v>
      </c>
      <c r="M1275" s="5" t="s">
        <v>37</v>
      </c>
      <c r="N1275" s="5" t="s">
        <v>37</v>
      </c>
      <c r="O1275" s="5" t="s">
        <v>38</v>
      </c>
      <c r="P1275" s="5" t="s">
        <v>39</v>
      </c>
      <c r="Q1275" s="2">
        <v>45954</v>
      </c>
      <c r="R1275" s="1" t="s">
        <v>2873</v>
      </c>
      <c r="V127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6" spans="1:22">
      <c r="A1276" s="2">
        <v>45947</v>
      </c>
      <c r="B1276" s="1" t="s">
        <v>3644</v>
      </c>
      <c r="C1276" s="1" t="s">
        <v>707</v>
      </c>
      <c r="D1276" s="1" t="s">
        <v>30</v>
      </c>
      <c r="E1276" s="1" t="s">
        <v>30</v>
      </c>
      <c r="F1276" s="1" t="s">
        <v>3645</v>
      </c>
      <c r="G1276" s="1" t="s">
        <v>3643</v>
      </c>
      <c r="H1276" s="4" t="s">
        <v>90</v>
      </c>
      <c r="V127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7" spans="1:22">
      <c r="A1277" s="2">
        <v>45947</v>
      </c>
      <c r="B1277" s="1" t="s">
        <v>3646</v>
      </c>
      <c r="C1277" s="1" t="s">
        <v>1714</v>
      </c>
      <c r="D1277" s="1" t="s">
        <v>125</v>
      </c>
      <c r="E1277" s="1">
        <v>85254</v>
      </c>
      <c r="F1277" s="1" t="s">
        <v>3647</v>
      </c>
      <c r="G1277" s="1" t="s">
        <v>3643</v>
      </c>
      <c r="H1277" s="4" t="s">
        <v>3648</v>
      </c>
      <c r="I1277" s="5" t="s">
        <v>73</v>
      </c>
      <c r="J1277" s="5" t="s">
        <v>37</v>
      </c>
      <c r="K1277" s="5" t="s">
        <v>37</v>
      </c>
      <c r="L1277" s="5" t="s">
        <v>1586</v>
      </c>
      <c r="M1277" s="5" t="s">
        <v>37</v>
      </c>
      <c r="N1277" s="5" t="s">
        <v>37</v>
      </c>
      <c r="O1277" s="5" t="s">
        <v>38</v>
      </c>
      <c r="P1277" s="5" t="s">
        <v>39</v>
      </c>
      <c r="Q1277" s="2">
        <v>45954</v>
      </c>
      <c r="V127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8" spans="1:22">
      <c r="A1278" s="2">
        <v>45947</v>
      </c>
      <c r="B1278" s="1" t="s">
        <v>3649</v>
      </c>
      <c r="C1278" s="1" t="s">
        <v>575</v>
      </c>
      <c r="D1278" s="1" t="s">
        <v>3650</v>
      </c>
      <c r="F1278" s="1" t="s">
        <v>3651</v>
      </c>
      <c r="G1278" s="1" t="s">
        <v>3652</v>
      </c>
      <c r="H1278" s="4" t="s">
        <v>27</v>
      </c>
      <c r="V127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79" spans="1:22">
      <c r="A1279" s="2">
        <v>45947</v>
      </c>
      <c r="B1279" s="1" t="s">
        <v>3653</v>
      </c>
      <c r="C1279" s="1" t="s">
        <v>1475</v>
      </c>
      <c r="D1279" s="1" t="s">
        <v>30</v>
      </c>
      <c r="E1279" s="1" t="s">
        <v>30</v>
      </c>
      <c r="F1279" s="1" t="s">
        <v>3651</v>
      </c>
      <c r="G1279" s="1" t="s">
        <v>3652</v>
      </c>
      <c r="H1279" s="4" t="s">
        <v>27</v>
      </c>
      <c r="V127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0" spans="1:22">
      <c r="A1280" s="2">
        <v>45951</v>
      </c>
      <c r="B1280" s="1" t="s">
        <v>3654</v>
      </c>
      <c r="C1280" s="1" t="s">
        <v>88</v>
      </c>
      <c r="D1280" s="1" t="s">
        <v>2927</v>
      </c>
      <c r="E1280" s="1">
        <v>85344</v>
      </c>
      <c r="F1280" s="1" t="s">
        <v>3655</v>
      </c>
      <c r="G1280" s="1" t="s">
        <v>3656</v>
      </c>
      <c r="H1280" s="4" t="s">
        <v>3657</v>
      </c>
      <c r="I1280" s="5" t="s">
        <v>126</v>
      </c>
      <c r="J1280" s="5" t="s">
        <v>37</v>
      </c>
      <c r="K1280" s="5" t="s">
        <v>37</v>
      </c>
      <c r="M1280" s="5" t="s">
        <v>37</v>
      </c>
      <c r="N1280" s="5" t="s">
        <v>37</v>
      </c>
      <c r="O1280" s="5" t="s">
        <v>38</v>
      </c>
      <c r="P1280" s="5" t="s">
        <v>39</v>
      </c>
      <c r="Q1280" s="2">
        <v>45954</v>
      </c>
      <c r="R1280" s="1" t="s">
        <v>3658</v>
      </c>
      <c r="V128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1" spans="1:22">
      <c r="A1281" s="2">
        <v>45951</v>
      </c>
      <c r="B1281" s="1" t="s">
        <v>3659</v>
      </c>
      <c r="C1281" s="1" t="s">
        <v>529</v>
      </c>
      <c r="D1281" s="1" t="s">
        <v>202</v>
      </c>
      <c r="E1281" s="1">
        <v>85383</v>
      </c>
      <c r="F1281" s="1" t="s">
        <v>3660</v>
      </c>
      <c r="G1281" s="1" t="s">
        <v>3661</v>
      </c>
      <c r="H1281" s="4" t="s">
        <v>3662</v>
      </c>
      <c r="I1281" s="5" t="s">
        <v>36</v>
      </c>
      <c r="J1281" s="5" t="s">
        <v>37</v>
      </c>
      <c r="K1281" s="5" t="s">
        <v>37</v>
      </c>
      <c r="L1281" s="5" t="s">
        <v>1586</v>
      </c>
      <c r="M1281" s="5" t="s">
        <v>37</v>
      </c>
      <c r="N1281" s="5" t="s">
        <v>37</v>
      </c>
      <c r="O1281" s="5" t="s">
        <v>38</v>
      </c>
      <c r="P1281" s="5" t="s">
        <v>39</v>
      </c>
      <c r="Q1281" s="2">
        <v>45954</v>
      </c>
      <c r="V128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2" spans="1:22">
      <c r="A1282" s="2">
        <v>45951</v>
      </c>
      <c r="B1282" s="1" t="s">
        <v>3663</v>
      </c>
      <c r="C1282" s="1" t="s">
        <v>597</v>
      </c>
      <c r="D1282" s="1" t="s">
        <v>169</v>
      </c>
      <c r="E1282" s="1">
        <v>85338</v>
      </c>
      <c r="F1282" s="1" t="s">
        <v>3664</v>
      </c>
      <c r="G1282" s="1" t="s">
        <v>3661</v>
      </c>
      <c r="H1282" s="4" t="s">
        <v>3665</v>
      </c>
      <c r="I1282" s="5" t="s">
        <v>418</v>
      </c>
      <c r="J1282" s="5" t="s">
        <v>37</v>
      </c>
      <c r="K1282" s="5" t="s">
        <v>37</v>
      </c>
      <c r="L1282" s="5" t="s">
        <v>389</v>
      </c>
      <c r="M1282" s="5" t="s">
        <v>37</v>
      </c>
      <c r="N1282" s="5" t="s">
        <v>37</v>
      </c>
      <c r="O1282" s="5" t="s">
        <v>38</v>
      </c>
      <c r="P1282" s="5" t="s">
        <v>39</v>
      </c>
      <c r="Q1282" s="2">
        <v>45954</v>
      </c>
      <c r="V128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3" spans="1:22">
      <c r="A1283" s="2">
        <v>45951</v>
      </c>
      <c r="B1283" s="1" t="s">
        <v>3666</v>
      </c>
      <c r="C1283" s="1" t="s">
        <v>680</v>
      </c>
      <c r="D1283" s="1" t="s">
        <v>63</v>
      </c>
      <c r="E1283" s="1">
        <v>85014</v>
      </c>
      <c r="F1283" s="1" t="s">
        <v>3667</v>
      </c>
      <c r="G1283" s="1" t="s">
        <v>3668</v>
      </c>
      <c r="H1283" s="4" t="s">
        <v>90</v>
      </c>
      <c r="V128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4" spans="1:22">
      <c r="A1284" s="2">
        <v>45952</v>
      </c>
      <c r="B1284" s="1" t="s">
        <v>2566</v>
      </c>
      <c r="C1284" s="1" t="s">
        <v>1905</v>
      </c>
      <c r="D1284" s="1" t="s">
        <v>635</v>
      </c>
      <c r="E1284" s="1">
        <v>85282</v>
      </c>
      <c r="F1284" s="1" t="s">
        <v>3669</v>
      </c>
      <c r="G1284" s="1" t="s">
        <v>3668</v>
      </c>
      <c r="H1284" s="4" t="s">
        <v>27</v>
      </c>
      <c r="V128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5" spans="1:22">
      <c r="A1285" s="2">
        <v>45952</v>
      </c>
      <c r="B1285" s="1" t="s">
        <v>3670</v>
      </c>
      <c r="C1285" s="1" t="s">
        <v>3671</v>
      </c>
      <c r="D1285" s="1" t="s">
        <v>63</v>
      </c>
      <c r="E1285" s="1">
        <v>85012</v>
      </c>
      <c r="F1285" s="1" t="s">
        <v>3672</v>
      </c>
      <c r="G1285" s="1" t="s">
        <v>3668</v>
      </c>
      <c r="H1285" s="4" t="s">
        <v>3673</v>
      </c>
      <c r="I1285" s="5" t="s">
        <v>73</v>
      </c>
      <c r="J1285" s="5" t="s">
        <v>37</v>
      </c>
      <c r="K1285" s="5" t="s">
        <v>37</v>
      </c>
      <c r="L1285" s="5" t="s">
        <v>3674</v>
      </c>
      <c r="M1285" s="5" t="s">
        <v>37</v>
      </c>
      <c r="N1285" s="5" t="s">
        <v>37</v>
      </c>
      <c r="O1285" s="5" t="s">
        <v>38</v>
      </c>
      <c r="P1285" s="5" t="s">
        <v>39</v>
      </c>
      <c r="Q1285" s="2">
        <v>45954</v>
      </c>
      <c r="V128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6" spans="1:22">
      <c r="A1286" s="2">
        <v>45952</v>
      </c>
      <c r="B1286" s="1" t="s">
        <v>3675</v>
      </c>
      <c r="C1286" s="1" t="s">
        <v>228</v>
      </c>
      <c r="D1286" s="1" t="s">
        <v>174</v>
      </c>
      <c r="E1286" s="1">
        <v>85326</v>
      </c>
      <c r="F1286" s="1" t="s">
        <v>3676</v>
      </c>
      <c r="G1286" s="1" t="s">
        <v>3677</v>
      </c>
      <c r="H1286" s="4" t="s">
        <v>27</v>
      </c>
      <c r="Q1286" s="2"/>
      <c r="V128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7" spans="1:22">
      <c r="A1287" s="2">
        <v>45953</v>
      </c>
      <c r="B1287" s="1" t="s">
        <v>2601</v>
      </c>
      <c r="C1287" s="1" t="s">
        <v>1824</v>
      </c>
      <c r="D1287" s="1" t="s">
        <v>63</v>
      </c>
      <c r="E1287" s="1">
        <v>85019</v>
      </c>
      <c r="F1287" s="1" t="s">
        <v>3531</v>
      </c>
      <c r="G1287" s="1" t="s">
        <v>3677</v>
      </c>
      <c r="H1287" s="4" t="s">
        <v>90</v>
      </c>
      <c r="V128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8" spans="1:22">
      <c r="A1288" s="2">
        <v>45952</v>
      </c>
      <c r="B1288" s="1" t="s">
        <v>3678</v>
      </c>
      <c r="C1288" s="1" t="s">
        <v>3679</v>
      </c>
      <c r="D1288" s="1" t="s">
        <v>63</v>
      </c>
      <c r="E1288" s="1">
        <v>85023</v>
      </c>
      <c r="F1288" s="1" t="s">
        <v>3680</v>
      </c>
      <c r="G1288" s="1" t="s">
        <v>3681</v>
      </c>
      <c r="H1288" s="4" t="s">
        <v>3682</v>
      </c>
      <c r="I1288" s="5" t="s">
        <v>36</v>
      </c>
      <c r="J1288" s="5" t="s">
        <v>37</v>
      </c>
      <c r="K1288" s="5" t="s">
        <v>38</v>
      </c>
      <c r="L1288" s="5" t="s">
        <v>1586</v>
      </c>
      <c r="M1288" s="5" t="s">
        <v>37</v>
      </c>
      <c r="N1288" s="5" t="s">
        <v>37</v>
      </c>
      <c r="O1288" s="5" t="s">
        <v>38</v>
      </c>
      <c r="P1288" s="5" t="s">
        <v>39</v>
      </c>
      <c r="Q1288" s="2">
        <v>45954</v>
      </c>
      <c r="V128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89" spans="1:22">
      <c r="A1289" s="2">
        <v>45952</v>
      </c>
      <c r="B1289" s="1" t="s">
        <v>3683</v>
      </c>
      <c r="C1289" s="1" t="s">
        <v>2454</v>
      </c>
      <c r="D1289" s="1" t="s">
        <v>174</v>
      </c>
      <c r="E1289" s="1">
        <v>85396</v>
      </c>
      <c r="F1289" s="1" t="s">
        <v>3684</v>
      </c>
      <c r="G1289" s="1" t="s">
        <v>3685</v>
      </c>
      <c r="H1289" s="4" t="s">
        <v>3686</v>
      </c>
      <c r="I1289" s="5" t="s">
        <v>81</v>
      </c>
      <c r="J1289" s="5" t="s">
        <v>37</v>
      </c>
      <c r="K1289" s="5" t="s">
        <v>37</v>
      </c>
      <c r="L1289" s="5" t="s">
        <v>389</v>
      </c>
      <c r="M1289" s="5" t="s">
        <v>37</v>
      </c>
      <c r="N1289" s="5" t="s">
        <v>37</v>
      </c>
      <c r="O1289" s="5" t="s">
        <v>38</v>
      </c>
      <c r="P1289" s="5" t="s">
        <v>39</v>
      </c>
      <c r="Q1289" s="2">
        <v>45954</v>
      </c>
      <c r="V1289"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0" spans="1:22">
      <c r="A1290" s="2">
        <v>45952</v>
      </c>
      <c r="B1290" s="1" t="s">
        <v>617</v>
      </c>
      <c r="C1290" s="1" t="s">
        <v>3687</v>
      </c>
      <c r="D1290" s="1" t="s">
        <v>174</v>
      </c>
      <c r="E1290" s="1">
        <v>85326</v>
      </c>
      <c r="F1290" s="1" t="s">
        <v>3688</v>
      </c>
      <c r="G1290" s="1" t="s">
        <v>3685</v>
      </c>
      <c r="H1290" s="4" t="s">
        <v>209</v>
      </c>
      <c r="V1290"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1" spans="1:22">
      <c r="A1291" s="2">
        <v>45953</v>
      </c>
      <c r="B1291" s="1" t="s">
        <v>3689</v>
      </c>
      <c r="C1291" s="1" t="s">
        <v>879</v>
      </c>
      <c r="D1291" s="1" t="s">
        <v>30</v>
      </c>
      <c r="E1291" s="1" t="s">
        <v>30</v>
      </c>
      <c r="F1291" s="1" t="s">
        <v>3690</v>
      </c>
      <c r="H1291" s="4" t="s">
        <v>27</v>
      </c>
      <c r="V1291"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2" spans="1:22">
      <c r="A1292" s="2">
        <v>45953</v>
      </c>
      <c r="B1292" s="1" t="s">
        <v>3691</v>
      </c>
      <c r="C1292" s="1" t="s">
        <v>320</v>
      </c>
      <c r="D1292" s="1" t="s">
        <v>30</v>
      </c>
      <c r="E1292" s="1" t="s">
        <v>30</v>
      </c>
      <c r="F1292" s="1" t="s">
        <v>3692</v>
      </c>
      <c r="G1292" s="1" t="s">
        <v>3693</v>
      </c>
      <c r="H1292" s="4" t="s">
        <v>27</v>
      </c>
      <c r="V1292"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3" spans="1:22">
      <c r="A1293" s="2">
        <v>45954</v>
      </c>
      <c r="B1293" s="1" t="s">
        <v>3694</v>
      </c>
      <c r="C1293" s="1" t="s">
        <v>3695</v>
      </c>
      <c r="D1293" s="1" t="s">
        <v>174</v>
      </c>
      <c r="E1293" s="1">
        <v>85326</v>
      </c>
      <c r="F1293" s="1" t="s">
        <v>3696</v>
      </c>
      <c r="G1293" s="1" t="s">
        <v>3697</v>
      </c>
      <c r="H1293" s="4" t="s">
        <v>3698</v>
      </c>
      <c r="I1293" s="5" t="s">
        <v>46</v>
      </c>
      <c r="J1293" s="5" t="s">
        <v>37</v>
      </c>
      <c r="K1293" s="5" t="s">
        <v>37</v>
      </c>
      <c r="L1293" s="5" t="s">
        <v>1586</v>
      </c>
      <c r="M1293" s="5" t="s">
        <v>38</v>
      </c>
      <c r="N1293" s="13">
        <v>384.67</v>
      </c>
      <c r="O1293" s="5" t="s">
        <v>38</v>
      </c>
      <c r="P1293" s="5" t="s">
        <v>39</v>
      </c>
      <c r="Q1293" s="2">
        <v>45960</v>
      </c>
      <c r="V1293"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4" spans="1:22">
      <c r="A1294" s="2">
        <v>45954</v>
      </c>
      <c r="B1294" s="1" t="s">
        <v>3699</v>
      </c>
      <c r="C1294" s="1" t="s">
        <v>550</v>
      </c>
      <c r="D1294" s="1" t="s">
        <v>202</v>
      </c>
      <c r="E1294" s="1">
        <v>85383</v>
      </c>
      <c r="F1294" s="1" t="s">
        <v>3700</v>
      </c>
      <c r="G1294" s="1" t="s">
        <v>3697</v>
      </c>
      <c r="H1294" s="4" t="s">
        <v>3701</v>
      </c>
      <c r="I1294" s="5" t="s">
        <v>36</v>
      </c>
      <c r="J1294" s="5" t="s">
        <v>37</v>
      </c>
      <c r="K1294" s="5" t="s">
        <v>37</v>
      </c>
      <c r="L1294" s="5" t="s">
        <v>1586</v>
      </c>
      <c r="M1294" s="5" t="s">
        <v>37</v>
      </c>
      <c r="N1294" s="5" t="s">
        <v>37</v>
      </c>
      <c r="O1294" s="5" t="s">
        <v>38</v>
      </c>
      <c r="P1294" s="5" t="s">
        <v>39</v>
      </c>
      <c r="Q1294" s="2">
        <v>45960</v>
      </c>
      <c r="V1294"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5" spans="1:22">
      <c r="A1295" s="2">
        <v>45954</v>
      </c>
      <c r="B1295" s="1" t="s">
        <v>3702</v>
      </c>
      <c r="C1295" s="1" t="s">
        <v>481</v>
      </c>
      <c r="D1295" s="1" t="s">
        <v>169</v>
      </c>
      <c r="E1295" s="1">
        <v>85395</v>
      </c>
      <c r="F1295" s="1" t="s">
        <v>3703</v>
      </c>
      <c r="G1295" s="1" t="s">
        <v>3697</v>
      </c>
      <c r="H1295" s="4" t="s">
        <v>3704</v>
      </c>
      <c r="I1295" s="5" t="s">
        <v>418</v>
      </c>
      <c r="J1295" s="5" t="s">
        <v>37</v>
      </c>
      <c r="K1295" s="5" t="s">
        <v>37</v>
      </c>
      <c r="L1295" s="5" t="s">
        <v>389</v>
      </c>
      <c r="M1295" s="5" t="s">
        <v>37</v>
      </c>
      <c r="N1295" s="5" t="s">
        <v>37</v>
      </c>
      <c r="O1295" s="5" t="s">
        <v>38</v>
      </c>
      <c r="P1295" s="5" t="s">
        <v>39</v>
      </c>
      <c r="Q1295" s="2">
        <v>45960</v>
      </c>
      <c r="V1295"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6" spans="1:22">
      <c r="A1296" s="2">
        <v>45954</v>
      </c>
      <c r="B1296" s="1" t="s">
        <v>3705</v>
      </c>
      <c r="C1296" s="1" t="s">
        <v>2601</v>
      </c>
      <c r="D1296" s="1" t="s">
        <v>63</v>
      </c>
      <c r="E1296" s="1">
        <v>85003</v>
      </c>
      <c r="F1296" s="1" t="s">
        <v>3356</v>
      </c>
      <c r="G1296" s="1" t="s">
        <v>3706</v>
      </c>
      <c r="H1296" s="4" t="s">
        <v>3707</v>
      </c>
      <c r="I1296" s="5" t="s">
        <v>126</v>
      </c>
      <c r="J1296" s="5" t="s">
        <v>37</v>
      </c>
      <c r="K1296" s="5" t="s">
        <v>37</v>
      </c>
      <c r="L1296" s="5" t="s">
        <v>3708</v>
      </c>
      <c r="M1296" s="5" t="s">
        <v>38</v>
      </c>
      <c r="N1296" s="13">
        <v>398.69</v>
      </c>
      <c r="O1296" s="5" t="s">
        <v>38</v>
      </c>
      <c r="P1296" s="5" t="s">
        <v>39</v>
      </c>
      <c r="Q1296" s="2">
        <v>45960</v>
      </c>
      <c r="V1296"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7" spans="1:22">
      <c r="A1297" s="2">
        <v>45956</v>
      </c>
      <c r="B1297" s="1" t="s">
        <v>3709</v>
      </c>
      <c r="C1297" s="1" t="s">
        <v>690</v>
      </c>
      <c r="D1297" s="1" t="s">
        <v>63</v>
      </c>
      <c r="E1297" s="1">
        <v>85050</v>
      </c>
      <c r="F1297" s="1" t="s">
        <v>3710</v>
      </c>
      <c r="G1297" s="1" t="s">
        <v>3706</v>
      </c>
      <c r="H1297" s="4" t="s">
        <v>27</v>
      </c>
      <c r="V1297"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8" spans="1:22">
      <c r="A1298" s="2">
        <v>45959</v>
      </c>
      <c r="B1298" s="1" t="s">
        <v>3711</v>
      </c>
      <c r="C1298" s="1" t="s">
        <v>252</v>
      </c>
      <c r="D1298" s="1" t="s">
        <v>63</v>
      </c>
      <c r="E1298" s="1">
        <v>85086</v>
      </c>
      <c r="F1298" s="1" t="s">
        <v>3531</v>
      </c>
      <c r="G1298" s="1" t="s">
        <v>3712</v>
      </c>
      <c r="H1298" s="4" t="s">
        <v>3713</v>
      </c>
      <c r="I1298" s="5" t="s">
        <v>36</v>
      </c>
      <c r="J1298" s="5" t="s">
        <v>38</v>
      </c>
      <c r="K1298" s="5" t="s">
        <v>37</v>
      </c>
      <c r="L1298" s="5" t="s">
        <v>3714</v>
      </c>
      <c r="M1298" s="5" t="s">
        <v>38</v>
      </c>
      <c r="N1298" s="13">
        <v>318.62</v>
      </c>
      <c r="O1298" s="5" t="s">
        <v>38</v>
      </c>
      <c r="P1298" s="5" t="s">
        <v>39</v>
      </c>
      <c r="Q1298" s="2">
        <v>45960</v>
      </c>
      <c r="R1298" s="1" t="s">
        <v>3497</v>
      </c>
      <c r="V1298" s="46">
        <f>IF(
  OR(
    ISNUMBER(SEARCH("unable to locate acct", tblDocketedComments[[#This Row],[Docketed Consumer Comments]])),
    ISNUMBER(SEARCH("unknown", tblDocketedComments[[#This Row],[Docketed Consumer Comments]])),
    ISNUMBER(SEARCH("inactive", tblDocketedComments[[#This Row],[Docketed Consumer Comments]]))
  ),
  0,
  1
)</f>
        <v>1</v>
      </c>
    </row>
    <row r="1299" spans="1:22">
      <c r="A1299" s="2">
        <v>45959</v>
      </c>
      <c r="B1299" s="1" t="s">
        <v>1879</v>
      </c>
      <c r="C1299" s="1" t="s">
        <v>3715</v>
      </c>
      <c r="D1299" s="1" t="s">
        <v>174</v>
      </c>
      <c r="E1299" s="1">
        <v>85396</v>
      </c>
      <c r="F1299" s="1" t="s">
        <v>3531</v>
      </c>
      <c r="G1299" s="1" t="s">
        <v>3712</v>
      </c>
      <c r="H1299" s="4" t="s">
        <v>3716</v>
      </c>
      <c r="I1299" s="5" t="s">
        <v>36</v>
      </c>
      <c r="J1299" s="5" t="s">
        <v>37</v>
      </c>
      <c r="K1299" s="5" t="s">
        <v>37</v>
      </c>
      <c r="L1299" s="5" t="s">
        <v>1586</v>
      </c>
      <c r="M1299" s="5" t="s">
        <v>37</v>
      </c>
      <c r="N1299" s="5" t="s">
        <v>37</v>
      </c>
      <c r="O1299" s="5" t="s">
        <v>38</v>
      </c>
      <c r="P1299" s="5" t="s">
        <v>39</v>
      </c>
      <c r="Q1299" s="2">
        <v>45960</v>
      </c>
      <c r="R1299" s="1" t="s">
        <v>3497</v>
      </c>
      <c r="V129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0" spans="1:22">
      <c r="A1300" s="2">
        <v>45959</v>
      </c>
      <c r="B1300" s="1" t="s">
        <v>3717</v>
      </c>
      <c r="C1300" s="1" t="s">
        <v>3718</v>
      </c>
      <c r="D1300" s="1" t="s">
        <v>1204</v>
      </c>
      <c r="E1300" s="1">
        <v>85355</v>
      </c>
      <c r="F1300" s="1" t="s">
        <v>3531</v>
      </c>
      <c r="G1300" s="1" t="s">
        <v>3712</v>
      </c>
      <c r="H1300" s="4" t="s">
        <v>27</v>
      </c>
      <c r="Q1300" s="2"/>
      <c r="R1300" s="1" t="s">
        <v>3497</v>
      </c>
      <c r="V130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1" spans="1:22">
      <c r="A1301" s="2">
        <v>45959</v>
      </c>
      <c r="B1301" s="1" t="s">
        <v>3719</v>
      </c>
      <c r="C1301" s="1" t="s">
        <v>1714</v>
      </c>
      <c r="D1301" s="1" t="s">
        <v>169</v>
      </c>
      <c r="E1301" s="1">
        <v>85395</v>
      </c>
      <c r="F1301" s="1" t="s">
        <v>3531</v>
      </c>
      <c r="G1301" s="1" t="s">
        <v>3712</v>
      </c>
      <c r="H1301" s="4" t="s">
        <v>27</v>
      </c>
      <c r="Q1301" s="2"/>
      <c r="R1301" s="1" t="s">
        <v>3497</v>
      </c>
      <c r="V130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2" spans="1:22">
      <c r="A1302" s="2">
        <v>45959</v>
      </c>
      <c r="B1302" s="1" t="s">
        <v>3720</v>
      </c>
      <c r="C1302" s="1" t="s">
        <v>3721</v>
      </c>
      <c r="D1302" s="1" t="s">
        <v>112</v>
      </c>
      <c r="E1302" s="1">
        <v>85387</v>
      </c>
      <c r="F1302" s="1" t="s">
        <v>3531</v>
      </c>
      <c r="G1302" s="1" t="s">
        <v>3712</v>
      </c>
      <c r="H1302" s="4" t="s">
        <v>3722</v>
      </c>
      <c r="I1302" s="5" t="s">
        <v>36</v>
      </c>
      <c r="J1302" s="5" t="s">
        <v>37</v>
      </c>
      <c r="K1302" s="5" t="s">
        <v>37</v>
      </c>
      <c r="L1302" s="5" t="s">
        <v>1586</v>
      </c>
      <c r="M1302" s="5" t="s">
        <v>37</v>
      </c>
      <c r="N1302" s="5" t="s">
        <v>37</v>
      </c>
      <c r="O1302" s="5" t="s">
        <v>38</v>
      </c>
      <c r="P1302" s="5" t="s">
        <v>39</v>
      </c>
      <c r="Q1302" s="2">
        <v>45960</v>
      </c>
      <c r="R1302" s="1" t="s">
        <v>3497</v>
      </c>
      <c r="V130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3" spans="1:22">
      <c r="A1303" s="2">
        <v>45959</v>
      </c>
      <c r="B1303" s="1" t="s">
        <v>3723</v>
      </c>
      <c r="C1303" s="1" t="s">
        <v>3724</v>
      </c>
      <c r="D1303" s="1" t="s">
        <v>112</v>
      </c>
      <c r="E1303" s="1">
        <v>85379</v>
      </c>
      <c r="F1303" s="1" t="s">
        <v>3531</v>
      </c>
      <c r="G1303" s="1" t="s">
        <v>3712</v>
      </c>
      <c r="H1303" s="4" t="s">
        <v>3725</v>
      </c>
      <c r="I1303" s="5" t="s">
        <v>196</v>
      </c>
      <c r="J1303" s="5" t="s">
        <v>37</v>
      </c>
      <c r="K1303" s="5" t="s">
        <v>37</v>
      </c>
      <c r="L1303" s="5" t="s">
        <v>3726</v>
      </c>
      <c r="M1303" s="5" t="s">
        <v>37</v>
      </c>
      <c r="N1303" s="5" t="s">
        <v>37</v>
      </c>
      <c r="O1303" s="5" t="s">
        <v>38</v>
      </c>
      <c r="P1303" s="5" t="s">
        <v>39</v>
      </c>
      <c r="Q1303" s="2">
        <v>45960</v>
      </c>
      <c r="R1303" s="1" t="s">
        <v>3497</v>
      </c>
      <c r="V130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4" spans="1:22">
      <c r="A1304" s="2">
        <v>45959</v>
      </c>
      <c r="B1304" s="1" t="s">
        <v>3727</v>
      </c>
      <c r="C1304" s="1" t="s">
        <v>3728</v>
      </c>
      <c r="D1304" s="1" t="s">
        <v>174</v>
      </c>
      <c r="E1304" s="1">
        <v>85326</v>
      </c>
      <c r="F1304" s="1" t="s">
        <v>3531</v>
      </c>
      <c r="G1304" s="1" t="s">
        <v>3712</v>
      </c>
      <c r="H1304" s="4" t="s">
        <v>27</v>
      </c>
      <c r="Q1304" s="2"/>
      <c r="R1304" s="1" t="s">
        <v>3497</v>
      </c>
      <c r="V130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5" spans="1:22">
      <c r="A1305" s="2">
        <v>45959</v>
      </c>
      <c r="B1305" s="1" t="s">
        <v>3729</v>
      </c>
      <c r="C1305" s="1" t="s">
        <v>3730</v>
      </c>
      <c r="D1305" s="1" t="s">
        <v>112</v>
      </c>
      <c r="E1305" s="1">
        <v>85379</v>
      </c>
      <c r="F1305" s="1" t="s">
        <v>3531</v>
      </c>
      <c r="G1305" s="1" t="s">
        <v>3712</v>
      </c>
      <c r="H1305" s="4" t="s">
        <v>3731</v>
      </c>
      <c r="I1305" s="5" t="s">
        <v>541</v>
      </c>
      <c r="J1305" s="5" t="s">
        <v>37</v>
      </c>
      <c r="K1305" s="5" t="s">
        <v>37</v>
      </c>
      <c r="L1305" s="5" t="s">
        <v>389</v>
      </c>
      <c r="M1305" s="5" t="s">
        <v>37</v>
      </c>
      <c r="N1305" s="5" t="s">
        <v>37</v>
      </c>
      <c r="O1305" s="5" t="s">
        <v>38</v>
      </c>
      <c r="P1305" s="5" t="s">
        <v>39</v>
      </c>
      <c r="Q1305" s="2">
        <v>45960</v>
      </c>
      <c r="R1305" s="1" t="s">
        <v>3497</v>
      </c>
      <c r="V130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6" spans="1:22">
      <c r="A1306" s="2">
        <v>45959</v>
      </c>
      <c r="B1306" s="1" t="s">
        <v>3732</v>
      </c>
      <c r="C1306" s="1" t="s">
        <v>3733</v>
      </c>
      <c r="D1306" s="1" t="s">
        <v>240</v>
      </c>
      <c r="E1306" s="1">
        <v>85340</v>
      </c>
      <c r="F1306" s="1" t="s">
        <v>3531</v>
      </c>
      <c r="G1306" s="1" t="s">
        <v>3712</v>
      </c>
      <c r="H1306" s="4" t="s">
        <v>27</v>
      </c>
      <c r="Q1306" s="2"/>
      <c r="R1306" s="1" t="s">
        <v>3497</v>
      </c>
      <c r="V130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7" spans="1:22" ht="10.9" customHeight="1">
      <c r="A1307" s="2">
        <v>45959</v>
      </c>
      <c r="B1307" s="1" t="s">
        <v>3431</v>
      </c>
      <c r="C1307" s="1" t="s">
        <v>1220</v>
      </c>
      <c r="D1307" s="1" t="s">
        <v>63</v>
      </c>
      <c r="E1307" s="1">
        <v>85020</v>
      </c>
      <c r="F1307" s="1" t="s">
        <v>3531</v>
      </c>
      <c r="G1307" s="1" t="s">
        <v>3734</v>
      </c>
      <c r="H1307" s="4" t="s">
        <v>3735</v>
      </c>
      <c r="I1307" s="5" t="s">
        <v>73</v>
      </c>
      <c r="J1307" s="5" t="s">
        <v>37</v>
      </c>
      <c r="K1307" s="5" t="s">
        <v>37</v>
      </c>
      <c r="L1307" s="5" t="s">
        <v>1586</v>
      </c>
      <c r="M1307" s="5" t="s">
        <v>37</v>
      </c>
      <c r="N1307" s="5" t="s">
        <v>37</v>
      </c>
      <c r="O1307" s="5" t="s">
        <v>38</v>
      </c>
      <c r="P1307" s="5" t="s">
        <v>39</v>
      </c>
      <c r="Q1307" s="2">
        <v>45960</v>
      </c>
      <c r="V130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8" spans="1:22">
      <c r="A1308" s="2">
        <v>45959</v>
      </c>
      <c r="B1308" s="1" t="s">
        <v>3736</v>
      </c>
      <c r="C1308" s="1" t="s">
        <v>3737</v>
      </c>
      <c r="D1308" s="1" t="s">
        <v>174</v>
      </c>
      <c r="E1308" s="1">
        <v>85396</v>
      </c>
      <c r="F1308" s="1" t="s">
        <v>3738</v>
      </c>
      <c r="G1308" s="1" t="s">
        <v>3739</v>
      </c>
      <c r="H1308" s="4" t="s">
        <v>3740</v>
      </c>
      <c r="I1308" s="5" t="s">
        <v>36</v>
      </c>
      <c r="J1308" s="5" t="s">
        <v>37</v>
      </c>
      <c r="K1308" s="5" t="s">
        <v>37</v>
      </c>
      <c r="L1308" s="5" t="s">
        <v>1586</v>
      </c>
      <c r="M1308" s="5" t="s">
        <v>37</v>
      </c>
      <c r="N1308" s="5" t="s">
        <v>37</v>
      </c>
      <c r="O1308" s="5" t="s">
        <v>38</v>
      </c>
      <c r="P1308" s="5" t="s">
        <v>39</v>
      </c>
      <c r="Q1308" s="2">
        <v>45960</v>
      </c>
      <c r="V130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09" spans="1:22">
      <c r="A1309" s="2">
        <v>45961</v>
      </c>
      <c r="B1309" s="1" t="s">
        <v>3741</v>
      </c>
      <c r="C1309" s="1" t="s">
        <v>184</v>
      </c>
      <c r="D1309" s="1" t="s">
        <v>174</v>
      </c>
      <c r="E1309" s="1">
        <v>85396</v>
      </c>
      <c r="F1309" s="1" t="s">
        <v>3531</v>
      </c>
      <c r="G1309" s="1" t="s">
        <v>3742</v>
      </c>
      <c r="H1309" s="4" t="s">
        <v>27</v>
      </c>
      <c r="Q1309" s="2"/>
      <c r="R1309" s="1" t="s">
        <v>3497</v>
      </c>
      <c r="V130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0" spans="1:22">
      <c r="A1310" s="2">
        <v>45961</v>
      </c>
      <c r="B1310" s="1" t="s">
        <v>3743</v>
      </c>
      <c r="C1310" s="1" t="s">
        <v>3744</v>
      </c>
      <c r="D1310" s="1" t="s">
        <v>174</v>
      </c>
      <c r="E1310" s="1">
        <v>85326</v>
      </c>
      <c r="F1310" s="1" t="s">
        <v>3531</v>
      </c>
      <c r="G1310" s="1" t="s">
        <v>3742</v>
      </c>
      <c r="H1310" s="4" t="s">
        <v>27</v>
      </c>
      <c r="Q1310" s="2"/>
      <c r="R1310" s="1" t="s">
        <v>3497</v>
      </c>
      <c r="V13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1" spans="1:22">
      <c r="A1311" s="2">
        <v>45961</v>
      </c>
      <c r="B1311" s="1" t="s">
        <v>1686</v>
      </c>
      <c r="C1311" s="1" t="s">
        <v>790</v>
      </c>
      <c r="D1311" s="1" t="s">
        <v>63</v>
      </c>
      <c r="E1311" s="1">
        <v>85083</v>
      </c>
      <c r="F1311" s="1" t="s">
        <v>3531</v>
      </c>
      <c r="G1311" s="1" t="s">
        <v>3742</v>
      </c>
      <c r="H1311" s="4" t="s">
        <v>3745</v>
      </c>
      <c r="I1311" s="5" t="s">
        <v>243</v>
      </c>
      <c r="J1311" s="5" t="s">
        <v>37</v>
      </c>
      <c r="K1311" s="5" t="s">
        <v>37</v>
      </c>
      <c r="L1311" s="5" t="s">
        <v>389</v>
      </c>
      <c r="M1311" s="5" t="s">
        <v>37</v>
      </c>
      <c r="N1311" s="5" t="s">
        <v>37</v>
      </c>
      <c r="O1311" s="5" t="s">
        <v>38</v>
      </c>
      <c r="P1311" s="5" t="s">
        <v>39</v>
      </c>
      <c r="Q1311" s="2">
        <v>45961</v>
      </c>
      <c r="R1311" s="1" t="s">
        <v>3497</v>
      </c>
      <c r="V13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2" spans="1:22">
      <c r="A1312" s="2">
        <v>45961</v>
      </c>
      <c r="B1312" s="1" t="s">
        <v>367</v>
      </c>
      <c r="C1312" s="1" t="s">
        <v>3746</v>
      </c>
      <c r="D1312" s="1" t="s">
        <v>2105</v>
      </c>
      <c r="E1312" s="1">
        <v>85128</v>
      </c>
      <c r="F1312" s="1" t="s">
        <v>3531</v>
      </c>
      <c r="G1312" s="1" t="s">
        <v>3742</v>
      </c>
      <c r="H1312" s="4" t="s">
        <v>3747</v>
      </c>
      <c r="I1312" s="5" t="s">
        <v>36</v>
      </c>
      <c r="J1312" s="5" t="s">
        <v>37</v>
      </c>
      <c r="K1312" s="5" t="s">
        <v>37</v>
      </c>
      <c r="L1312" s="5" t="s">
        <v>1586</v>
      </c>
      <c r="M1312" s="5" t="s">
        <v>37</v>
      </c>
      <c r="N1312" s="5" t="s">
        <v>37</v>
      </c>
      <c r="O1312" s="5" t="s">
        <v>38</v>
      </c>
      <c r="P1312" s="5" t="s">
        <v>39</v>
      </c>
      <c r="Q1312" s="2">
        <v>45961</v>
      </c>
      <c r="R1312" s="1" t="s">
        <v>3497</v>
      </c>
      <c r="V13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3" spans="1:22">
      <c r="A1313" s="2">
        <v>45961</v>
      </c>
      <c r="B1313" s="1" t="s">
        <v>686</v>
      </c>
      <c r="C1313" s="1" t="s">
        <v>648</v>
      </c>
      <c r="D1313" s="1" t="s">
        <v>202</v>
      </c>
      <c r="E1313" s="1">
        <v>85382</v>
      </c>
      <c r="F1313" s="1" t="s">
        <v>3531</v>
      </c>
      <c r="G1313" s="1" t="s">
        <v>3742</v>
      </c>
      <c r="H1313" s="4" t="s">
        <v>3748</v>
      </c>
      <c r="I1313" s="5" t="s">
        <v>36</v>
      </c>
      <c r="J1313" s="5" t="s">
        <v>37</v>
      </c>
      <c r="K1313" s="5" t="s">
        <v>37</v>
      </c>
      <c r="L1313" s="5" t="s">
        <v>1586</v>
      </c>
      <c r="M1313" s="5" t="s">
        <v>37</v>
      </c>
      <c r="N1313" s="5" t="s">
        <v>37</v>
      </c>
      <c r="O1313" s="5" t="s">
        <v>38</v>
      </c>
      <c r="P1313" s="5" t="s">
        <v>39</v>
      </c>
      <c r="Q1313" s="2">
        <v>45961</v>
      </c>
      <c r="R1313" s="1" t="s">
        <v>3497</v>
      </c>
      <c r="V13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4" spans="1:22">
      <c r="A1314" s="2">
        <v>45961</v>
      </c>
      <c r="B1314" s="1" t="s">
        <v>3749</v>
      </c>
      <c r="C1314" s="1" t="s">
        <v>2019</v>
      </c>
      <c r="D1314" s="1" t="s">
        <v>174</v>
      </c>
      <c r="E1314" s="1">
        <v>85396</v>
      </c>
      <c r="F1314" s="1" t="s">
        <v>3531</v>
      </c>
      <c r="G1314" s="1" t="s">
        <v>3742</v>
      </c>
      <c r="H1314" s="4" t="s">
        <v>27</v>
      </c>
      <c r="Q1314" s="2"/>
      <c r="R1314" s="1" t="s">
        <v>3497</v>
      </c>
      <c r="V131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5" spans="1:22">
      <c r="A1315" s="2">
        <v>45961</v>
      </c>
      <c r="B1315" s="1" t="s">
        <v>3749</v>
      </c>
      <c r="C1315" s="1" t="s">
        <v>1749</v>
      </c>
      <c r="D1315" s="1" t="s">
        <v>174</v>
      </c>
      <c r="E1315" s="1">
        <v>85396</v>
      </c>
      <c r="F1315" s="1" t="s">
        <v>3531</v>
      </c>
      <c r="G1315" s="1" t="s">
        <v>3742</v>
      </c>
      <c r="H1315" s="4" t="s">
        <v>27</v>
      </c>
      <c r="Q1315" s="2"/>
      <c r="R1315" s="1" t="s">
        <v>3497</v>
      </c>
      <c r="V13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6" spans="1:22">
      <c r="A1316" s="2">
        <v>45961</v>
      </c>
      <c r="B1316" s="1" t="s">
        <v>3750</v>
      </c>
      <c r="C1316" s="1" t="s">
        <v>3751</v>
      </c>
      <c r="D1316" s="1" t="s">
        <v>174</v>
      </c>
      <c r="E1316" s="1">
        <v>85326</v>
      </c>
      <c r="F1316" s="1" t="s">
        <v>3531</v>
      </c>
      <c r="G1316" s="1" t="s">
        <v>3742</v>
      </c>
      <c r="H1316" s="4" t="s">
        <v>3752</v>
      </c>
      <c r="I1316" s="5" t="s">
        <v>3753</v>
      </c>
      <c r="J1316" s="5" t="s">
        <v>38</v>
      </c>
      <c r="K1316" s="5" t="s">
        <v>37</v>
      </c>
      <c r="L1316" s="5" t="s">
        <v>389</v>
      </c>
      <c r="M1316" s="5" t="s">
        <v>37</v>
      </c>
      <c r="N1316" s="5" t="s">
        <v>37</v>
      </c>
      <c r="O1316" s="5" t="s">
        <v>38</v>
      </c>
      <c r="P1316" s="5" t="s">
        <v>39</v>
      </c>
      <c r="Q1316" s="2">
        <v>45961</v>
      </c>
      <c r="R1316" s="1" t="s">
        <v>3497</v>
      </c>
      <c r="V13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7" spans="1:22">
      <c r="A1317" s="2">
        <v>45959</v>
      </c>
      <c r="B1317" s="1" t="s">
        <v>3754</v>
      </c>
      <c r="C1317" s="1" t="s">
        <v>3755</v>
      </c>
      <c r="D1317" s="1" t="s">
        <v>63</v>
      </c>
      <c r="E1317" s="1">
        <v>85032</v>
      </c>
      <c r="F1317" s="1" t="s">
        <v>3756</v>
      </c>
      <c r="G1317" s="1" t="s">
        <v>3757</v>
      </c>
      <c r="H1317" s="4" t="s">
        <v>3758</v>
      </c>
      <c r="I1317" s="5" t="s">
        <v>126</v>
      </c>
      <c r="J1317" s="5" t="s">
        <v>37</v>
      </c>
      <c r="K1317" s="5" t="s">
        <v>37</v>
      </c>
      <c r="L1317" s="5" t="s">
        <v>401</v>
      </c>
      <c r="M1317" s="5" t="s">
        <v>37</v>
      </c>
      <c r="N1317" s="5" t="s">
        <v>37</v>
      </c>
      <c r="O1317" s="5" t="s">
        <v>38</v>
      </c>
      <c r="P1317" s="5" t="s">
        <v>39</v>
      </c>
      <c r="Q1317" s="2">
        <v>45964</v>
      </c>
      <c r="V13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8" spans="1:22">
      <c r="A1318" s="2">
        <v>45961</v>
      </c>
      <c r="B1318" s="1" t="s">
        <v>3759</v>
      </c>
      <c r="C1318" s="1" t="s">
        <v>2258</v>
      </c>
      <c r="D1318" s="1" t="s">
        <v>63</v>
      </c>
      <c r="E1318" s="1">
        <v>85050</v>
      </c>
      <c r="F1318" s="1" t="s">
        <v>3531</v>
      </c>
      <c r="G1318" s="1" t="s">
        <v>3757</v>
      </c>
      <c r="H1318" s="4" t="s">
        <v>3760</v>
      </c>
      <c r="I1318" s="5" t="s">
        <v>126</v>
      </c>
      <c r="J1318" s="5" t="s">
        <v>37</v>
      </c>
      <c r="K1318" s="5" t="s">
        <v>37</v>
      </c>
      <c r="L1318" s="5" t="s">
        <v>38</v>
      </c>
      <c r="M1318" s="5" t="s">
        <v>38</v>
      </c>
      <c r="N1318" s="13">
        <v>302.06</v>
      </c>
      <c r="O1318" s="5" t="s">
        <v>38</v>
      </c>
      <c r="P1318" s="5" t="s">
        <v>39</v>
      </c>
      <c r="Q1318" s="2">
        <v>45964</v>
      </c>
      <c r="V13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19" spans="1:22" ht="13.9" customHeight="1">
      <c r="A1319" s="2">
        <v>45959</v>
      </c>
      <c r="B1319" s="1" t="s">
        <v>3761</v>
      </c>
      <c r="C1319" s="1" t="s">
        <v>3762</v>
      </c>
      <c r="D1319" s="1" t="s">
        <v>63</v>
      </c>
      <c r="E1319" s="1">
        <v>85032</v>
      </c>
      <c r="F1319" s="1" t="s">
        <v>3756</v>
      </c>
      <c r="G1319" s="1" t="s">
        <v>3757</v>
      </c>
      <c r="H1319" s="4" t="s">
        <v>3758</v>
      </c>
      <c r="I1319" s="5" t="s">
        <v>126</v>
      </c>
      <c r="J1319" s="5" t="s">
        <v>37</v>
      </c>
      <c r="K1319" s="5" t="s">
        <v>37</v>
      </c>
      <c r="L1319" s="5" t="s">
        <v>401</v>
      </c>
      <c r="M1319" s="5" t="s">
        <v>37</v>
      </c>
      <c r="N1319" s="5" t="s">
        <v>37</v>
      </c>
      <c r="O1319" s="5" t="s">
        <v>38</v>
      </c>
      <c r="P1319" s="5" t="s">
        <v>39</v>
      </c>
      <c r="Q1319" s="2">
        <v>45964</v>
      </c>
      <c r="V131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0" spans="1:22">
      <c r="A1320" s="2">
        <v>45961</v>
      </c>
      <c r="B1320" s="1" t="s">
        <v>3763</v>
      </c>
      <c r="C1320" s="1" t="s">
        <v>1941</v>
      </c>
      <c r="D1320" s="1" t="s">
        <v>1919</v>
      </c>
      <c r="E1320" s="1">
        <v>85208</v>
      </c>
      <c r="F1320" s="1" t="s">
        <v>3531</v>
      </c>
      <c r="G1320" s="1" t="s">
        <v>3757</v>
      </c>
      <c r="H1320" s="4" t="s">
        <v>27</v>
      </c>
      <c r="V132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1" spans="1:22">
      <c r="A1321" s="2">
        <v>45959</v>
      </c>
      <c r="B1321" s="1" t="s">
        <v>2781</v>
      </c>
      <c r="C1321" s="1" t="s">
        <v>2380</v>
      </c>
      <c r="D1321" s="1" t="s">
        <v>89</v>
      </c>
      <c r="E1321" s="1">
        <v>86351</v>
      </c>
      <c r="F1321" s="1" t="s">
        <v>3764</v>
      </c>
      <c r="G1321" s="1" t="s">
        <v>3757</v>
      </c>
      <c r="H1321" s="4" t="s">
        <v>2783</v>
      </c>
      <c r="I1321" s="5" t="s">
        <v>57</v>
      </c>
      <c r="J1321" s="5" t="s">
        <v>37</v>
      </c>
      <c r="K1321" s="5" t="s">
        <v>37</v>
      </c>
      <c r="L1321" s="7" t="s">
        <v>2784</v>
      </c>
      <c r="M1321" s="5" t="s">
        <v>37</v>
      </c>
      <c r="N1321" s="5" t="s">
        <v>37</v>
      </c>
      <c r="O1321" s="5" t="s">
        <v>38</v>
      </c>
      <c r="P1321" s="2">
        <v>45971</v>
      </c>
      <c r="Q1321" s="2">
        <v>45964</v>
      </c>
      <c r="R1321" s="1" t="s">
        <v>2172</v>
      </c>
      <c r="V132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2" spans="1:22">
      <c r="A1322" s="2">
        <v>45959</v>
      </c>
      <c r="B1322" s="1" t="s">
        <v>3765</v>
      </c>
      <c r="C1322" s="1" t="s">
        <v>3766</v>
      </c>
      <c r="D1322" s="1" t="s">
        <v>63</v>
      </c>
      <c r="E1322" s="1">
        <v>85085</v>
      </c>
      <c r="F1322" s="1" t="s">
        <v>3767</v>
      </c>
      <c r="G1322" s="1" t="s">
        <v>3757</v>
      </c>
      <c r="H1322" s="4" t="s">
        <v>3768</v>
      </c>
      <c r="I1322" s="5" t="s">
        <v>36</v>
      </c>
      <c r="J1322" s="5" t="s">
        <v>37</v>
      </c>
      <c r="K1322" s="5" t="s">
        <v>37</v>
      </c>
      <c r="L1322" s="5" t="s">
        <v>38</v>
      </c>
      <c r="M1322" s="5" t="s">
        <v>37</v>
      </c>
      <c r="N1322" s="5" t="s">
        <v>37</v>
      </c>
      <c r="O1322" s="5" t="s">
        <v>38</v>
      </c>
      <c r="P1322" s="5" t="s">
        <v>39</v>
      </c>
      <c r="Q1322" s="2">
        <v>45964</v>
      </c>
      <c r="V132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3" spans="1:22">
      <c r="A1323" s="2">
        <v>45961</v>
      </c>
      <c r="B1323" s="1" t="s">
        <v>3769</v>
      </c>
      <c r="C1323" s="1" t="s">
        <v>1674</v>
      </c>
      <c r="D1323" s="1" t="s">
        <v>3538</v>
      </c>
      <c r="E1323" s="1">
        <v>85730</v>
      </c>
      <c r="F1323" s="1" t="s">
        <v>3531</v>
      </c>
      <c r="G1323" s="1" t="s">
        <v>3757</v>
      </c>
      <c r="H1323" s="4" t="s">
        <v>27</v>
      </c>
      <c r="V132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4" spans="1:22">
      <c r="A1324" s="2">
        <v>45961</v>
      </c>
      <c r="B1324" s="1" t="s">
        <v>3770</v>
      </c>
      <c r="C1324" s="1" t="s">
        <v>3771</v>
      </c>
      <c r="D1324" s="1" t="s">
        <v>30</v>
      </c>
      <c r="F1324" s="1" t="s">
        <v>3772</v>
      </c>
      <c r="G1324" s="1" t="s">
        <v>3757</v>
      </c>
      <c r="H1324" s="4" t="s">
        <v>27</v>
      </c>
      <c r="V132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5" spans="1:22">
      <c r="A1325" s="2">
        <v>45961</v>
      </c>
      <c r="B1325" s="1" t="s">
        <v>167</v>
      </c>
      <c r="C1325" s="1" t="s">
        <v>503</v>
      </c>
      <c r="D1325" s="1" t="s">
        <v>30</v>
      </c>
      <c r="F1325" s="1" t="s">
        <v>3773</v>
      </c>
      <c r="G1325" s="1" t="s">
        <v>3757</v>
      </c>
      <c r="H1325" s="4" t="s">
        <v>209</v>
      </c>
      <c r="V132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6" spans="1:22">
      <c r="A1326" s="2">
        <v>45961</v>
      </c>
      <c r="B1326" s="1" t="s">
        <v>3774</v>
      </c>
      <c r="C1326" s="1" t="s">
        <v>79</v>
      </c>
      <c r="D1326" s="1" t="s">
        <v>3538</v>
      </c>
      <c r="E1326" s="1">
        <v>85745</v>
      </c>
      <c r="F1326" s="1" t="s">
        <v>3531</v>
      </c>
      <c r="G1326" s="1" t="s">
        <v>3757</v>
      </c>
      <c r="H1326" s="4" t="s">
        <v>27</v>
      </c>
      <c r="V132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7" spans="1:22">
      <c r="A1327" s="2">
        <v>45961</v>
      </c>
      <c r="B1327" s="1" t="s">
        <v>3775</v>
      </c>
      <c r="C1327" s="1" t="s">
        <v>481</v>
      </c>
      <c r="D1327" s="1" t="s">
        <v>698</v>
      </c>
      <c r="E1327" s="1">
        <v>85375</v>
      </c>
      <c r="F1327" s="1" t="s">
        <v>3776</v>
      </c>
      <c r="G1327" s="1" t="s">
        <v>3777</v>
      </c>
      <c r="H1327" s="4" t="s">
        <v>3778</v>
      </c>
      <c r="I1327" s="5" t="s">
        <v>541</v>
      </c>
      <c r="J1327" s="5" t="s">
        <v>37</v>
      </c>
      <c r="K1327" s="5" t="s">
        <v>37</v>
      </c>
      <c r="L1327" s="5" t="s">
        <v>389</v>
      </c>
      <c r="M1327" s="5" t="s">
        <v>37</v>
      </c>
      <c r="N1327" s="5" t="s">
        <v>37</v>
      </c>
      <c r="O1327" s="5" t="s">
        <v>38</v>
      </c>
      <c r="P1327" s="5" t="s">
        <v>39</v>
      </c>
      <c r="Q1327" s="2">
        <v>45964</v>
      </c>
      <c r="R1327" s="1" t="s">
        <v>3779</v>
      </c>
      <c r="V132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8" spans="1:22">
      <c r="A1328" s="2">
        <v>45961</v>
      </c>
      <c r="B1328" s="1" t="s">
        <v>1078</v>
      </c>
      <c r="C1328" s="1" t="s">
        <v>733</v>
      </c>
      <c r="D1328" s="1" t="s">
        <v>24</v>
      </c>
      <c r="E1328" s="1">
        <v>85308</v>
      </c>
      <c r="F1328" s="1" t="s">
        <v>3780</v>
      </c>
      <c r="G1328" s="1" t="s">
        <v>3781</v>
      </c>
      <c r="H1328" s="4" t="s">
        <v>27</v>
      </c>
      <c r="V132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29" spans="1:22">
      <c r="A1329" s="2">
        <v>45961</v>
      </c>
      <c r="B1329" s="1" t="s">
        <v>3782</v>
      </c>
      <c r="C1329" s="1" t="s">
        <v>3783</v>
      </c>
      <c r="D1329" s="1" t="s">
        <v>63</v>
      </c>
      <c r="E1329" s="1">
        <v>85086</v>
      </c>
      <c r="F1329" s="1" t="s">
        <v>3531</v>
      </c>
      <c r="G1329" s="1" t="s">
        <v>3784</v>
      </c>
      <c r="H1329" s="4" t="s">
        <v>27</v>
      </c>
      <c r="V132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0" spans="1:22">
      <c r="A1330" s="2">
        <v>45961</v>
      </c>
      <c r="B1330" s="1" t="s">
        <v>1134</v>
      </c>
      <c r="C1330" s="1" t="s">
        <v>211</v>
      </c>
      <c r="D1330" s="1" t="s">
        <v>169</v>
      </c>
      <c r="E1330" s="1">
        <v>85338</v>
      </c>
      <c r="F1330" s="1" t="s">
        <v>3785</v>
      </c>
      <c r="G1330" s="1" t="s">
        <v>3784</v>
      </c>
      <c r="H1330" s="4" t="s">
        <v>209</v>
      </c>
      <c r="V133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1" spans="1:22">
      <c r="A1331" s="2">
        <v>45961</v>
      </c>
      <c r="B1331" s="1" t="s">
        <v>3786</v>
      </c>
      <c r="C1331" s="1" t="s">
        <v>230</v>
      </c>
      <c r="D1331" s="1" t="s">
        <v>30</v>
      </c>
      <c r="E1331" s="1" t="s">
        <v>30</v>
      </c>
      <c r="F1331" s="1" t="s">
        <v>3787</v>
      </c>
      <c r="G1331" s="1" t="s">
        <v>3784</v>
      </c>
      <c r="H1331" s="4" t="s">
        <v>3788</v>
      </c>
      <c r="I1331" s="5" t="s">
        <v>126</v>
      </c>
      <c r="J1331" s="5" t="s">
        <v>37</v>
      </c>
      <c r="K1331" s="5" t="s">
        <v>37</v>
      </c>
      <c r="L1331" s="5" t="s">
        <v>38</v>
      </c>
      <c r="M1331" s="5" t="s">
        <v>37</v>
      </c>
      <c r="N1331" s="5" t="s">
        <v>37</v>
      </c>
      <c r="O1331" s="5" t="s">
        <v>38</v>
      </c>
      <c r="P1331" s="5" t="s">
        <v>39</v>
      </c>
      <c r="Q1331" s="2">
        <v>45965</v>
      </c>
      <c r="V133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2" spans="1:22">
      <c r="A1332" s="2">
        <v>45961</v>
      </c>
      <c r="B1332" s="1" t="s">
        <v>1765</v>
      </c>
      <c r="C1332" s="1" t="s">
        <v>3789</v>
      </c>
      <c r="D1332" s="1" t="s">
        <v>125</v>
      </c>
      <c r="E1332" s="1">
        <v>85266</v>
      </c>
      <c r="F1332" s="1" t="s">
        <v>3790</v>
      </c>
      <c r="G1332" s="1" t="s">
        <v>3784</v>
      </c>
      <c r="H1332" s="4" t="s">
        <v>27</v>
      </c>
      <c r="V133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3" spans="1:22">
      <c r="A1333" s="2">
        <v>45961</v>
      </c>
      <c r="B1333" s="1" t="s">
        <v>2963</v>
      </c>
      <c r="C1333" s="1" t="s">
        <v>3791</v>
      </c>
      <c r="D1333" s="1" t="s">
        <v>24</v>
      </c>
      <c r="E1333" s="1">
        <v>85310</v>
      </c>
      <c r="F1333" s="1" t="s">
        <v>3531</v>
      </c>
      <c r="G1333" s="1" t="s">
        <v>3792</v>
      </c>
      <c r="H1333" s="4" t="s">
        <v>3793</v>
      </c>
      <c r="I1333" s="5" t="s">
        <v>46</v>
      </c>
      <c r="J1333" s="5" t="s">
        <v>37</v>
      </c>
      <c r="K1333" s="5" t="s">
        <v>37</v>
      </c>
      <c r="L1333" s="5" t="s">
        <v>38</v>
      </c>
      <c r="M1333" s="5" t="s">
        <v>37</v>
      </c>
      <c r="N1333" s="5" t="s">
        <v>37</v>
      </c>
      <c r="O1333" s="5" t="s">
        <v>38</v>
      </c>
      <c r="P1333" s="5" t="s">
        <v>39</v>
      </c>
      <c r="Q1333" s="2">
        <v>45965</v>
      </c>
      <c r="V133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4" spans="1:22">
      <c r="A1334" s="2">
        <v>45964</v>
      </c>
      <c r="B1334" s="1" t="s">
        <v>210</v>
      </c>
      <c r="C1334" s="1" t="s">
        <v>211</v>
      </c>
      <c r="D1334" s="1" t="s">
        <v>85</v>
      </c>
      <c r="E1334" s="1">
        <v>86323</v>
      </c>
      <c r="F1334" s="1" t="s">
        <v>3794</v>
      </c>
      <c r="G1334" s="1" t="s">
        <v>3792</v>
      </c>
      <c r="H1334" s="4" t="s">
        <v>213</v>
      </c>
      <c r="I1334" s="5" t="s">
        <v>73</v>
      </c>
      <c r="J1334" s="5" t="s">
        <v>37</v>
      </c>
      <c r="K1334" s="5" t="s">
        <v>37</v>
      </c>
      <c r="L1334" s="5" t="s">
        <v>38</v>
      </c>
      <c r="M1334" s="5" t="s">
        <v>37</v>
      </c>
      <c r="N1334" s="5" t="s">
        <v>37</v>
      </c>
      <c r="O1334" s="5" t="s">
        <v>38</v>
      </c>
      <c r="P1334" s="5" t="s">
        <v>39</v>
      </c>
      <c r="Q1334" s="2">
        <v>45965</v>
      </c>
      <c r="V133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5" spans="1:22">
      <c r="A1335" s="2">
        <v>45964</v>
      </c>
      <c r="B1335" s="1" t="s">
        <v>3795</v>
      </c>
      <c r="C1335" s="1" t="s">
        <v>3796</v>
      </c>
      <c r="D1335" s="1" t="s">
        <v>30</v>
      </c>
      <c r="E1335" s="1" t="s">
        <v>30</v>
      </c>
      <c r="F1335" s="1" t="s">
        <v>3797</v>
      </c>
      <c r="G1335" s="1" t="s">
        <v>3792</v>
      </c>
      <c r="H1335" s="4" t="s">
        <v>209</v>
      </c>
      <c r="V133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6" spans="1:22">
      <c r="A1336" s="2">
        <v>45961</v>
      </c>
      <c r="B1336" s="1" t="s">
        <v>1776</v>
      </c>
      <c r="C1336" s="1" t="s">
        <v>1079</v>
      </c>
      <c r="D1336" s="1" t="s">
        <v>43</v>
      </c>
      <c r="E1336" s="1">
        <v>85363</v>
      </c>
      <c r="F1336" s="1" t="s">
        <v>3531</v>
      </c>
      <c r="G1336" s="1" t="s">
        <v>3792</v>
      </c>
      <c r="H1336" s="4" t="s">
        <v>3798</v>
      </c>
      <c r="I1336" s="5" t="s">
        <v>196</v>
      </c>
      <c r="J1336" s="5" t="s">
        <v>37</v>
      </c>
      <c r="K1336" s="5" t="s">
        <v>37</v>
      </c>
      <c r="L1336" s="5" t="s">
        <v>3799</v>
      </c>
      <c r="M1336" s="5" t="s">
        <v>38</v>
      </c>
      <c r="N1336" s="15">
        <v>1482.25</v>
      </c>
      <c r="O1336" s="5" t="s">
        <v>38</v>
      </c>
      <c r="P1336" s="7"/>
      <c r="Q1336" s="2">
        <v>45965</v>
      </c>
      <c r="R1336" s="33" t="s">
        <v>3800</v>
      </c>
      <c r="V133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7" spans="1:22">
      <c r="A1337" s="2">
        <v>45962</v>
      </c>
      <c r="B1337" s="1" t="s">
        <v>3801</v>
      </c>
      <c r="C1337" s="1" t="s">
        <v>611</v>
      </c>
      <c r="D1337" s="1" t="s">
        <v>63</v>
      </c>
      <c r="E1337" s="1">
        <v>85029</v>
      </c>
      <c r="F1337" s="1" t="s">
        <v>3802</v>
      </c>
      <c r="G1337" s="1" t="s">
        <v>3792</v>
      </c>
      <c r="H1337" s="4" t="s">
        <v>3803</v>
      </c>
      <c r="I1337" s="5" t="s">
        <v>36</v>
      </c>
      <c r="J1337" s="5" t="s">
        <v>37</v>
      </c>
      <c r="K1337" s="5" t="s">
        <v>37</v>
      </c>
      <c r="L1337" s="5" t="s">
        <v>38</v>
      </c>
      <c r="M1337" s="5" t="s">
        <v>37</v>
      </c>
      <c r="N1337" s="5" t="s">
        <v>37</v>
      </c>
      <c r="O1337" s="5" t="s">
        <v>38</v>
      </c>
      <c r="P1337" s="5" t="s">
        <v>39</v>
      </c>
      <c r="Q1337" s="2">
        <v>45965</v>
      </c>
      <c r="V133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8" spans="1:22">
      <c r="A1338" s="2">
        <v>45963</v>
      </c>
      <c r="B1338" s="1" t="s">
        <v>3804</v>
      </c>
      <c r="C1338" s="1" t="s">
        <v>135</v>
      </c>
      <c r="D1338" s="1" t="s">
        <v>737</v>
      </c>
      <c r="E1338" s="1">
        <v>86326</v>
      </c>
      <c r="F1338" s="1" t="s">
        <v>3805</v>
      </c>
      <c r="G1338" s="1" t="s">
        <v>3792</v>
      </c>
      <c r="H1338" s="4" t="s">
        <v>3806</v>
      </c>
      <c r="I1338" s="5" t="s">
        <v>541</v>
      </c>
      <c r="J1338" s="5" t="s">
        <v>37</v>
      </c>
      <c r="K1338" s="5" t="s">
        <v>37</v>
      </c>
      <c r="L1338" s="5" t="s">
        <v>389</v>
      </c>
      <c r="M1338" s="5" t="s">
        <v>37</v>
      </c>
      <c r="N1338" s="5" t="s">
        <v>37</v>
      </c>
      <c r="O1338" s="5" t="s">
        <v>38</v>
      </c>
      <c r="P1338" s="5" t="s">
        <v>39</v>
      </c>
      <c r="Q1338" s="2">
        <v>45965</v>
      </c>
      <c r="V133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39" spans="1:22">
      <c r="A1339" s="2">
        <v>45965</v>
      </c>
      <c r="B1339" s="1" t="s">
        <v>3807</v>
      </c>
      <c r="C1339" s="1" t="s">
        <v>3808</v>
      </c>
      <c r="D1339" s="1" t="s">
        <v>68</v>
      </c>
      <c r="E1339" s="1">
        <v>85331</v>
      </c>
      <c r="F1339" s="1" t="s">
        <v>3809</v>
      </c>
      <c r="G1339" s="1" t="s">
        <v>3810</v>
      </c>
      <c r="H1339" s="4" t="s">
        <v>3811</v>
      </c>
      <c r="I1339" s="5" t="s">
        <v>36</v>
      </c>
      <c r="J1339" s="5" t="s">
        <v>37</v>
      </c>
      <c r="K1339" s="5" t="s">
        <v>37</v>
      </c>
      <c r="L1339" s="5" t="s">
        <v>38</v>
      </c>
      <c r="M1339" s="5" t="s">
        <v>37</v>
      </c>
      <c r="N1339" s="5" t="s">
        <v>37</v>
      </c>
      <c r="O1339" s="5" t="s">
        <v>38</v>
      </c>
      <c r="P1339" s="5" t="s">
        <v>39</v>
      </c>
      <c r="Q1339" s="2">
        <v>45966</v>
      </c>
      <c r="V133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0" spans="1:22">
      <c r="A1340" s="2">
        <v>45906</v>
      </c>
      <c r="B1340" s="1" t="s">
        <v>2484</v>
      </c>
      <c r="C1340" s="1" t="s">
        <v>320</v>
      </c>
      <c r="D1340" s="1" t="s">
        <v>504</v>
      </c>
      <c r="E1340" s="1">
        <v>86005</v>
      </c>
      <c r="F1340" s="1" t="s">
        <v>3756</v>
      </c>
      <c r="G1340" s="1" t="s">
        <v>3810</v>
      </c>
      <c r="H1340" s="4" t="s">
        <v>3812</v>
      </c>
      <c r="I1340" s="5" t="s">
        <v>1684</v>
      </c>
      <c r="J1340" s="5" t="s">
        <v>37</v>
      </c>
      <c r="K1340" s="5" t="s">
        <v>37</v>
      </c>
      <c r="L1340" s="7" t="s">
        <v>3813</v>
      </c>
      <c r="M1340" s="5" t="s">
        <v>37</v>
      </c>
      <c r="N1340" s="5" t="s">
        <v>37</v>
      </c>
      <c r="O1340" s="5" t="s">
        <v>38</v>
      </c>
      <c r="P1340" s="2">
        <v>45971</v>
      </c>
      <c r="Q1340" s="2">
        <v>45966</v>
      </c>
      <c r="R1340" s="1" t="s">
        <v>3814</v>
      </c>
      <c r="V134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1" spans="1:22">
      <c r="A1341" s="2">
        <v>45964</v>
      </c>
      <c r="B1341" s="1" t="s">
        <v>3815</v>
      </c>
      <c r="C1341" s="1" t="s">
        <v>133</v>
      </c>
      <c r="D1341" s="1" t="s">
        <v>125</v>
      </c>
      <c r="E1341" s="1">
        <v>85255</v>
      </c>
      <c r="F1341" s="1" t="s">
        <v>3816</v>
      </c>
      <c r="G1341" s="1" t="s">
        <v>3817</v>
      </c>
      <c r="H1341" s="4" t="s">
        <v>3818</v>
      </c>
      <c r="I1341" s="5" t="s">
        <v>196</v>
      </c>
      <c r="J1341" s="5" t="s">
        <v>37</v>
      </c>
      <c r="K1341" s="5" t="s">
        <v>37</v>
      </c>
      <c r="L1341" s="7" t="s">
        <v>3819</v>
      </c>
      <c r="M1341" s="5" t="s">
        <v>37</v>
      </c>
      <c r="N1341" s="5" t="s">
        <v>37</v>
      </c>
      <c r="O1341" s="5" t="s">
        <v>38</v>
      </c>
      <c r="P1341" s="2">
        <v>45971</v>
      </c>
      <c r="Q1341" s="2">
        <v>45966</v>
      </c>
      <c r="R1341" s="1" t="s">
        <v>3820</v>
      </c>
      <c r="V134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2" spans="1:22">
      <c r="A1342" s="2">
        <v>45966</v>
      </c>
      <c r="B1342" s="1" t="s">
        <v>3821</v>
      </c>
      <c r="C1342" s="1" t="s">
        <v>784</v>
      </c>
      <c r="D1342" s="1" t="s">
        <v>63</v>
      </c>
      <c r="E1342" s="1">
        <v>85022</v>
      </c>
      <c r="F1342" s="1" t="s">
        <v>3822</v>
      </c>
      <c r="G1342" s="1" t="s">
        <v>3823</v>
      </c>
      <c r="H1342" s="4" t="s">
        <v>3824</v>
      </c>
      <c r="I1342" s="5" t="s">
        <v>196</v>
      </c>
      <c r="J1342" s="5" t="s">
        <v>37</v>
      </c>
      <c r="K1342" s="5" t="s">
        <v>37</v>
      </c>
      <c r="L1342" s="5" t="s">
        <v>3825</v>
      </c>
      <c r="M1342" s="5" t="s">
        <v>38</v>
      </c>
      <c r="N1342" s="13">
        <v>99.98</v>
      </c>
      <c r="O1342" s="5" t="s">
        <v>38</v>
      </c>
      <c r="P1342" s="5" t="s">
        <v>39</v>
      </c>
      <c r="Q1342" s="2">
        <v>45967</v>
      </c>
      <c r="R1342" s="1" t="s">
        <v>3826</v>
      </c>
      <c r="V134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3" spans="1:22">
      <c r="A1343" s="2">
        <v>45966</v>
      </c>
      <c r="B1343" s="1" t="s">
        <v>3827</v>
      </c>
      <c r="C1343" s="1" t="s">
        <v>135</v>
      </c>
      <c r="D1343" s="1" t="s">
        <v>63</v>
      </c>
      <c r="E1343" s="1">
        <v>85255</v>
      </c>
      <c r="F1343" s="1" t="s">
        <v>3828</v>
      </c>
      <c r="G1343" s="1" t="s">
        <v>3823</v>
      </c>
      <c r="H1343" s="4" t="s">
        <v>27</v>
      </c>
      <c r="V134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4" spans="1:22">
      <c r="A1344" s="2">
        <v>45966</v>
      </c>
      <c r="B1344" s="1" t="s">
        <v>3829</v>
      </c>
      <c r="C1344" s="1" t="s">
        <v>3830</v>
      </c>
      <c r="D1344" s="1" t="s">
        <v>174</v>
      </c>
      <c r="E1344" s="1">
        <v>85326</v>
      </c>
      <c r="F1344" s="1" t="s">
        <v>3831</v>
      </c>
      <c r="G1344" s="1" t="s">
        <v>3823</v>
      </c>
      <c r="H1344" s="4" t="s">
        <v>3832</v>
      </c>
      <c r="I1344" s="5" t="s">
        <v>36</v>
      </c>
      <c r="J1344" s="5" t="s">
        <v>37</v>
      </c>
      <c r="K1344" s="5" t="s">
        <v>37</v>
      </c>
      <c r="L1344" s="5" t="s">
        <v>38</v>
      </c>
      <c r="M1344" s="5" t="s">
        <v>38</v>
      </c>
      <c r="N1344" s="15">
        <v>1209</v>
      </c>
      <c r="O1344" s="5" t="s">
        <v>38</v>
      </c>
      <c r="P1344" s="7"/>
      <c r="Q1344" s="2">
        <v>45967</v>
      </c>
      <c r="R1344" s="1" t="s">
        <v>495</v>
      </c>
      <c r="V134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5" spans="1:22">
      <c r="A1345" s="2">
        <v>45951</v>
      </c>
      <c r="B1345" s="1" t="s">
        <v>3833</v>
      </c>
      <c r="C1345" s="1" t="s">
        <v>179</v>
      </c>
      <c r="D1345" s="1" t="s">
        <v>698</v>
      </c>
      <c r="E1345" s="1">
        <v>85375</v>
      </c>
      <c r="F1345" s="1" t="s">
        <v>3834</v>
      </c>
      <c r="G1345" s="1" t="s">
        <v>3835</v>
      </c>
      <c r="H1345" s="4" t="s">
        <v>90</v>
      </c>
      <c r="V134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6" spans="1:22">
      <c r="A1346" s="2">
        <v>45967</v>
      </c>
      <c r="B1346" s="1" t="s">
        <v>3836</v>
      </c>
      <c r="C1346" s="1" t="s">
        <v>3837</v>
      </c>
      <c r="D1346" s="1" t="s">
        <v>3838</v>
      </c>
      <c r="E1346" s="1">
        <v>85354</v>
      </c>
      <c r="F1346" s="1" t="s">
        <v>3839</v>
      </c>
      <c r="G1346" s="1" t="s">
        <v>3840</v>
      </c>
      <c r="H1346" s="4" t="s">
        <v>3841</v>
      </c>
      <c r="I1346" s="5" t="s">
        <v>36</v>
      </c>
      <c r="J1346" s="5" t="s">
        <v>37</v>
      </c>
      <c r="K1346" s="5" t="s">
        <v>37</v>
      </c>
      <c r="L1346" s="5" t="s">
        <v>38</v>
      </c>
      <c r="M1346" s="5" t="s">
        <v>38</v>
      </c>
      <c r="N1346" s="13">
        <v>347.99</v>
      </c>
      <c r="O1346" s="5" t="s">
        <v>38</v>
      </c>
      <c r="P1346" s="5" t="s">
        <v>39</v>
      </c>
      <c r="Q1346" s="2">
        <v>45968</v>
      </c>
      <c r="V134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7" spans="1:22">
      <c r="A1347" s="2">
        <v>45967</v>
      </c>
      <c r="B1347" s="1" t="s">
        <v>3842</v>
      </c>
      <c r="C1347" s="1" t="s">
        <v>3843</v>
      </c>
      <c r="D1347" s="1" t="s">
        <v>3538</v>
      </c>
      <c r="E1347" s="1">
        <v>85743</v>
      </c>
      <c r="F1347" s="1" t="s">
        <v>3844</v>
      </c>
      <c r="G1347" s="1" t="s">
        <v>3840</v>
      </c>
      <c r="V134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8" spans="1:22">
      <c r="A1348" s="2">
        <v>45967</v>
      </c>
      <c r="B1348" s="1" t="s">
        <v>3845</v>
      </c>
      <c r="C1348" s="1" t="s">
        <v>3846</v>
      </c>
      <c r="D1348" s="1" t="s">
        <v>24</v>
      </c>
      <c r="E1348" s="1">
        <v>85308</v>
      </c>
      <c r="F1348" s="1" t="s">
        <v>3847</v>
      </c>
      <c r="G1348" s="1" t="s">
        <v>3840</v>
      </c>
      <c r="H1348" s="4" t="s">
        <v>3848</v>
      </c>
      <c r="I1348" s="5" t="s">
        <v>36</v>
      </c>
      <c r="J1348" s="5" t="s">
        <v>37</v>
      </c>
      <c r="K1348" s="5" t="s">
        <v>37</v>
      </c>
      <c r="L1348" s="5" t="s">
        <v>38</v>
      </c>
      <c r="M1348" s="5" t="s">
        <v>37</v>
      </c>
      <c r="N1348" s="5" t="s">
        <v>37</v>
      </c>
      <c r="O1348" s="5" t="s">
        <v>38</v>
      </c>
      <c r="P1348" s="5" t="s">
        <v>39</v>
      </c>
      <c r="Q1348" s="2">
        <v>45968</v>
      </c>
      <c r="V134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49" spans="1:22">
      <c r="A1349" s="2">
        <v>45967</v>
      </c>
      <c r="B1349" s="1" t="s">
        <v>3849</v>
      </c>
      <c r="C1349" s="1" t="s">
        <v>3850</v>
      </c>
      <c r="D1349" s="1" t="s">
        <v>30</v>
      </c>
      <c r="E1349" s="1" t="s">
        <v>30</v>
      </c>
      <c r="F1349" s="1" t="s">
        <v>3531</v>
      </c>
      <c r="G1349" s="1" t="s">
        <v>3851</v>
      </c>
      <c r="H1349" s="4" t="s">
        <v>27</v>
      </c>
      <c r="R1349" s="1" t="s">
        <v>3497</v>
      </c>
      <c r="V134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0" spans="1:22">
      <c r="A1350" s="2">
        <v>45967</v>
      </c>
      <c r="B1350" s="1" t="s">
        <v>3852</v>
      </c>
      <c r="C1350" s="1" t="s">
        <v>373</v>
      </c>
      <c r="D1350" s="1" t="s">
        <v>30</v>
      </c>
      <c r="E1350" s="1" t="s">
        <v>30</v>
      </c>
      <c r="F1350" s="1" t="s">
        <v>3853</v>
      </c>
      <c r="G1350" s="1" t="s">
        <v>3851</v>
      </c>
      <c r="H1350" s="4" t="s">
        <v>27</v>
      </c>
      <c r="R1350" s="1" t="s">
        <v>3497</v>
      </c>
      <c r="V135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1" spans="1:22">
      <c r="A1351" s="2">
        <v>45967</v>
      </c>
      <c r="B1351" s="1" t="s">
        <v>3854</v>
      </c>
      <c r="C1351" s="1" t="s">
        <v>3098</v>
      </c>
      <c r="D1351" s="1" t="s">
        <v>63</v>
      </c>
      <c r="E1351" s="1">
        <v>850027</v>
      </c>
      <c r="F1351" s="1" t="s">
        <v>3855</v>
      </c>
      <c r="G1351" s="1" t="s">
        <v>3851</v>
      </c>
      <c r="H1351" s="4" t="s">
        <v>3856</v>
      </c>
      <c r="I1351" s="5" t="s">
        <v>196</v>
      </c>
      <c r="J1351" s="5" t="s">
        <v>37</v>
      </c>
      <c r="K1351" s="5" t="s">
        <v>37</v>
      </c>
      <c r="L1351" s="5" t="s">
        <v>38</v>
      </c>
      <c r="M1351" s="5" t="s">
        <v>38</v>
      </c>
      <c r="N1351" s="15">
        <v>933.92</v>
      </c>
      <c r="O1351" s="5" t="s">
        <v>38</v>
      </c>
      <c r="P1351" s="7"/>
      <c r="Q1351" s="2">
        <v>45968</v>
      </c>
      <c r="R1351" s="1" t="s">
        <v>3857</v>
      </c>
      <c r="V135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2" spans="1:22">
      <c r="A1352" s="2">
        <v>45967</v>
      </c>
      <c r="B1352" s="1" t="s">
        <v>3858</v>
      </c>
      <c r="C1352" s="1" t="s">
        <v>3859</v>
      </c>
      <c r="D1352" s="1" t="s">
        <v>30</v>
      </c>
      <c r="E1352" s="1" t="s">
        <v>30</v>
      </c>
      <c r="F1352" s="1" t="s">
        <v>3860</v>
      </c>
      <c r="G1352" s="1" t="s">
        <v>3851</v>
      </c>
      <c r="H1352" s="4" t="s">
        <v>27</v>
      </c>
      <c r="R1352" s="1" t="s">
        <v>3497</v>
      </c>
      <c r="V135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3" spans="1:22">
      <c r="A1353" s="2">
        <v>45967</v>
      </c>
      <c r="B1353" s="1" t="s">
        <v>3861</v>
      </c>
      <c r="C1353" s="1" t="s">
        <v>1149</v>
      </c>
      <c r="D1353" s="1" t="s">
        <v>30</v>
      </c>
      <c r="E1353" s="1" t="s">
        <v>30</v>
      </c>
      <c r="F1353" s="1" t="s">
        <v>3862</v>
      </c>
      <c r="G1353" s="1" t="s">
        <v>3851</v>
      </c>
      <c r="H1353" s="4" t="s">
        <v>90</v>
      </c>
      <c r="R1353" s="1" t="s">
        <v>3497</v>
      </c>
      <c r="V135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4" spans="1:22">
      <c r="A1354" s="2">
        <v>45967</v>
      </c>
      <c r="B1354" s="1" t="s">
        <v>3863</v>
      </c>
      <c r="C1354" s="1" t="s">
        <v>3687</v>
      </c>
      <c r="D1354" s="1" t="s">
        <v>30</v>
      </c>
      <c r="E1354" s="1" t="s">
        <v>30</v>
      </c>
      <c r="F1354" s="1" t="s">
        <v>3862</v>
      </c>
      <c r="G1354" s="1" t="s">
        <v>3851</v>
      </c>
      <c r="H1354" s="4" t="s">
        <v>90</v>
      </c>
      <c r="R1354" s="1" t="s">
        <v>3497</v>
      </c>
      <c r="V135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5" spans="1:22">
      <c r="A1355" s="2">
        <v>45967</v>
      </c>
      <c r="B1355" s="1" t="s">
        <v>704</v>
      </c>
      <c r="C1355" s="1" t="s">
        <v>3864</v>
      </c>
      <c r="D1355" s="1" t="s">
        <v>63</v>
      </c>
      <c r="E1355" s="1">
        <v>85012</v>
      </c>
      <c r="F1355" s="1" t="s">
        <v>3865</v>
      </c>
      <c r="G1355" s="1" t="s">
        <v>3851</v>
      </c>
      <c r="H1355" s="4" t="s">
        <v>3866</v>
      </c>
      <c r="I1355" s="5" t="s">
        <v>126</v>
      </c>
      <c r="J1355" s="5" t="s">
        <v>37</v>
      </c>
      <c r="K1355" s="5" t="s">
        <v>37</v>
      </c>
      <c r="L1355" s="5" t="s">
        <v>38</v>
      </c>
      <c r="M1355" s="5" t="s">
        <v>37</v>
      </c>
      <c r="N1355" s="5" t="s">
        <v>37</v>
      </c>
      <c r="O1355" s="5" t="s">
        <v>38</v>
      </c>
      <c r="P1355" s="5" t="s">
        <v>39</v>
      </c>
      <c r="Q1355" s="2">
        <v>45968</v>
      </c>
      <c r="R1355" s="1" t="s">
        <v>3497</v>
      </c>
      <c r="V135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6" spans="1:22">
      <c r="A1356" s="34">
        <v>45974</v>
      </c>
      <c r="B1356" s="35" t="s">
        <v>3867</v>
      </c>
      <c r="C1356" s="35" t="s">
        <v>3868</v>
      </c>
      <c r="D1356" s="35" t="s">
        <v>112</v>
      </c>
      <c r="E1356" s="35">
        <v>85374</v>
      </c>
      <c r="F1356" s="35" t="s">
        <v>3869</v>
      </c>
      <c r="G1356" s="36" t="s">
        <v>3870</v>
      </c>
      <c r="H1356" s="19">
        <v>8914685192</v>
      </c>
      <c r="I1356" s="19" t="s">
        <v>126</v>
      </c>
      <c r="J1356" s="19" t="s">
        <v>37</v>
      </c>
      <c r="K1356" s="19" t="s">
        <v>37</v>
      </c>
      <c r="L1356" s="19" t="s">
        <v>38</v>
      </c>
      <c r="M1356" s="19" t="s">
        <v>37</v>
      </c>
      <c r="N1356" s="19" t="s">
        <v>37</v>
      </c>
      <c r="O1356" s="19" t="s">
        <v>38</v>
      </c>
      <c r="P1356" s="19" t="s">
        <v>39</v>
      </c>
      <c r="Q1356" s="34">
        <v>45978</v>
      </c>
      <c r="R1356" s="35"/>
      <c r="S1356" s="35"/>
      <c r="T1356" s="35"/>
      <c r="U1356" s="35"/>
      <c r="V135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7" spans="1:22">
      <c r="A1357" s="34">
        <v>45980</v>
      </c>
      <c r="B1357" s="35" t="s">
        <v>3871</v>
      </c>
      <c r="C1357" s="35" t="s">
        <v>399</v>
      </c>
      <c r="D1357" s="35" t="s">
        <v>125</v>
      </c>
      <c r="E1357" s="35">
        <v>85262</v>
      </c>
      <c r="F1357" s="35" t="s">
        <v>3872</v>
      </c>
      <c r="G1357" s="36" t="s">
        <v>3873</v>
      </c>
      <c r="H1357" s="19">
        <v>8798080598</v>
      </c>
      <c r="I1357" s="19" t="s">
        <v>36</v>
      </c>
      <c r="J1357" s="19" t="s">
        <v>37</v>
      </c>
      <c r="K1357" s="19" t="s">
        <v>37</v>
      </c>
      <c r="L1357" s="19" t="s">
        <v>38</v>
      </c>
      <c r="M1357" s="19" t="s">
        <v>37</v>
      </c>
      <c r="N1357" s="19" t="s">
        <v>37</v>
      </c>
      <c r="O1357" s="19" t="s">
        <v>38</v>
      </c>
      <c r="P1357" s="19" t="s">
        <v>39</v>
      </c>
      <c r="Q1357" s="34">
        <v>45981</v>
      </c>
      <c r="R1357" s="35"/>
      <c r="S1357" s="35"/>
      <c r="T1357" s="35"/>
      <c r="U1357" s="35"/>
      <c r="V135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8" spans="1:22">
      <c r="A1358" s="37">
        <v>45980</v>
      </c>
      <c r="B1358" s="38" t="s">
        <v>3874</v>
      </c>
      <c r="C1358" s="38" t="s">
        <v>3875</v>
      </c>
      <c r="D1358" s="38" t="s">
        <v>125</v>
      </c>
      <c r="E1358" s="38">
        <v>85255</v>
      </c>
      <c r="F1358" s="38" t="s">
        <v>3876</v>
      </c>
      <c r="G1358" s="38" t="s">
        <v>3877</v>
      </c>
      <c r="H1358" s="39">
        <v>1678080000</v>
      </c>
      <c r="I1358" s="39" t="s">
        <v>36</v>
      </c>
      <c r="J1358" s="39" t="s">
        <v>37</v>
      </c>
      <c r="K1358" s="39" t="s">
        <v>37</v>
      </c>
      <c r="L1358" s="39" t="s">
        <v>3878</v>
      </c>
      <c r="M1358" s="39" t="s">
        <v>37</v>
      </c>
      <c r="N1358" s="39" t="s">
        <v>37</v>
      </c>
      <c r="O1358" s="39" t="s">
        <v>38</v>
      </c>
      <c r="P1358" s="39" t="s">
        <v>39</v>
      </c>
      <c r="Q1358" s="37">
        <v>45985</v>
      </c>
      <c r="R1358" s="35"/>
      <c r="S1358" s="35"/>
      <c r="T1358" s="35"/>
      <c r="U1358" s="35"/>
      <c r="V135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59" spans="1:22">
      <c r="A1359" s="37">
        <v>45982</v>
      </c>
      <c r="B1359" s="38" t="s">
        <v>3879</v>
      </c>
      <c r="C1359" s="38" t="s">
        <v>3880</v>
      </c>
      <c r="D1359" s="38" t="s">
        <v>816</v>
      </c>
      <c r="E1359" s="38">
        <v>86301</v>
      </c>
      <c r="F1359" s="38" t="s">
        <v>3881</v>
      </c>
      <c r="G1359" s="38" t="s">
        <v>3882</v>
      </c>
      <c r="H1359" s="39">
        <v>5936601000</v>
      </c>
      <c r="I1359" s="39" t="s">
        <v>46</v>
      </c>
      <c r="J1359" s="39" t="s">
        <v>37</v>
      </c>
      <c r="K1359" s="39" t="s">
        <v>37</v>
      </c>
      <c r="L1359" s="39" t="s">
        <v>38</v>
      </c>
      <c r="M1359" s="39" t="s">
        <v>37</v>
      </c>
      <c r="N1359" s="39" t="s">
        <v>37</v>
      </c>
      <c r="O1359" s="39" t="s">
        <v>38</v>
      </c>
      <c r="P1359" s="39" t="s">
        <v>39</v>
      </c>
      <c r="Q1359" s="37">
        <v>45985</v>
      </c>
      <c r="R1359" s="35"/>
      <c r="S1359" s="35"/>
      <c r="T1359" s="35"/>
      <c r="U1359" s="35"/>
      <c r="V135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0" spans="1:22">
      <c r="A1360" s="37">
        <v>45982</v>
      </c>
      <c r="B1360" s="38" t="s">
        <v>3883</v>
      </c>
      <c r="C1360" s="38" t="s">
        <v>3884</v>
      </c>
      <c r="D1360" s="38" t="s">
        <v>129</v>
      </c>
      <c r="E1360" s="38">
        <v>85233</v>
      </c>
      <c r="F1360" s="38" t="s">
        <v>3885</v>
      </c>
      <c r="G1360" s="38" t="s">
        <v>3886</v>
      </c>
      <c r="H1360" s="39">
        <v>5931221000</v>
      </c>
      <c r="I1360" s="39" t="s">
        <v>3887</v>
      </c>
      <c r="J1360" s="39" t="s">
        <v>37</v>
      </c>
      <c r="K1360" s="39" t="s">
        <v>37</v>
      </c>
      <c r="L1360" s="39" t="s">
        <v>389</v>
      </c>
      <c r="M1360" s="39" t="s">
        <v>37</v>
      </c>
      <c r="N1360" s="39" t="s">
        <v>37</v>
      </c>
      <c r="O1360" s="39" t="s">
        <v>38</v>
      </c>
      <c r="P1360" s="39" t="s">
        <v>39</v>
      </c>
      <c r="Q1360" s="37">
        <v>45985</v>
      </c>
      <c r="R1360" s="35" t="s">
        <v>2873</v>
      </c>
      <c r="S1360" s="35"/>
      <c r="T1360" s="35"/>
      <c r="U1360" s="35"/>
      <c r="V136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1" spans="1:22">
      <c r="A1361" s="37">
        <v>45985</v>
      </c>
      <c r="B1361" s="38" t="s">
        <v>208</v>
      </c>
      <c r="C1361" s="38" t="s">
        <v>3888</v>
      </c>
      <c r="D1361" s="38" t="s">
        <v>428</v>
      </c>
      <c r="E1361" s="38">
        <v>85335</v>
      </c>
      <c r="F1361" s="38" t="s">
        <v>3889</v>
      </c>
      <c r="G1361" s="38" t="s">
        <v>3890</v>
      </c>
      <c r="H1361" s="39">
        <v>3470156203</v>
      </c>
      <c r="I1361" s="39" t="s">
        <v>126</v>
      </c>
      <c r="J1361" s="39" t="s">
        <v>38</v>
      </c>
      <c r="K1361" s="39" t="s">
        <v>37</v>
      </c>
      <c r="L1361" s="39" t="s">
        <v>3891</v>
      </c>
      <c r="M1361" s="39" t="s">
        <v>37</v>
      </c>
      <c r="N1361" s="39" t="s">
        <v>37</v>
      </c>
      <c r="O1361" s="39" t="s">
        <v>38</v>
      </c>
      <c r="P1361" s="39" t="s">
        <v>39</v>
      </c>
      <c r="Q1361" s="37">
        <v>45993</v>
      </c>
      <c r="R1361" s="35" t="s">
        <v>3892</v>
      </c>
      <c r="S1361" s="35"/>
      <c r="T1361" s="35"/>
      <c r="U1361" s="35"/>
      <c r="V136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2" spans="1:22">
      <c r="A1362" s="37">
        <v>45985</v>
      </c>
      <c r="B1362" s="38" t="s">
        <v>3893</v>
      </c>
      <c r="C1362" s="38" t="s">
        <v>3894</v>
      </c>
      <c r="D1362" s="38" t="s">
        <v>174</v>
      </c>
      <c r="E1362" s="38">
        <v>85326</v>
      </c>
      <c r="F1362" s="38" t="s">
        <v>3895</v>
      </c>
      <c r="G1362" s="38" t="s">
        <v>3896</v>
      </c>
      <c r="H1362" s="39" t="s">
        <v>27</v>
      </c>
      <c r="I1362" s="39"/>
      <c r="J1362" s="39"/>
      <c r="K1362" s="39"/>
      <c r="L1362" s="39"/>
      <c r="M1362" s="39"/>
      <c r="N1362" s="39"/>
      <c r="O1362" s="39"/>
      <c r="P1362" s="39"/>
      <c r="Q1362" s="39"/>
      <c r="R1362" s="35"/>
      <c r="S1362" s="35"/>
      <c r="T1362" s="35"/>
      <c r="U1362" s="35"/>
      <c r="V136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3" spans="1:22">
      <c r="A1363" s="37">
        <v>45986</v>
      </c>
      <c r="B1363" s="38" t="s">
        <v>3897</v>
      </c>
      <c r="C1363" s="38" t="s">
        <v>3898</v>
      </c>
      <c r="D1363" s="38" t="s">
        <v>1302</v>
      </c>
      <c r="E1363" s="38">
        <v>85390</v>
      </c>
      <c r="F1363" s="38" t="s">
        <v>3899</v>
      </c>
      <c r="G1363" s="38" t="s">
        <v>3900</v>
      </c>
      <c r="H1363" s="39">
        <v>7004974298</v>
      </c>
      <c r="I1363" s="39" t="s">
        <v>196</v>
      </c>
      <c r="J1363" s="39" t="s">
        <v>37</v>
      </c>
      <c r="K1363" s="39" t="s">
        <v>37</v>
      </c>
      <c r="L1363" s="39" t="s">
        <v>3901</v>
      </c>
      <c r="M1363" s="39" t="s">
        <v>37</v>
      </c>
      <c r="N1363" s="39" t="s">
        <v>37</v>
      </c>
      <c r="O1363" s="39" t="s">
        <v>38</v>
      </c>
      <c r="P1363" s="39" t="s">
        <v>39</v>
      </c>
      <c r="Q1363" s="37">
        <v>45993</v>
      </c>
      <c r="R1363" s="35"/>
      <c r="S1363" s="35"/>
      <c r="T1363" s="35"/>
      <c r="U1363" s="35"/>
      <c r="V136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4" spans="1:22">
      <c r="A1364" s="37">
        <v>45986</v>
      </c>
      <c r="B1364" s="38" t="s">
        <v>3766</v>
      </c>
      <c r="C1364" s="38" t="s">
        <v>3465</v>
      </c>
      <c r="D1364" s="38" t="s">
        <v>169</v>
      </c>
      <c r="E1364" s="38">
        <v>85395</v>
      </c>
      <c r="F1364" s="38" t="s">
        <v>3902</v>
      </c>
      <c r="G1364" s="38" t="s">
        <v>3900</v>
      </c>
      <c r="H1364" s="39">
        <v>2057731000</v>
      </c>
      <c r="I1364" s="39" t="s">
        <v>36</v>
      </c>
      <c r="J1364" s="39" t="s">
        <v>37</v>
      </c>
      <c r="K1364" s="39" t="s">
        <v>37</v>
      </c>
      <c r="L1364" s="39" t="s">
        <v>38</v>
      </c>
      <c r="M1364" s="39" t="s">
        <v>37</v>
      </c>
      <c r="N1364" s="39" t="s">
        <v>37</v>
      </c>
      <c r="O1364" s="39" t="s">
        <v>38</v>
      </c>
      <c r="P1364" s="39" t="s">
        <v>39</v>
      </c>
      <c r="Q1364" s="37">
        <v>45993</v>
      </c>
      <c r="R1364" s="35"/>
      <c r="S1364" s="35"/>
      <c r="T1364" s="35"/>
      <c r="U1364" s="35"/>
      <c r="V136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5" spans="1:22">
      <c r="A1365" s="37">
        <v>45986</v>
      </c>
      <c r="B1365" s="38" t="s">
        <v>3903</v>
      </c>
      <c r="C1365" s="38" t="s">
        <v>3904</v>
      </c>
      <c r="D1365" s="38" t="s">
        <v>202</v>
      </c>
      <c r="E1365" s="38">
        <v>85382</v>
      </c>
      <c r="F1365" s="38" t="s">
        <v>3905</v>
      </c>
      <c r="G1365" s="38" t="s">
        <v>3900</v>
      </c>
      <c r="H1365" s="39">
        <v>5909528621</v>
      </c>
      <c r="I1365" s="39" t="s">
        <v>3906</v>
      </c>
      <c r="J1365" s="39" t="s">
        <v>37</v>
      </c>
      <c r="K1365" s="39" t="s">
        <v>37</v>
      </c>
      <c r="L1365" s="39" t="s">
        <v>38</v>
      </c>
      <c r="M1365" s="39" t="s">
        <v>37</v>
      </c>
      <c r="N1365" s="39" t="s">
        <v>37</v>
      </c>
      <c r="O1365" s="39" t="s">
        <v>38</v>
      </c>
      <c r="P1365" s="39" t="s">
        <v>39</v>
      </c>
      <c r="Q1365" s="37">
        <v>45993</v>
      </c>
      <c r="R1365" s="35"/>
      <c r="S1365" s="35"/>
      <c r="T1365" s="35"/>
      <c r="U1365" s="35"/>
      <c r="V136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6" spans="1:22">
      <c r="A1366" s="37">
        <v>45987</v>
      </c>
      <c r="B1366" s="38" t="s">
        <v>3907</v>
      </c>
      <c r="C1366" s="38" t="s">
        <v>3907</v>
      </c>
      <c r="D1366" s="38"/>
      <c r="E1366" s="38">
        <v>85285</v>
      </c>
      <c r="F1366" s="38" t="s">
        <v>3908</v>
      </c>
      <c r="G1366" s="38" t="s">
        <v>3909</v>
      </c>
      <c r="H1366" s="39" t="s">
        <v>27</v>
      </c>
      <c r="I1366" s="39"/>
      <c r="J1366" s="39"/>
      <c r="K1366" s="39"/>
      <c r="L1366" s="39"/>
      <c r="M1366" s="39"/>
      <c r="N1366" s="39"/>
      <c r="O1366" s="39"/>
      <c r="P1366" s="39"/>
      <c r="Q1366" s="39"/>
      <c r="R1366" s="35"/>
      <c r="S1366" s="35"/>
      <c r="T1366" s="35"/>
      <c r="U1366" s="35"/>
      <c r="V136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7" spans="1:22">
      <c r="A1367" s="37">
        <v>45987</v>
      </c>
      <c r="B1367" s="38" t="s">
        <v>431</v>
      </c>
      <c r="C1367" s="38" t="s">
        <v>3910</v>
      </c>
      <c r="D1367" s="38" t="s">
        <v>112</v>
      </c>
      <c r="E1367" s="38">
        <v>85388</v>
      </c>
      <c r="F1367" s="38" t="s">
        <v>3911</v>
      </c>
      <c r="G1367" s="38" t="s">
        <v>3909</v>
      </c>
      <c r="H1367" s="39" t="s">
        <v>90</v>
      </c>
      <c r="I1367" s="39"/>
      <c r="J1367" s="39"/>
      <c r="K1367" s="39"/>
      <c r="L1367" s="39"/>
      <c r="M1367" s="39"/>
      <c r="N1367" s="39"/>
      <c r="O1367" s="39"/>
      <c r="P1367" s="39"/>
      <c r="Q1367" s="39"/>
      <c r="R1367" s="35"/>
      <c r="S1367" s="35"/>
      <c r="T1367" s="35"/>
      <c r="U1367" s="35"/>
      <c r="V136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8" spans="1:22">
      <c r="A1368" s="37">
        <v>45987</v>
      </c>
      <c r="B1368" s="38" t="s">
        <v>3912</v>
      </c>
      <c r="C1368" s="38" t="s">
        <v>427</v>
      </c>
      <c r="D1368" s="38" t="s">
        <v>93</v>
      </c>
      <c r="E1368" s="38">
        <v>85351</v>
      </c>
      <c r="F1368" s="38" t="s">
        <v>812</v>
      </c>
      <c r="G1368" s="38" t="s">
        <v>3909</v>
      </c>
      <c r="H1368" s="39">
        <v>5503296768</v>
      </c>
      <c r="I1368" s="39" t="s">
        <v>36</v>
      </c>
      <c r="J1368" s="39" t="s">
        <v>37</v>
      </c>
      <c r="K1368" s="39" t="s">
        <v>37</v>
      </c>
      <c r="L1368" s="39" t="s">
        <v>38</v>
      </c>
      <c r="M1368" s="39" t="s">
        <v>37</v>
      </c>
      <c r="N1368" s="39" t="s">
        <v>37</v>
      </c>
      <c r="O1368" s="39" t="s">
        <v>38</v>
      </c>
      <c r="P1368" s="39" t="s">
        <v>39</v>
      </c>
      <c r="Q1368" s="37">
        <v>45993</v>
      </c>
      <c r="R1368" s="35"/>
      <c r="S1368" s="35"/>
      <c r="T1368" s="35"/>
      <c r="U1368" s="35"/>
      <c r="V136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69" spans="1:22">
      <c r="A1369" s="37">
        <v>45987</v>
      </c>
      <c r="B1369" s="38" t="s">
        <v>3913</v>
      </c>
      <c r="C1369" s="38" t="s">
        <v>230</v>
      </c>
      <c r="D1369" s="38" t="s">
        <v>169</v>
      </c>
      <c r="E1369" s="38">
        <v>85338</v>
      </c>
      <c r="F1369" s="38" t="s">
        <v>3914</v>
      </c>
      <c r="G1369" s="38" t="s">
        <v>3915</v>
      </c>
      <c r="H1369" s="39">
        <v>8464670000</v>
      </c>
      <c r="I1369" s="39" t="s">
        <v>36</v>
      </c>
      <c r="J1369" s="39" t="s">
        <v>37</v>
      </c>
      <c r="K1369" s="39" t="s">
        <v>37</v>
      </c>
      <c r="L1369" s="39" t="s">
        <v>38</v>
      </c>
      <c r="M1369" s="39" t="s">
        <v>37</v>
      </c>
      <c r="N1369" s="39" t="s">
        <v>37</v>
      </c>
      <c r="O1369" s="39" t="s">
        <v>38</v>
      </c>
      <c r="P1369" s="39" t="s">
        <v>39</v>
      </c>
      <c r="Q1369" s="37">
        <v>45993</v>
      </c>
      <c r="R1369" s="35"/>
      <c r="S1369" s="35"/>
      <c r="T1369" s="35"/>
      <c r="U1369" s="35"/>
      <c r="V136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0" spans="1:22">
      <c r="A1370" s="37">
        <v>45987</v>
      </c>
      <c r="B1370" s="38" t="s">
        <v>3916</v>
      </c>
      <c r="C1370" s="38" t="s">
        <v>3917</v>
      </c>
      <c r="D1370" s="38" t="s">
        <v>202</v>
      </c>
      <c r="E1370" s="38">
        <v>85382</v>
      </c>
      <c r="F1370" s="38" t="s">
        <v>3918</v>
      </c>
      <c r="G1370" s="38" t="s">
        <v>3915</v>
      </c>
      <c r="H1370" s="39">
        <v>6932600000</v>
      </c>
      <c r="I1370" s="39" t="s">
        <v>3919</v>
      </c>
      <c r="J1370" s="39" t="s">
        <v>37</v>
      </c>
      <c r="K1370" s="39" t="s">
        <v>37</v>
      </c>
      <c r="L1370" s="39" t="s">
        <v>389</v>
      </c>
      <c r="M1370" s="39" t="s">
        <v>37</v>
      </c>
      <c r="N1370" s="39" t="s">
        <v>37</v>
      </c>
      <c r="O1370" s="39" t="s">
        <v>38</v>
      </c>
      <c r="P1370" s="39" t="s">
        <v>39</v>
      </c>
      <c r="Q1370" s="37">
        <v>45993</v>
      </c>
      <c r="R1370" s="35"/>
      <c r="S1370" s="35"/>
      <c r="T1370" s="35"/>
      <c r="U1370" s="35"/>
      <c r="V137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1" spans="1:22">
      <c r="A1371" s="37">
        <v>45989</v>
      </c>
      <c r="B1371" s="38" t="s">
        <v>3920</v>
      </c>
      <c r="C1371" s="38" t="s">
        <v>3921</v>
      </c>
      <c r="D1371" s="38" t="s">
        <v>112</v>
      </c>
      <c r="E1371" s="38">
        <v>85387</v>
      </c>
      <c r="F1371" s="38" t="s">
        <v>3922</v>
      </c>
      <c r="G1371" s="38" t="s">
        <v>3923</v>
      </c>
      <c r="H1371" s="39">
        <v>6129600993</v>
      </c>
      <c r="I1371" s="39" t="s">
        <v>36</v>
      </c>
      <c r="J1371" s="39" t="s">
        <v>37</v>
      </c>
      <c r="K1371" s="39" t="s">
        <v>37</v>
      </c>
      <c r="L1371" s="39" t="s">
        <v>38</v>
      </c>
      <c r="M1371" s="39" t="s">
        <v>37</v>
      </c>
      <c r="N1371" s="39" t="s">
        <v>37</v>
      </c>
      <c r="O1371" s="39" t="s">
        <v>38</v>
      </c>
      <c r="P1371" s="39" t="s">
        <v>39</v>
      </c>
      <c r="Q1371" s="37">
        <v>45993</v>
      </c>
      <c r="R1371" s="35"/>
      <c r="S1371" s="35"/>
      <c r="T1371" s="35"/>
      <c r="U1371" s="35"/>
      <c r="V137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2" spans="1:22">
      <c r="A1372" s="37">
        <v>45993</v>
      </c>
      <c r="B1372" s="38" t="s">
        <v>3924</v>
      </c>
      <c r="C1372" s="38" t="s">
        <v>1444</v>
      </c>
      <c r="D1372" s="38" t="s">
        <v>112</v>
      </c>
      <c r="E1372" s="38">
        <v>85379</v>
      </c>
      <c r="F1372" s="38" t="s">
        <v>3756</v>
      </c>
      <c r="G1372" s="38" t="s">
        <v>3925</v>
      </c>
      <c r="H1372" s="39">
        <v>1501070000</v>
      </c>
      <c r="I1372" s="39" t="s">
        <v>541</v>
      </c>
      <c r="J1372" s="39" t="s">
        <v>37</v>
      </c>
      <c r="K1372" s="39" t="s">
        <v>37</v>
      </c>
      <c r="L1372" s="39" t="s">
        <v>389</v>
      </c>
      <c r="M1372" s="39" t="s">
        <v>37</v>
      </c>
      <c r="N1372" s="39" t="s">
        <v>37</v>
      </c>
      <c r="O1372" s="39" t="s">
        <v>38</v>
      </c>
      <c r="P1372" s="39" t="s">
        <v>39</v>
      </c>
      <c r="Q1372" s="37">
        <v>45994</v>
      </c>
      <c r="R1372" s="35"/>
      <c r="S1372" s="35"/>
      <c r="T1372" s="35"/>
      <c r="U1372" s="35"/>
      <c r="V137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3" spans="1:22">
      <c r="A1373" s="37">
        <v>45993</v>
      </c>
      <c r="B1373" s="38" t="s">
        <v>3926</v>
      </c>
      <c r="C1373" s="38" t="s">
        <v>2658</v>
      </c>
      <c r="D1373" s="38" t="s">
        <v>112</v>
      </c>
      <c r="E1373" s="38">
        <v>85387</v>
      </c>
      <c r="F1373" s="38" t="s">
        <v>3927</v>
      </c>
      <c r="G1373" s="38" t="s">
        <v>3928</v>
      </c>
      <c r="H1373" s="39">
        <v>4773125499</v>
      </c>
      <c r="I1373" s="39" t="s">
        <v>36</v>
      </c>
      <c r="J1373" s="39" t="s">
        <v>37</v>
      </c>
      <c r="K1373" s="39" t="s">
        <v>37</v>
      </c>
      <c r="L1373" s="39" t="s">
        <v>38</v>
      </c>
      <c r="M1373" s="39" t="s">
        <v>37</v>
      </c>
      <c r="N1373" s="39" t="s">
        <v>37</v>
      </c>
      <c r="O1373" s="39" t="s">
        <v>38</v>
      </c>
      <c r="P1373" s="39" t="s">
        <v>39</v>
      </c>
      <c r="Q1373" s="37">
        <v>45994</v>
      </c>
      <c r="R1373" s="35"/>
      <c r="S1373" s="35"/>
      <c r="T1373" s="35"/>
      <c r="U1373" s="35"/>
      <c r="V137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4" spans="1:22">
      <c r="A1374" s="37">
        <v>45993</v>
      </c>
      <c r="B1374" s="38" t="s">
        <v>3929</v>
      </c>
      <c r="C1374" s="38" t="s">
        <v>1140</v>
      </c>
      <c r="D1374" s="38" t="s">
        <v>112</v>
      </c>
      <c r="E1374" s="38">
        <v>85374</v>
      </c>
      <c r="F1374" s="38" t="s">
        <v>3756</v>
      </c>
      <c r="G1374" s="38" t="s">
        <v>3930</v>
      </c>
      <c r="H1374" s="39">
        <v>6238748397</v>
      </c>
      <c r="I1374" s="39" t="s">
        <v>57</v>
      </c>
      <c r="J1374" s="39" t="s">
        <v>37</v>
      </c>
      <c r="K1374" s="39" t="s">
        <v>37</v>
      </c>
      <c r="L1374" s="39" t="s">
        <v>3931</v>
      </c>
      <c r="M1374" s="39" t="s">
        <v>37</v>
      </c>
      <c r="N1374" s="39" t="s">
        <v>37</v>
      </c>
      <c r="O1374" s="39" t="s">
        <v>38</v>
      </c>
      <c r="P1374" s="39" t="s">
        <v>39</v>
      </c>
      <c r="Q1374" s="37">
        <v>45995</v>
      </c>
      <c r="R1374" s="35"/>
      <c r="S1374" s="35"/>
      <c r="T1374" s="35"/>
      <c r="U1374" s="35"/>
      <c r="V137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5" spans="1:22">
      <c r="A1375" s="37">
        <v>45993</v>
      </c>
      <c r="B1375" s="38" t="s">
        <v>3932</v>
      </c>
      <c r="C1375" s="38" t="s">
        <v>3933</v>
      </c>
      <c r="D1375" s="38" t="s">
        <v>428</v>
      </c>
      <c r="E1375" s="38">
        <v>85335</v>
      </c>
      <c r="F1375" s="38" t="s">
        <v>3756</v>
      </c>
      <c r="G1375" s="38" t="s">
        <v>3930</v>
      </c>
      <c r="H1375" s="39" t="s">
        <v>27</v>
      </c>
      <c r="I1375" s="39"/>
      <c r="J1375" s="39"/>
      <c r="K1375" s="39"/>
      <c r="L1375" s="39"/>
      <c r="M1375" s="39"/>
      <c r="N1375" s="39"/>
      <c r="O1375" s="39"/>
      <c r="P1375" s="39"/>
      <c r="Q1375" s="39"/>
      <c r="R1375" s="35"/>
      <c r="S1375" s="35"/>
      <c r="T1375" s="35"/>
      <c r="U1375" s="35"/>
      <c r="V137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6" spans="1:22">
      <c r="A1376" s="37">
        <v>45993</v>
      </c>
      <c r="B1376" s="38" t="s">
        <v>3934</v>
      </c>
      <c r="C1376" s="38" t="s">
        <v>3182</v>
      </c>
      <c r="D1376" s="38" t="s">
        <v>428</v>
      </c>
      <c r="E1376" s="38">
        <v>85335</v>
      </c>
      <c r="F1376" s="38" t="s">
        <v>3935</v>
      </c>
      <c r="G1376" s="38" t="s">
        <v>3930</v>
      </c>
      <c r="H1376" s="39">
        <v>6780889797</v>
      </c>
      <c r="I1376" s="39" t="s">
        <v>3936</v>
      </c>
      <c r="J1376" s="39" t="s">
        <v>38</v>
      </c>
      <c r="K1376" s="39" t="s">
        <v>37</v>
      </c>
      <c r="L1376" s="39" t="s">
        <v>389</v>
      </c>
      <c r="M1376" s="39" t="s">
        <v>38</v>
      </c>
      <c r="N1376" s="39">
        <v>425.23</v>
      </c>
      <c r="O1376" s="39" t="s">
        <v>38</v>
      </c>
      <c r="P1376" s="39" t="s">
        <v>39</v>
      </c>
      <c r="Q1376" s="37">
        <v>45995</v>
      </c>
      <c r="R1376" s="35"/>
      <c r="S1376" s="35"/>
      <c r="T1376" s="35"/>
      <c r="U1376" s="35"/>
      <c r="V137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7" spans="1:22">
      <c r="A1377" s="37">
        <v>45993</v>
      </c>
      <c r="B1377" s="38" t="s">
        <v>3561</v>
      </c>
      <c r="C1377" s="38" t="s">
        <v>3937</v>
      </c>
      <c r="D1377" s="38" t="s">
        <v>428</v>
      </c>
      <c r="E1377" s="38">
        <v>85335</v>
      </c>
      <c r="F1377" s="38" t="s">
        <v>3938</v>
      </c>
      <c r="G1377" s="38" t="s">
        <v>3930</v>
      </c>
      <c r="H1377" s="39">
        <v>591010000</v>
      </c>
      <c r="I1377" s="39" t="s">
        <v>196</v>
      </c>
      <c r="J1377" s="39" t="s">
        <v>37</v>
      </c>
      <c r="K1377" s="39" t="s">
        <v>37</v>
      </c>
      <c r="L1377" s="39" t="s">
        <v>3939</v>
      </c>
      <c r="M1377" s="39" t="s">
        <v>37</v>
      </c>
      <c r="N1377" s="39" t="s">
        <v>37</v>
      </c>
      <c r="O1377" s="39" t="s">
        <v>38</v>
      </c>
      <c r="P1377" s="39"/>
      <c r="Q1377" s="37">
        <v>45995</v>
      </c>
      <c r="R1377" s="35"/>
      <c r="S1377" s="35"/>
      <c r="T1377" s="35"/>
      <c r="U1377" s="35"/>
      <c r="V137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8" spans="1:22">
      <c r="A1378" s="37">
        <v>45993</v>
      </c>
      <c r="B1378" s="38" t="s">
        <v>3940</v>
      </c>
      <c r="C1378" s="38" t="s">
        <v>3941</v>
      </c>
      <c r="D1378" s="38" t="s">
        <v>24</v>
      </c>
      <c r="E1378" s="38">
        <v>85304</v>
      </c>
      <c r="F1378" s="38" t="s">
        <v>3942</v>
      </c>
      <c r="G1378" s="38" t="s">
        <v>3930</v>
      </c>
      <c r="H1378" s="39">
        <v>1370851931</v>
      </c>
      <c r="I1378" s="39" t="s">
        <v>250</v>
      </c>
      <c r="J1378" s="39" t="s">
        <v>37</v>
      </c>
      <c r="K1378" s="39" t="s">
        <v>37</v>
      </c>
      <c r="L1378" s="39" t="s">
        <v>38</v>
      </c>
      <c r="M1378" s="39" t="s">
        <v>37</v>
      </c>
      <c r="N1378" s="39" t="s">
        <v>37</v>
      </c>
      <c r="O1378" s="39" t="s">
        <v>38</v>
      </c>
      <c r="P1378" s="39" t="s">
        <v>39</v>
      </c>
      <c r="Q1378" s="37">
        <v>45995</v>
      </c>
      <c r="R1378" s="35"/>
      <c r="S1378" s="35"/>
      <c r="T1378" s="35"/>
      <c r="U1378" s="35"/>
      <c r="V137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79" spans="1:22">
      <c r="A1379" s="37">
        <v>45993</v>
      </c>
      <c r="B1379" s="38" t="s">
        <v>3943</v>
      </c>
      <c r="C1379" s="38" t="s">
        <v>3273</v>
      </c>
      <c r="D1379" s="38" t="s">
        <v>112</v>
      </c>
      <c r="E1379" s="38">
        <v>85387</v>
      </c>
      <c r="F1379" s="38" t="s">
        <v>3944</v>
      </c>
      <c r="G1379" s="38" t="s">
        <v>3930</v>
      </c>
      <c r="H1379" s="39">
        <v>9983127893</v>
      </c>
      <c r="I1379" s="39" t="s">
        <v>36</v>
      </c>
      <c r="J1379" s="39" t="s">
        <v>37</v>
      </c>
      <c r="K1379" s="39" t="s">
        <v>37</v>
      </c>
      <c r="L1379" s="39" t="s">
        <v>38</v>
      </c>
      <c r="M1379" s="39" t="s">
        <v>37</v>
      </c>
      <c r="N1379" s="39" t="s">
        <v>37</v>
      </c>
      <c r="O1379" s="39" t="s">
        <v>38</v>
      </c>
      <c r="P1379" s="39" t="s">
        <v>39</v>
      </c>
      <c r="Q1379" s="37">
        <v>45995</v>
      </c>
      <c r="R1379" s="35"/>
      <c r="S1379" s="35"/>
      <c r="T1379" s="35"/>
      <c r="U1379" s="35"/>
      <c r="V137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0" spans="1:22">
      <c r="A1380" s="37">
        <v>45993</v>
      </c>
      <c r="B1380" s="38" t="s">
        <v>3945</v>
      </c>
      <c r="C1380" s="38" t="s">
        <v>3946</v>
      </c>
      <c r="D1380" s="38" t="s">
        <v>3947</v>
      </c>
      <c r="E1380" s="38">
        <v>85378</v>
      </c>
      <c r="F1380" s="38" t="s">
        <v>3756</v>
      </c>
      <c r="G1380" s="38" t="s">
        <v>3930</v>
      </c>
      <c r="H1380" s="39">
        <v>6711360000</v>
      </c>
      <c r="I1380" s="39" t="s">
        <v>36</v>
      </c>
      <c r="J1380" s="39" t="s">
        <v>38</v>
      </c>
      <c r="K1380" s="39" t="s">
        <v>37</v>
      </c>
      <c r="L1380" s="39" t="s">
        <v>401</v>
      </c>
      <c r="M1380" s="39" t="s">
        <v>37</v>
      </c>
      <c r="N1380" s="39" t="s">
        <v>37</v>
      </c>
      <c r="O1380" s="39" t="s">
        <v>38</v>
      </c>
      <c r="P1380" s="39" t="s">
        <v>39</v>
      </c>
      <c r="Q1380" s="37">
        <v>45995</v>
      </c>
      <c r="R1380" s="35"/>
      <c r="S1380" s="35"/>
      <c r="T1380" s="35"/>
      <c r="U1380" s="35"/>
      <c r="V138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1" spans="1:22">
      <c r="A1381" s="37">
        <v>45993</v>
      </c>
      <c r="B1381" s="38" t="s">
        <v>1084</v>
      </c>
      <c r="C1381" s="38" t="s">
        <v>3948</v>
      </c>
      <c r="D1381" s="38" t="s">
        <v>174</v>
      </c>
      <c r="E1381" s="38">
        <v>85396</v>
      </c>
      <c r="F1381" s="38" t="s">
        <v>3949</v>
      </c>
      <c r="G1381" s="38" t="s">
        <v>3930</v>
      </c>
      <c r="H1381" s="39">
        <v>9411880000</v>
      </c>
      <c r="I1381" s="39" t="s">
        <v>46</v>
      </c>
      <c r="J1381" s="39" t="s">
        <v>37</v>
      </c>
      <c r="K1381" s="39" t="s">
        <v>37</v>
      </c>
      <c r="L1381" s="39" t="s">
        <v>38</v>
      </c>
      <c r="M1381" s="39" t="s">
        <v>37</v>
      </c>
      <c r="N1381" s="39" t="s">
        <v>37</v>
      </c>
      <c r="O1381" s="39" t="s">
        <v>38</v>
      </c>
      <c r="P1381" s="39" t="s">
        <v>39</v>
      </c>
      <c r="Q1381" s="37">
        <v>45995</v>
      </c>
      <c r="R1381" s="35"/>
      <c r="S1381" s="35"/>
      <c r="T1381" s="35"/>
      <c r="U1381" s="35"/>
      <c r="V138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2" spans="1:22">
      <c r="A1382" s="37">
        <v>45993</v>
      </c>
      <c r="B1382" s="38" t="s">
        <v>3950</v>
      </c>
      <c r="C1382" s="38" t="s">
        <v>3951</v>
      </c>
      <c r="D1382" s="38" t="s">
        <v>112</v>
      </c>
      <c r="E1382" s="38">
        <v>85374</v>
      </c>
      <c r="F1382" s="38" t="s">
        <v>3756</v>
      </c>
      <c r="G1382" s="38" t="s">
        <v>3930</v>
      </c>
      <c r="H1382" s="39" t="s">
        <v>27</v>
      </c>
      <c r="I1382" s="39"/>
      <c r="J1382" s="39"/>
      <c r="K1382" s="39"/>
      <c r="L1382" s="39"/>
      <c r="M1382" s="39"/>
      <c r="N1382" s="39"/>
      <c r="O1382" s="39"/>
      <c r="P1382" s="39"/>
      <c r="Q1382" s="39"/>
      <c r="R1382" s="35"/>
      <c r="S1382" s="35"/>
      <c r="T1382" s="35"/>
      <c r="U1382" s="35"/>
      <c r="V138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3" spans="1:22">
      <c r="A1383" s="37">
        <v>45993</v>
      </c>
      <c r="B1383" s="38" t="s">
        <v>127</v>
      </c>
      <c r="C1383" s="38" t="s">
        <v>2144</v>
      </c>
      <c r="D1383" s="38" t="s">
        <v>112</v>
      </c>
      <c r="E1383" s="38">
        <v>85388</v>
      </c>
      <c r="F1383" s="38" t="s">
        <v>3756</v>
      </c>
      <c r="G1383" s="38" t="s">
        <v>3930</v>
      </c>
      <c r="H1383" s="39" t="s">
        <v>27</v>
      </c>
      <c r="I1383" s="39"/>
      <c r="J1383" s="39"/>
      <c r="K1383" s="39"/>
      <c r="L1383" s="39"/>
      <c r="M1383" s="39"/>
      <c r="N1383" s="39"/>
      <c r="O1383" s="39"/>
      <c r="P1383" s="39"/>
      <c r="Q1383" s="39"/>
      <c r="R1383" s="35"/>
      <c r="S1383" s="35"/>
      <c r="T1383" s="35"/>
      <c r="U1383" s="35"/>
      <c r="V138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4" spans="1:22">
      <c r="A1384" s="37">
        <v>45993</v>
      </c>
      <c r="B1384" s="38" t="s">
        <v>3952</v>
      </c>
      <c r="C1384" s="38" t="s">
        <v>3530</v>
      </c>
      <c r="D1384" s="38" t="s">
        <v>428</v>
      </c>
      <c r="E1384" s="38">
        <v>85355</v>
      </c>
      <c r="F1384" s="38" t="s">
        <v>3953</v>
      </c>
      <c r="G1384" s="38" t="s">
        <v>3930</v>
      </c>
      <c r="H1384" s="39">
        <v>4392248810</v>
      </c>
      <c r="I1384" s="39" t="s">
        <v>46</v>
      </c>
      <c r="J1384" s="39" t="s">
        <v>37</v>
      </c>
      <c r="K1384" s="39" t="s">
        <v>37</v>
      </c>
      <c r="L1384" s="39" t="s">
        <v>38</v>
      </c>
      <c r="M1384" s="39" t="s">
        <v>37</v>
      </c>
      <c r="N1384" s="39" t="s">
        <v>37</v>
      </c>
      <c r="O1384" s="39" t="s">
        <v>38</v>
      </c>
      <c r="P1384" s="39" t="s">
        <v>39</v>
      </c>
      <c r="Q1384" s="37">
        <v>45995</v>
      </c>
      <c r="R1384" s="35"/>
      <c r="S1384" s="35"/>
      <c r="T1384" s="35"/>
      <c r="U1384" s="35"/>
      <c r="V138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5" spans="1:22">
      <c r="A1385" s="2">
        <v>45994</v>
      </c>
      <c r="B1385" s="1" t="s">
        <v>3954</v>
      </c>
      <c r="C1385" s="1" t="s">
        <v>1143</v>
      </c>
      <c r="D1385" s="1" t="s">
        <v>30</v>
      </c>
      <c r="E1385" s="1" t="s">
        <v>30</v>
      </c>
      <c r="F1385" s="1" t="s">
        <v>31</v>
      </c>
      <c r="G1385" s="40" t="s">
        <v>3955</v>
      </c>
      <c r="H1385" s="4" t="s">
        <v>27</v>
      </c>
      <c r="V138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6" spans="1:22">
      <c r="A1386" s="2">
        <v>45994</v>
      </c>
      <c r="B1386" s="1" t="s">
        <v>3956</v>
      </c>
      <c r="C1386" s="1" t="s">
        <v>3957</v>
      </c>
      <c r="D1386" s="1" t="s">
        <v>202</v>
      </c>
      <c r="E1386" s="1">
        <v>85383</v>
      </c>
      <c r="F1386" s="1" t="s">
        <v>3958</v>
      </c>
      <c r="G1386" s="40" t="s">
        <v>3959</v>
      </c>
      <c r="H1386" s="4" t="s">
        <v>3960</v>
      </c>
      <c r="I1386" s="5" t="s">
        <v>126</v>
      </c>
      <c r="J1386" s="5" t="s">
        <v>37</v>
      </c>
      <c r="K1386" s="5" t="s">
        <v>37</v>
      </c>
      <c r="L1386" s="5" t="s">
        <v>38</v>
      </c>
      <c r="M1386" s="5" t="s">
        <v>37</v>
      </c>
      <c r="N1386" s="5" t="s">
        <v>37</v>
      </c>
      <c r="O1386" s="5" t="s">
        <v>38</v>
      </c>
      <c r="P1386" s="5" t="s">
        <v>39</v>
      </c>
      <c r="Q1386" s="2">
        <v>45995</v>
      </c>
      <c r="V138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7" spans="1:22" ht="15">
      <c r="A1387" s="2">
        <v>45994</v>
      </c>
      <c r="B1387" s="1" t="s">
        <v>3961</v>
      </c>
      <c r="C1387" s="1" t="s">
        <v>3962</v>
      </c>
      <c r="D1387" s="1" t="s">
        <v>63</v>
      </c>
      <c r="E1387" s="1">
        <v>85017</v>
      </c>
      <c r="F1387" s="1" t="s">
        <v>3963</v>
      </c>
      <c r="G1387" s="41" t="s">
        <v>3964</v>
      </c>
      <c r="H1387" s="4" t="s">
        <v>90</v>
      </c>
      <c r="R1387" s="1" t="s">
        <v>3965</v>
      </c>
      <c r="V138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8" spans="1:22">
      <c r="A1388" s="2">
        <v>45994</v>
      </c>
      <c r="B1388" s="1" t="s">
        <v>3966</v>
      </c>
      <c r="C1388" s="1" t="s">
        <v>3967</v>
      </c>
      <c r="D1388" s="1" t="s">
        <v>63</v>
      </c>
      <c r="E1388" s="1">
        <v>85019</v>
      </c>
      <c r="F1388" s="1" t="s">
        <v>3968</v>
      </c>
      <c r="G1388" s="1" t="s">
        <v>3964</v>
      </c>
      <c r="H1388" s="4" t="s">
        <v>27</v>
      </c>
      <c r="R1388" s="1" t="s">
        <v>3965</v>
      </c>
      <c r="V138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89" spans="1:22">
      <c r="A1389" s="2">
        <v>45994</v>
      </c>
      <c r="B1389" s="1" t="s">
        <v>3969</v>
      </c>
      <c r="C1389" s="1" t="s">
        <v>3970</v>
      </c>
      <c r="D1389" s="1" t="s">
        <v>24</v>
      </c>
      <c r="E1389" s="1">
        <v>85301</v>
      </c>
      <c r="F1389" s="1" t="s">
        <v>3971</v>
      </c>
      <c r="G1389" s="1" t="s">
        <v>3964</v>
      </c>
      <c r="H1389" s="4" t="s">
        <v>27</v>
      </c>
      <c r="R1389" s="1" t="s">
        <v>3965</v>
      </c>
      <c r="V1389"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0" spans="1:22">
      <c r="A1390" s="2">
        <v>45994</v>
      </c>
      <c r="B1390" s="1" t="s">
        <v>657</v>
      </c>
      <c r="C1390" s="1" t="s">
        <v>3972</v>
      </c>
      <c r="D1390" s="1" t="s">
        <v>635</v>
      </c>
      <c r="E1390" s="1">
        <v>85281</v>
      </c>
      <c r="F1390" s="1" t="s">
        <v>3973</v>
      </c>
      <c r="G1390" s="1" t="s">
        <v>3964</v>
      </c>
      <c r="H1390" s="4" t="s">
        <v>27</v>
      </c>
      <c r="R1390" s="1" t="s">
        <v>3965</v>
      </c>
      <c r="V1390"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1" spans="1:22">
      <c r="A1391" s="2">
        <v>45994</v>
      </c>
      <c r="B1391" s="1" t="s">
        <v>3907</v>
      </c>
      <c r="C1391" s="1" t="s">
        <v>3907</v>
      </c>
      <c r="D1391" s="1" t="s">
        <v>63</v>
      </c>
      <c r="E1391" s="1">
        <v>85008</v>
      </c>
      <c r="F1391" s="1" t="s">
        <v>3974</v>
      </c>
      <c r="G1391" s="1" t="s">
        <v>3964</v>
      </c>
      <c r="H1391" s="4" t="s">
        <v>27</v>
      </c>
      <c r="R1391" s="1" t="s">
        <v>3965</v>
      </c>
      <c r="V1391"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2" spans="1:22">
      <c r="A1392" s="2">
        <v>45994</v>
      </c>
      <c r="B1392" s="1" t="s">
        <v>3975</v>
      </c>
      <c r="C1392" s="1" t="s">
        <v>3976</v>
      </c>
      <c r="D1392" s="1" t="s">
        <v>63</v>
      </c>
      <c r="E1392" s="1">
        <v>85008</v>
      </c>
      <c r="F1392" s="1" t="s">
        <v>3977</v>
      </c>
      <c r="G1392" s="1" t="s">
        <v>3964</v>
      </c>
      <c r="H1392" s="4" t="s">
        <v>3978</v>
      </c>
      <c r="I1392" s="5" t="s">
        <v>126</v>
      </c>
      <c r="J1392" s="5" t="s">
        <v>38</v>
      </c>
      <c r="K1392" s="5" t="s">
        <v>37</v>
      </c>
      <c r="L1392" s="5" t="s">
        <v>3979</v>
      </c>
      <c r="M1392" s="5" t="s">
        <v>37</v>
      </c>
      <c r="N1392" s="5" t="s">
        <v>37</v>
      </c>
      <c r="O1392" s="5" t="s">
        <v>38</v>
      </c>
      <c r="P1392" s="5" t="s">
        <v>39</v>
      </c>
      <c r="Q1392" s="2">
        <v>46000</v>
      </c>
      <c r="R1392" s="1" t="s">
        <v>3980</v>
      </c>
      <c r="V1392"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3" spans="1:22">
      <c r="A1393" s="2">
        <v>45994</v>
      </c>
      <c r="B1393" s="1" t="s">
        <v>2571</v>
      </c>
      <c r="C1393" s="1" t="s">
        <v>3946</v>
      </c>
      <c r="D1393" s="1" t="s">
        <v>63</v>
      </c>
      <c r="E1393" s="1">
        <v>85017</v>
      </c>
      <c r="F1393" s="1" t="s">
        <v>3981</v>
      </c>
      <c r="G1393" s="1" t="s">
        <v>3964</v>
      </c>
      <c r="H1393" s="4" t="s">
        <v>27</v>
      </c>
      <c r="R1393" s="1" t="s">
        <v>3965</v>
      </c>
      <c r="V1393"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4" spans="1:22">
      <c r="A1394" s="2">
        <v>45994</v>
      </c>
      <c r="B1394" s="1" t="s">
        <v>657</v>
      </c>
      <c r="C1394" s="1" t="s">
        <v>3982</v>
      </c>
      <c r="D1394" s="1" t="s">
        <v>63</v>
      </c>
      <c r="E1394" s="1">
        <v>85035</v>
      </c>
      <c r="F1394" s="1" t="s">
        <v>3983</v>
      </c>
      <c r="G1394" s="1" t="s">
        <v>3964</v>
      </c>
      <c r="H1394" s="4" t="s">
        <v>27</v>
      </c>
      <c r="R1394" s="1" t="s">
        <v>3965</v>
      </c>
      <c r="V1394"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5" spans="1:22">
      <c r="A1395" s="2">
        <v>45994</v>
      </c>
      <c r="B1395" s="1" t="s">
        <v>3984</v>
      </c>
      <c r="C1395" s="1" t="s">
        <v>3985</v>
      </c>
      <c r="D1395" s="1" t="s">
        <v>63</v>
      </c>
      <c r="E1395" s="1">
        <v>85008</v>
      </c>
      <c r="F1395" s="1" t="s">
        <v>3986</v>
      </c>
      <c r="G1395" s="1" t="s">
        <v>3964</v>
      </c>
      <c r="H1395" s="4" t="s">
        <v>27</v>
      </c>
      <c r="R1395" s="1" t="s">
        <v>3965</v>
      </c>
      <c r="V1395"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6" spans="1:22">
      <c r="A1396" s="2">
        <v>45994</v>
      </c>
      <c r="C1396" s="1" t="s">
        <v>3987</v>
      </c>
      <c r="D1396" s="1" t="s">
        <v>63</v>
      </c>
      <c r="E1396" s="1">
        <v>85017</v>
      </c>
      <c r="F1396" s="1" t="s">
        <v>3988</v>
      </c>
      <c r="G1396" s="1" t="s">
        <v>3964</v>
      </c>
      <c r="H1396" s="4" t="s">
        <v>27</v>
      </c>
      <c r="R1396" s="1" t="s">
        <v>3965</v>
      </c>
      <c r="V1396"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7" spans="1:22">
      <c r="A1397" s="2">
        <v>45994</v>
      </c>
      <c r="B1397" s="1" t="s">
        <v>3989</v>
      </c>
      <c r="C1397" s="1" t="s">
        <v>3990</v>
      </c>
      <c r="D1397" s="1" t="s">
        <v>63</v>
      </c>
      <c r="E1397" s="1">
        <v>85037</v>
      </c>
      <c r="F1397" s="1" t="s">
        <v>3991</v>
      </c>
      <c r="G1397" s="1" t="s">
        <v>3964</v>
      </c>
      <c r="H1397" s="4" t="s">
        <v>27</v>
      </c>
      <c r="V1397"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8" spans="1:22">
      <c r="A1398" s="2">
        <v>45994</v>
      </c>
      <c r="B1398" s="1" t="s">
        <v>3992</v>
      </c>
      <c r="C1398" s="1" t="s">
        <v>3993</v>
      </c>
      <c r="D1398" s="1" t="s">
        <v>63</v>
      </c>
      <c r="E1398" s="1">
        <v>85031</v>
      </c>
      <c r="F1398" s="1" t="s">
        <v>3994</v>
      </c>
      <c r="G1398" s="1" t="s">
        <v>3964</v>
      </c>
      <c r="H1398" s="4" t="s">
        <v>27</v>
      </c>
      <c r="V1398" s="46">
        <f>IF(
  OR(
    ISNUMBER(SEARCH("unable to locate acct", tblDocketedComments[[#This Row],[Docketed Consumer Comments]])),
    ISNUMBER(SEARCH("unknown", tblDocketedComments[[#This Row],[Docketed Consumer Comments]])),
    ISNUMBER(SEARCH("inactive", tblDocketedComments[[#This Row],[Docketed Consumer Comments]]))
  ),
  0,
  1
)</f>
        <v>1</v>
      </c>
    </row>
    <row r="1399" spans="1:22">
      <c r="A1399" s="2">
        <v>45994</v>
      </c>
      <c r="B1399" s="1" t="s">
        <v>3995</v>
      </c>
      <c r="C1399" s="1" t="s">
        <v>3996</v>
      </c>
      <c r="D1399" s="1" t="s">
        <v>112</v>
      </c>
      <c r="E1399" s="1">
        <v>85387</v>
      </c>
      <c r="F1399" s="1" t="s">
        <v>3997</v>
      </c>
      <c r="G1399" s="1" t="s">
        <v>3964</v>
      </c>
      <c r="H1399" s="4" t="s">
        <v>3998</v>
      </c>
      <c r="I1399" s="5" t="s">
        <v>36</v>
      </c>
      <c r="J1399" s="5" t="s">
        <v>37</v>
      </c>
      <c r="K1399" s="5" t="s">
        <v>37</v>
      </c>
      <c r="L1399" s="5" t="s">
        <v>38</v>
      </c>
      <c r="M1399" s="5" t="s">
        <v>37</v>
      </c>
      <c r="N1399" s="5" t="s">
        <v>37</v>
      </c>
      <c r="O1399" s="5" t="s">
        <v>38</v>
      </c>
      <c r="P1399" s="5" t="s">
        <v>39</v>
      </c>
      <c r="Q1399" s="2">
        <v>46000</v>
      </c>
      <c r="V1399"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0" spans="1:22">
      <c r="A1400" s="2">
        <v>45994</v>
      </c>
      <c r="B1400" s="1" t="s">
        <v>419</v>
      </c>
      <c r="C1400" s="1" t="s">
        <v>3639</v>
      </c>
      <c r="D1400" s="1" t="s">
        <v>63</v>
      </c>
      <c r="E1400" s="1">
        <v>85029</v>
      </c>
      <c r="F1400" s="1" t="s">
        <v>3999</v>
      </c>
      <c r="G1400" s="1" t="s">
        <v>3964</v>
      </c>
      <c r="H1400" s="4" t="s">
        <v>3641</v>
      </c>
      <c r="I1400" s="5" t="s">
        <v>126</v>
      </c>
      <c r="J1400" s="5" t="s">
        <v>37</v>
      </c>
      <c r="K1400" s="5" t="s">
        <v>37</v>
      </c>
      <c r="L1400" s="5" t="s">
        <v>38</v>
      </c>
      <c r="M1400" s="5" t="s">
        <v>37</v>
      </c>
      <c r="N1400" s="5" t="s">
        <v>37</v>
      </c>
      <c r="O1400" s="5" t="s">
        <v>38</v>
      </c>
      <c r="P1400" s="5" t="s">
        <v>39</v>
      </c>
      <c r="Q1400" s="2">
        <v>46000</v>
      </c>
      <c r="V1400"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1" spans="1:22">
      <c r="A1401" s="42">
        <v>45994</v>
      </c>
      <c r="B1401" s="33" t="s">
        <v>849</v>
      </c>
      <c r="C1401" s="33" t="s">
        <v>4000</v>
      </c>
      <c r="D1401" s="33" t="s">
        <v>63</v>
      </c>
      <c r="E1401" s="33">
        <v>85013</v>
      </c>
      <c r="F1401" s="33" t="s">
        <v>4001</v>
      </c>
      <c r="G1401" s="33" t="s">
        <v>3964</v>
      </c>
      <c r="H1401" s="43">
        <v>5334816770</v>
      </c>
      <c r="I1401" s="43" t="s">
        <v>4002</v>
      </c>
      <c r="J1401" s="43" t="s">
        <v>37</v>
      </c>
      <c r="K1401" s="43" t="s">
        <v>37</v>
      </c>
      <c r="L1401" s="43" t="s">
        <v>4003</v>
      </c>
      <c r="M1401" s="43" t="s">
        <v>37</v>
      </c>
      <c r="N1401" s="43" t="s">
        <v>37</v>
      </c>
      <c r="O1401" s="43" t="s">
        <v>38</v>
      </c>
      <c r="P1401" s="43"/>
      <c r="Q1401" s="42">
        <v>46000</v>
      </c>
      <c r="R1401" s="33" t="s">
        <v>4004</v>
      </c>
      <c r="S1401" s="33"/>
      <c r="T1401" s="33"/>
      <c r="U1401" s="33"/>
      <c r="V1401"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2" spans="1:22">
      <c r="A1402" s="2">
        <v>45994</v>
      </c>
      <c r="B1402" s="1" t="s">
        <v>1779</v>
      </c>
      <c r="C1402" s="1" t="s">
        <v>4005</v>
      </c>
      <c r="D1402" s="1" t="s">
        <v>63</v>
      </c>
      <c r="E1402" s="1">
        <v>85086</v>
      </c>
      <c r="F1402" s="1" t="s">
        <v>4006</v>
      </c>
      <c r="G1402" s="1" t="s">
        <v>3964</v>
      </c>
      <c r="H1402" s="4" t="s">
        <v>90</v>
      </c>
      <c r="V1402"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3" spans="1:22">
      <c r="A1403" s="2">
        <v>45994</v>
      </c>
      <c r="B1403" s="1" t="s">
        <v>4007</v>
      </c>
      <c r="C1403" s="1" t="s">
        <v>4008</v>
      </c>
      <c r="D1403" s="1" t="s">
        <v>63</v>
      </c>
      <c r="E1403" s="1">
        <v>85033</v>
      </c>
      <c r="F1403" s="1" t="s">
        <v>4009</v>
      </c>
      <c r="G1403" s="1" t="s">
        <v>3964</v>
      </c>
      <c r="H1403" s="4" t="s">
        <v>27</v>
      </c>
      <c r="V1403"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4" spans="1:22">
      <c r="A1404" s="2">
        <v>45994</v>
      </c>
      <c r="B1404" s="1" t="s">
        <v>4010</v>
      </c>
      <c r="C1404" s="1" t="s">
        <v>1647</v>
      </c>
      <c r="D1404" s="1" t="s">
        <v>737</v>
      </c>
      <c r="E1404" s="1">
        <v>86326</v>
      </c>
      <c r="F1404" s="1" t="s">
        <v>4011</v>
      </c>
      <c r="G1404" s="1" t="s">
        <v>3964</v>
      </c>
      <c r="H1404" s="4" t="s">
        <v>90</v>
      </c>
      <c r="V1404"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5" spans="1:22">
      <c r="A1405" s="2">
        <v>45994</v>
      </c>
      <c r="B1405" s="1" t="s">
        <v>4012</v>
      </c>
      <c r="C1405" s="1" t="s">
        <v>4013</v>
      </c>
      <c r="D1405" s="1" t="s">
        <v>24</v>
      </c>
      <c r="E1405" s="1">
        <v>85308</v>
      </c>
      <c r="F1405" s="1" t="s">
        <v>4014</v>
      </c>
      <c r="G1405" s="1" t="s">
        <v>3964</v>
      </c>
      <c r="H1405" s="4" t="s">
        <v>27</v>
      </c>
      <c r="V1405"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6" spans="1:22">
      <c r="A1406" s="2">
        <v>45994</v>
      </c>
      <c r="B1406" s="1" t="s">
        <v>4015</v>
      </c>
      <c r="C1406" s="1" t="s">
        <v>340</v>
      </c>
      <c r="D1406" s="1" t="s">
        <v>63</v>
      </c>
      <c r="E1406" s="1">
        <v>85022</v>
      </c>
      <c r="F1406" s="1" t="s">
        <v>4016</v>
      </c>
      <c r="G1406" s="1" t="s">
        <v>3964</v>
      </c>
      <c r="H1406" s="4" t="s">
        <v>4017</v>
      </c>
      <c r="I1406" s="5" t="s">
        <v>73</v>
      </c>
      <c r="J1406" s="5" t="s">
        <v>37</v>
      </c>
      <c r="K1406" s="5" t="s">
        <v>37</v>
      </c>
      <c r="L1406" s="5" t="s">
        <v>4018</v>
      </c>
      <c r="M1406" s="5" t="s">
        <v>37</v>
      </c>
      <c r="N1406" s="5" t="s">
        <v>37</v>
      </c>
      <c r="O1406" s="5" t="s">
        <v>38</v>
      </c>
      <c r="P1406" s="5" t="s">
        <v>39</v>
      </c>
      <c r="Q1406" s="2">
        <v>46000</v>
      </c>
      <c r="V1406"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7" spans="1:22">
      <c r="A1407" s="2">
        <v>45994</v>
      </c>
      <c r="B1407" s="1" t="s">
        <v>4019</v>
      </c>
      <c r="C1407" s="1" t="s">
        <v>4020</v>
      </c>
      <c r="D1407" s="1" t="s">
        <v>63</v>
      </c>
      <c r="E1407" s="1">
        <v>85003</v>
      </c>
      <c r="F1407" s="1" t="s">
        <v>4021</v>
      </c>
      <c r="G1407" s="1" t="s">
        <v>3964</v>
      </c>
      <c r="H1407" s="4" t="s">
        <v>27</v>
      </c>
      <c r="R1407" s="1" t="s">
        <v>3965</v>
      </c>
      <c r="V1407"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8" spans="1:22">
      <c r="A1408" s="2">
        <v>45994</v>
      </c>
      <c r="B1408" s="1" t="s">
        <v>4022</v>
      </c>
      <c r="C1408" s="1" t="s">
        <v>4023</v>
      </c>
      <c r="D1408" s="1" t="s">
        <v>523</v>
      </c>
      <c r="E1408" s="1">
        <v>85323</v>
      </c>
      <c r="F1408" s="1" t="s">
        <v>4024</v>
      </c>
      <c r="G1408" s="1" t="s">
        <v>3964</v>
      </c>
      <c r="H1408" s="4" t="s">
        <v>27</v>
      </c>
      <c r="R1408" s="1" t="s">
        <v>3965</v>
      </c>
      <c r="V1408" s="46">
        <f>IF(
  OR(
    ISNUMBER(SEARCH("unable to locate acct", tblDocketedComments[[#This Row],[Docketed Consumer Comments]])),
    ISNUMBER(SEARCH("unknown", tblDocketedComments[[#This Row],[Docketed Consumer Comments]])),
    ISNUMBER(SEARCH("inactive", tblDocketedComments[[#This Row],[Docketed Consumer Comments]]))
  ),
  0,
  1
)</f>
        <v>1</v>
      </c>
    </row>
    <row r="1409" spans="1:22">
      <c r="A1409" s="2">
        <v>45994</v>
      </c>
      <c r="B1409" s="1" t="s">
        <v>4025</v>
      </c>
      <c r="C1409" s="1" t="s">
        <v>4026</v>
      </c>
      <c r="D1409" s="1" t="s">
        <v>2542</v>
      </c>
      <c r="E1409" s="1">
        <v>86325</v>
      </c>
      <c r="F1409" s="1" t="s">
        <v>4027</v>
      </c>
      <c r="G1409" s="1" t="s">
        <v>3964</v>
      </c>
      <c r="H1409" s="4" t="s">
        <v>27</v>
      </c>
      <c r="V1409"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0" spans="1:22">
      <c r="A1410" s="2">
        <v>45994</v>
      </c>
      <c r="B1410" s="1" t="s">
        <v>4028</v>
      </c>
      <c r="C1410" s="1" t="s">
        <v>4029</v>
      </c>
      <c r="D1410" s="1" t="s">
        <v>112</v>
      </c>
      <c r="E1410" s="1">
        <v>85379</v>
      </c>
      <c r="F1410" s="1" t="s">
        <v>4030</v>
      </c>
      <c r="G1410" s="1" t="s">
        <v>3964</v>
      </c>
      <c r="H1410" s="4" t="s">
        <v>27</v>
      </c>
      <c r="V1410"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1" spans="1:22">
      <c r="A1411" s="2">
        <v>45994</v>
      </c>
      <c r="B1411" s="1" t="s">
        <v>30</v>
      </c>
      <c r="C1411" s="1" t="s">
        <v>4031</v>
      </c>
      <c r="D1411" s="1" t="s">
        <v>30</v>
      </c>
      <c r="E1411" s="1" t="s">
        <v>30</v>
      </c>
      <c r="F1411" s="1" t="s">
        <v>4032</v>
      </c>
      <c r="G1411" s="1" t="s">
        <v>3964</v>
      </c>
      <c r="H1411" s="4" t="s">
        <v>27</v>
      </c>
      <c r="V1411"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2" spans="1:22">
      <c r="A1412" s="2">
        <v>45994</v>
      </c>
      <c r="B1412" s="1" t="s">
        <v>4033</v>
      </c>
      <c r="C1412" s="1" t="s">
        <v>4034</v>
      </c>
      <c r="D1412" s="1" t="s">
        <v>68</v>
      </c>
      <c r="F1412" s="1" t="s">
        <v>4035</v>
      </c>
      <c r="G1412" s="1" t="s">
        <v>3964</v>
      </c>
      <c r="H1412" s="4" t="s">
        <v>4036</v>
      </c>
      <c r="I1412" s="5" t="s">
        <v>36</v>
      </c>
      <c r="J1412" s="5" t="s">
        <v>37</v>
      </c>
      <c r="K1412" s="5" t="s">
        <v>37</v>
      </c>
      <c r="L1412" s="5" t="s">
        <v>38</v>
      </c>
      <c r="M1412" s="5" t="s">
        <v>37</v>
      </c>
      <c r="N1412" s="5" t="s">
        <v>37</v>
      </c>
      <c r="O1412" s="5" t="s">
        <v>38</v>
      </c>
      <c r="P1412" s="5" t="s">
        <v>39</v>
      </c>
      <c r="Q1412" s="2">
        <v>46000</v>
      </c>
      <c r="V1412"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3" spans="1:22">
      <c r="A1413" s="2">
        <v>45994</v>
      </c>
      <c r="B1413" s="1" t="s">
        <v>4037</v>
      </c>
      <c r="C1413" s="1" t="s">
        <v>4038</v>
      </c>
      <c r="D1413" s="1" t="s">
        <v>63</v>
      </c>
      <c r="E1413" s="1">
        <v>85037</v>
      </c>
      <c r="F1413" s="1" t="s">
        <v>4039</v>
      </c>
      <c r="G1413" s="1" t="s">
        <v>3964</v>
      </c>
      <c r="H1413" s="4" t="s">
        <v>27</v>
      </c>
      <c r="R1413" s="1" t="s">
        <v>3965</v>
      </c>
      <c r="V1413"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4" spans="1:22">
      <c r="A1414" s="2">
        <v>45994</v>
      </c>
      <c r="B1414" s="1" t="s">
        <v>219</v>
      </c>
      <c r="C1414" s="1" t="s">
        <v>4040</v>
      </c>
      <c r="D1414" s="1" t="s">
        <v>63</v>
      </c>
      <c r="E1414" s="1">
        <v>85017</v>
      </c>
      <c r="F1414" s="1" t="s">
        <v>4041</v>
      </c>
      <c r="G1414" s="1" t="s">
        <v>3964</v>
      </c>
      <c r="H1414" s="4" t="s">
        <v>27</v>
      </c>
      <c r="R1414" s="1" t="s">
        <v>3965</v>
      </c>
      <c r="V1414"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5" spans="1:22">
      <c r="A1415" s="2">
        <v>45994</v>
      </c>
      <c r="B1415" s="1" t="s">
        <v>30</v>
      </c>
      <c r="C1415" s="1" t="s">
        <v>4042</v>
      </c>
      <c r="D1415" s="1" t="s">
        <v>63</v>
      </c>
      <c r="E1415" s="1">
        <v>85003</v>
      </c>
      <c r="F1415" s="1" t="s">
        <v>4043</v>
      </c>
      <c r="G1415" s="1" t="s">
        <v>3964</v>
      </c>
      <c r="H1415" s="4" t="s">
        <v>27</v>
      </c>
      <c r="V1415"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6" spans="1:22">
      <c r="A1416" s="2">
        <v>45994</v>
      </c>
      <c r="B1416" s="1" t="s">
        <v>4044</v>
      </c>
      <c r="C1416" s="1" t="s">
        <v>4045</v>
      </c>
      <c r="D1416" s="1" t="s">
        <v>63</v>
      </c>
      <c r="E1416" s="1">
        <v>85042</v>
      </c>
      <c r="F1416" s="1" t="s">
        <v>4046</v>
      </c>
      <c r="G1416" s="1" t="s">
        <v>3964</v>
      </c>
      <c r="H1416" s="4" t="s">
        <v>27</v>
      </c>
      <c r="V1416"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7" spans="1:22">
      <c r="A1417" s="2">
        <v>45994</v>
      </c>
      <c r="B1417" s="1" t="s">
        <v>4047</v>
      </c>
      <c r="C1417" s="1" t="s">
        <v>4048</v>
      </c>
      <c r="D1417" s="1" t="s">
        <v>4049</v>
      </c>
      <c r="E1417" s="1">
        <v>85040</v>
      </c>
      <c r="F1417" s="1" t="s">
        <v>4050</v>
      </c>
      <c r="G1417" s="1" t="s">
        <v>3964</v>
      </c>
      <c r="H1417" s="4" t="s">
        <v>27</v>
      </c>
      <c r="R1417" s="1" t="s">
        <v>3965</v>
      </c>
      <c r="V1417"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8" spans="1:22">
      <c r="A1418" s="2">
        <v>45994</v>
      </c>
      <c r="B1418" s="1" t="s">
        <v>30</v>
      </c>
      <c r="C1418" s="1" t="s">
        <v>4051</v>
      </c>
      <c r="D1418" s="1" t="s">
        <v>30</v>
      </c>
      <c r="E1418" s="1" t="s">
        <v>30</v>
      </c>
      <c r="G1418" s="1" t="s">
        <v>3964</v>
      </c>
      <c r="V1418" s="46">
        <f>IF(
  OR(
    ISNUMBER(SEARCH("unable to locate acct", tblDocketedComments[[#This Row],[Docketed Consumer Comments]])),
    ISNUMBER(SEARCH("unknown", tblDocketedComments[[#This Row],[Docketed Consumer Comments]])),
    ISNUMBER(SEARCH("inactive", tblDocketedComments[[#This Row],[Docketed Consumer Comments]]))
  ),
  0,
  1
)</f>
        <v>1</v>
      </c>
    </row>
    <row r="1419" spans="1:22">
      <c r="A1419" s="2">
        <v>45995</v>
      </c>
      <c r="B1419" s="1" t="s">
        <v>4052</v>
      </c>
      <c r="C1419" s="1" t="s">
        <v>4053</v>
      </c>
      <c r="D1419" s="1" t="s">
        <v>112</v>
      </c>
      <c r="E1419" s="1">
        <v>85379</v>
      </c>
      <c r="F1419" s="1" t="s">
        <v>4054</v>
      </c>
      <c r="G1419" s="40" t="s">
        <v>4055</v>
      </c>
      <c r="H1419" s="4" t="s">
        <v>4056</v>
      </c>
      <c r="I1419" s="5" t="s">
        <v>4057</v>
      </c>
      <c r="J1419" s="5" t="s">
        <v>37</v>
      </c>
      <c r="K1419" s="5" t="s">
        <v>37</v>
      </c>
      <c r="L1419" s="5" t="s">
        <v>389</v>
      </c>
      <c r="M1419" s="5" t="s">
        <v>37</v>
      </c>
      <c r="N1419" s="5" t="s">
        <v>37</v>
      </c>
      <c r="O1419" s="5" t="s">
        <v>38</v>
      </c>
      <c r="P1419" s="5" t="s">
        <v>39</v>
      </c>
      <c r="Q1419" s="2">
        <v>46000</v>
      </c>
      <c r="V1419"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0" spans="1:22">
      <c r="A1420" s="42">
        <v>45996</v>
      </c>
      <c r="B1420" s="33" t="s">
        <v>4058</v>
      </c>
      <c r="C1420" s="33" t="s">
        <v>479</v>
      </c>
      <c r="D1420" s="33" t="s">
        <v>63</v>
      </c>
      <c r="E1420" s="33">
        <v>85032</v>
      </c>
      <c r="F1420" s="33" t="s">
        <v>4059</v>
      </c>
      <c r="G1420" s="44" t="s">
        <v>4060</v>
      </c>
      <c r="H1420" s="45" t="s">
        <v>4061</v>
      </c>
      <c r="I1420" s="43" t="s">
        <v>57</v>
      </c>
      <c r="J1420" s="43" t="s">
        <v>37</v>
      </c>
      <c r="K1420" s="43" t="s">
        <v>37</v>
      </c>
      <c r="L1420" s="43" t="s">
        <v>4062</v>
      </c>
      <c r="M1420" s="43" t="s">
        <v>37</v>
      </c>
      <c r="N1420" s="43" t="s">
        <v>37</v>
      </c>
      <c r="O1420" s="43" t="s">
        <v>38</v>
      </c>
      <c r="P1420" s="43"/>
      <c r="Q1420" s="42">
        <v>46000</v>
      </c>
      <c r="R1420" s="33" t="s">
        <v>4004</v>
      </c>
      <c r="S1420" s="33"/>
      <c r="T1420" s="33"/>
      <c r="U1420" s="33"/>
      <c r="V1420"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1" spans="1:22">
      <c r="A1421" s="2">
        <v>46003</v>
      </c>
      <c r="B1421" s="1" t="s">
        <v>4063</v>
      </c>
      <c r="C1421" s="1" t="s">
        <v>784</v>
      </c>
      <c r="D1421" s="1" t="s">
        <v>112</v>
      </c>
      <c r="E1421" s="1">
        <v>85378</v>
      </c>
      <c r="F1421" s="1" t="s">
        <v>4064</v>
      </c>
      <c r="G1421" s="1" t="s">
        <v>4065</v>
      </c>
      <c r="H1421" s="4" t="s">
        <v>27</v>
      </c>
      <c r="V1421"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2" spans="1:22">
      <c r="A1422" s="2">
        <v>46003</v>
      </c>
      <c r="B1422" s="1" t="s">
        <v>4066</v>
      </c>
      <c r="C1422" s="1" t="s">
        <v>4067</v>
      </c>
      <c r="D1422" s="1" t="s">
        <v>174</v>
      </c>
      <c r="E1422" s="1">
        <v>85396</v>
      </c>
      <c r="F1422" s="1" t="s">
        <v>4068</v>
      </c>
      <c r="G1422" s="1" t="s">
        <v>4065</v>
      </c>
      <c r="H1422" s="4" t="s">
        <v>4069</v>
      </c>
      <c r="I1422" s="5" t="s">
        <v>250</v>
      </c>
      <c r="J1422" s="5" t="s">
        <v>37</v>
      </c>
      <c r="K1422" s="5" t="s">
        <v>37</v>
      </c>
      <c r="L1422" s="5" t="s">
        <v>38</v>
      </c>
      <c r="M1422" s="5" t="s">
        <v>37</v>
      </c>
      <c r="N1422" s="5" t="s">
        <v>37</v>
      </c>
      <c r="O1422" s="5" t="s">
        <v>38</v>
      </c>
      <c r="P1422" s="5" t="s">
        <v>39</v>
      </c>
      <c r="Q1422" s="5">
        <v>46008</v>
      </c>
      <c r="V1422"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3" spans="1:22">
      <c r="A1423" s="2">
        <v>46003</v>
      </c>
      <c r="B1423" s="1" t="s">
        <v>4070</v>
      </c>
      <c r="C1423" s="1" t="s">
        <v>4071</v>
      </c>
      <c r="D1423" s="1" t="s">
        <v>174</v>
      </c>
      <c r="E1423" s="1">
        <v>85396</v>
      </c>
      <c r="F1423" s="1" t="s">
        <v>4072</v>
      </c>
      <c r="G1423" s="1" t="s">
        <v>4065</v>
      </c>
      <c r="H1423" s="4" t="s">
        <v>4073</v>
      </c>
      <c r="I1423" s="5" t="s">
        <v>4074</v>
      </c>
      <c r="J1423" s="5" t="s">
        <v>37</v>
      </c>
      <c r="K1423" s="5" t="s">
        <v>37</v>
      </c>
      <c r="L1423" s="5" t="s">
        <v>38</v>
      </c>
      <c r="M1423" s="5" t="s">
        <v>37</v>
      </c>
      <c r="N1423" s="5" t="s">
        <v>37</v>
      </c>
      <c r="O1423" s="5" t="s">
        <v>38</v>
      </c>
      <c r="P1423" s="5" t="s">
        <v>39</v>
      </c>
      <c r="Q1423" s="5">
        <v>46008</v>
      </c>
      <c r="V1423"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4" spans="1:22">
      <c r="A1424" s="2">
        <v>46003</v>
      </c>
      <c r="B1424" s="1" t="s">
        <v>4075</v>
      </c>
      <c r="C1424" s="1" t="s">
        <v>208</v>
      </c>
      <c r="D1424" s="1" t="s">
        <v>174</v>
      </c>
      <c r="E1424" s="1">
        <v>85396</v>
      </c>
      <c r="F1424" s="1" t="s">
        <v>4076</v>
      </c>
      <c r="G1424" s="1" t="s">
        <v>4065</v>
      </c>
      <c r="H1424" s="4" t="s">
        <v>4077</v>
      </c>
      <c r="I1424" s="5" t="s">
        <v>4078</v>
      </c>
      <c r="J1424" s="5" t="s">
        <v>37</v>
      </c>
      <c r="K1424" s="5" t="s">
        <v>37</v>
      </c>
      <c r="L1424" s="5" t="s">
        <v>4079</v>
      </c>
      <c r="M1424" s="5" t="s">
        <v>37</v>
      </c>
      <c r="N1424" s="5" t="s">
        <v>37</v>
      </c>
      <c r="O1424" s="5" t="s">
        <v>38</v>
      </c>
      <c r="P1424" s="5" t="s">
        <v>39</v>
      </c>
      <c r="Q1424" s="5">
        <v>46008</v>
      </c>
      <c r="V1424"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5" spans="1:22">
      <c r="A1425" s="2">
        <v>46006</v>
      </c>
      <c r="B1425" s="1" t="s">
        <v>214</v>
      </c>
      <c r="C1425" s="1" t="s">
        <v>199</v>
      </c>
      <c r="D1425" s="1" t="s">
        <v>3538</v>
      </c>
      <c r="E1425" s="1" t="s">
        <v>30</v>
      </c>
      <c r="F1425" s="1" t="s">
        <v>3865</v>
      </c>
      <c r="G1425" s="1" t="s">
        <v>4080</v>
      </c>
      <c r="H1425" s="4" t="s">
        <v>27</v>
      </c>
      <c r="V1425"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6" spans="1:22">
      <c r="A1426" s="2">
        <v>46006</v>
      </c>
      <c r="B1426" s="1" t="s">
        <v>3561</v>
      </c>
      <c r="C1426" s="1" t="s">
        <v>481</v>
      </c>
      <c r="D1426" s="1" t="s">
        <v>85</v>
      </c>
      <c r="E1426" s="1">
        <v>86323</v>
      </c>
      <c r="F1426" s="1" t="s">
        <v>4081</v>
      </c>
      <c r="G1426" s="1" t="s">
        <v>4082</v>
      </c>
      <c r="H1426" s="4" t="s">
        <v>4083</v>
      </c>
      <c r="I1426" s="5" t="s">
        <v>126</v>
      </c>
      <c r="J1426" s="5" t="s">
        <v>37</v>
      </c>
      <c r="K1426" s="5" t="s">
        <v>37</v>
      </c>
      <c r="L1426" s="5" t="s">
        <v>38</v>
      </c>
      <c r="M1426" s="5" t="s">
        <v>37</v>
      </c>
      <c r="N1426" s="5" t="s">
        <v>37</v>
      </c>
      <c r="O1426" s="5" t="s">
        <v>38</v>
      </c>
      <c r="P1426" s="5" t="s">
        <v>39</v>
      </c>
      <c r="Q1426" s="5">
        <v>46008</v>
      </c>
      <c r="V1426"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7" spans="1:22">
      <c r="A1427" s="2">
        <v>46006</v>
      </c>
      <c r="B1427" s="1" t="s">
        <v>4084</v>
      </c>
      <c r="C1427" s="1" t="s">
        <v>4085</v>
      </c>
      <c r="D1427" s="1" t="s">
        <v>293</v>
      </c>
      <c r="E1427" s="1">
        <v>85138</v>
      </c>
      <c r="F1427" s="1" t="s">
        <v>4086</v>
      </c>
      <c r="G1427" s="1" t="s">
        <v>4087</v>
      </c>
      <c r="H1427" s="4" t="s">
        <v>27</v>
      </c>
      <c r="V1427"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8" spans="1:22">
      <c r="A1428" s="2">
        <v>46006</v>
      </c>
      <c r="B1428" s="1" t="s">
        <v>4088</v>
      </c>
      <c r="C1428" s="1" t="s">
        <v>662</v>
      </c>
      <c r="D1428" s="1" t="s">
        <v>4089</v>
      </c>
      <c r="E1428" s="1">
        <v>89145</v>
      </c>
      <c r="F1428" s="1" t="s">
        <v>4090</v>
      </c>
      <c r="G1428" s="1" t="s">
        <v>4091</v>
      </c>
      <c r="H1428" s="4" t="s">
        <v>27</v>
      </c>
      <c r="V1428" s="46">
        <f>IF(
  OR(
    ISNUMBER(SEARCH("unable to locate acct", tblDocketedComments[[#This Row],[Docketed Consumer Comments]])),
    ISNUMBER(SEARCH("unknown", tblDocketedComments[[#This Row],[Docketed Consumer Comments]])),
    ISNUMBER(SEARCH("inactive", tblDocketedComments[[#This Row],[Docketed Consumer Comments]]))
  ),
  0,
  1
)</f>
        <v>1</v>
      </c>
    </row>
    <row r="1429" spans="1:22">
      <c r="A1429" s="2">
        <v>46008</v>
      </c>
      <c r="B1429" s="1" t="s">
        <v>1713</v>
      </c>
      <c r="C1429" s="1" t="s">
        <v>1714</v>
      </c>
      <c r="D1429" s="1" t="s">
        <v>30</v>
      </c>
      <c r="E1429" s="1" t="s">
        <v>30</v>
      </c>
      <c r="F1429" s="1" t="s">
        <v>4092</v>
      </c>
      <c r="G1429" s="1" t="s">
        <v>4093</v>
      </c>
      <c r="H1429" s="4" t="s">
        <v>27</v>
      </c>
      <c r="V1429" s="46">
        <f>IF(
  OR(
    ISNUMBER(SEARCH("unable to locate acct", tblDocketedComments[[#This Row],[Docketed Consumer Comments]])),
    ISNUMBER(SEARCH("unknown", tblDocketedComments[[#This Row],[Docketed Consumer Comments]])),
    ISNUMBER(SEARCH("inactive", tblDocketedComments[[#This Row],[Docketed Consumer Comments]]))
  ),
  0,
  1
)</f>
        <v>1</v>
      </c>
    </row>
    <row r="1430" spans="1:22">
      <c r="A1430" s="42">
        <v>46009</v>
      </c>
      <c r="B1430" s="33" t="s">
        <v>4094</v>
      </c>
      <c r="C1430" s="33" t="s">
        <v>4095</v>
      </c>
      <c r="D1430" s="33" t="s">
        <v>63</v>
      </c>
      <c r="E1430" s="33">
        <v>85022</v>
      </c>
      <c r="F1430" s="33" t="s">
        <v>3865</v>
      </c>
      <c r="G1430" s="44" t="s">
        <v>4096</v>
      </c>
      <c r="H1430" s="45" t="s">
        <v>4097</v>
      </c>
      <c r="I1430" s="43" t="s">
        <v>196</v>
      </c>
      <c r="J1430" s="43" t="s">
        <v>37</v>
      </c>
      <c r="K1430" s="43" t="s">
        <v>37</v>
      </c>
      <c r="L1430" s="43" t="s">
        <v>4098</v>
      </c>
      <c r="M1430" s="43" t="s">
        <v>37</v>
      </c>
      <c r="N1430" s="43" t="s">
        <v>37</v>
      </c>
      <c r="O1430" s="43" t="s">
        <v>38</v>
      </c>
      <c r="P1430" s="43"/>
      <c r="Q1430" s="42">
        <v>46015</v>
      </c>
      <c r="R1430" s="33" t="s">
        <v>4004</v>
      </c>
      <c r="S1430" s="33"/>
      <c r="T1430" s="33"/>
      <c r="U1430" s="33"/>
      <c r="V1430" s="1">
        <f>IF(
  OR(
    ISNUMBER(SEARCH("unable to locate acct", tblDocketedComments[[#This Row],[Docketed Consumer Comments]])),
    ISNUMBER(SEARCH("unknown", tblDocketedComments[[#This Row],[Docketed Consumer Comments]])),
    ISNUMBER(SEARCH("inactive", tblDocketedComments[[#This Row],[Docketed Consumer Comments]]))
  ),
  0,
  1
)</f>
        <v>1</v>
      </c>
    </row>
    <row r="1431" spans="1:22">
      <c r="A1431" s="2">
        <v>46009</v>
      </c>
      <c r="B1431" s="1" t="s">
        <v>2348</v>
      </c>
      <c r="C1431" s="1" t="s">
        <v>4099</v>
      </c>
      <c r="D1431" s="1" t="s">
        <v>112</v>
      </c>
      <c r="E1431" s="1">
        <v>85387</v>
      </c>
      <c r="F1431" s="1" t="s">
        <v>3865</v>
      </c>
      <c r="G1431" s="40" t="s">
        <v>4096</v>
      </c>
      <c r="H1431" s="4" t="s">
        <v>27</v>
      </c>
      <c r="V1431" s="1">
        <f>IF(
  OR(
    ISNUMBER(SEARCH("unable to locate acct", tblDocketedComments[[#This Row],[Docketed Consumer Comments]])),
    ISNUMBER(SEARCH("unknown", tblDocketedComments[[#This Row],[Docketed Consumer Comments]])),
    ISNUMBER(SEARCH("inactive", tblDocketedComments[[#This Row],[Docketed Consumer Comments]]))
  ),
  0,
  1
)</f>
        <v>1</v>
      </c>
    </row>
    <row r="1432" spans="1:22">
      <c r="A1432" s="2">
        <v>46010</v>
      </c>
      <c r="B1432" s="1" t="s">
        <v>4100</v>
      </c>
      <c r="C1432" s="1" t="s">
        <v>4101</v>
      </c>
      <c r="D1432" s="1" t="s">
        <v>635</v>
      </c>
      <c r="F1432" s="1" t="s">
        <v>3865</v>
      </c>
      <c r="G1432" s="40" t="s">
        <v>4102</v>
      </c>
      <c r="H1432" s="4" t="s">
        <v>27</v>
      </c>
      <c r="V1432" s="1">
        <f>IF(
  OR(
    ISNUMBER(SEARCH("unable to locate acct", tblDocketedComments[[#This Row],[Docketed Consumer Comments]])),
    ISNUMBER(SEARCH("unknown", tblDocketedComments[[#This Row],[Docketed Consumer Comments]])),
    ISNUMBER(SEARCH("inactive", tblDocketedComments[[#This Row],[Docketed Consumer Comments]]))
  ),
  0,
  1
)</f>
        <v>1</v>
      </c>
    </row>
    <row r="1433" spans="1:22">
      <c r="A1433" s="2">
        <v>46010</v>
      </c>
      <c r="B1433" s="1" t="s">
        <v>1195</v>
      </c>
      <c r="C1433" s="1" t="s">
        <v>4103</v>
      </c>
      <c r="D1433" s="1" t="s">
        <v>112</v>
      </c>
      <c r="E1433" s="1">
        <v>85387</v>
      </c>
      <c r="F1433" s="1" t="s">
        <v>3865</v>
      </c>
      <c r="G1433" s="40" t="s">
        <v>4102</v>
      </c>
      <c r="H1433" s="4" t="s">
        <v>27</v>
      </c>
      <c r="V1433" s="1">
        <f>IF(
  OR(
    ISNUMBER(SEARCH("unable to locate acct", tblDocketedComments[[#This Row],[Docketed Consumer Comments]])),
    ISNUMBER(SEARCH("unknown", tblDocketedComments[[#This Row],[Docketed Consumer Comments]])),
    ISNUMBER(SEARCH("inactive", tblDocketedComments[[#This Row],[Docketed Consumer Comments]]))
  ),
  0,
  1
)</f>
        <v>1</v>
      </c>
    </row>
    <row r="1434" spans="1:22">
      <c r="A1434" s="42">
        <v>46010</v>
      </c>
      <c r="B1434" s="33" t="s">
        <v>4104</v>
      </c>
      <c r="C1434" s="33" t="s">
        <v>481</v>
      </c>
      <c r="D1434" s="33" t="s">
        <v>174</v>
      </c>
      <c r="E1434" s="33">
        <v>85326</v>
      </c>
      <c r="F1434" s="33" t="s">
        <v>3865</v>
      </c>
      <c r="G1434" s="44" t="s">
        <v>4102</v>
      </c>
      <c r="H1434" s="45" t="s">
        <v>4105</v>
      </c>
      <c r="I1434" s="43" t="s">
        <v>196</v>
      </c>
      <c r="J1434" s="43" t="s">
        <v>37</v>
      </c>
      <c r="K1434" s="43" t="s">
        <v>37</v>
      </c>
      <c r="L1434" s="43" t="s">
        <v>4106</v>
      </c>
      <c r="M1434" s="43" t="s">
        <v>38</v>
      </c>
      <c r="N1434" s="48">
        <v>1309.77</v>
      </c>
      <c r="O1434" s="43" t="s">
        <v>38</v>
      </c>
      <c r="P1434" s="43"/>
      <c r="Q1434" s="42">
        <v>46015</v>
      </c>
      <c r="R1434" s="33" t="s">
        <v>4107</v>
      </c>
      <c r="S1434" s="33"/>
      <c r="T1434" s="33"/>
      <c r="U1434" s="33"/>
      <c r="V1434" s="1">
        <f>IF(
  OR(
    ISNUMBER(SEARCH("unable to locate acct", tblDocketedComments[[#This Row],[Docketed Consumer Comments]])),
    ISNUMBER(SEARCH("unknown", tblDocketedComments[[#This Row],[Docketed Consumer Comments]])),
    ISNUMBER(SEARCH("inactive", tblDocketedComments[[#This Row],[Docketed Consumer Comments]]))
  ),
  0,
  1
)</f>
        <v>1</v>
      </c>
    </row>
    <row r="1435" spans="1:22">
      <c r="A1435" s="2">
        <v>46010</v>
      </c>
      <c r="B1435" s="1" t="s">
        <v>4108</v>
      </c>
      <c r="C1435" s="1" t="s">
        <v>702</v>
      </c>
      <c r="D1435" s="1" t="s">
        <v>63</v>
      </c>
      <c r="E1435" s="1">
        <v>85016</v>
      </c>
      <c r="F1435" s="1" t="s">
        <v>3865</v>
      </c>
      <c r="G1435" s="40" t="s">
        <v>4102</v>
      </c>
      <c r="H1435" s="4" t="s">
        <v>90</v>
      </c>
      <c r="V1435" s="1">
        <f>IF(
  OR(
    ISNUMBER(SEARCH("unable to locate acct", tblDocketedComments[[#This Row],[Docketed Consumer Comments]])),
    ISNUMBER(SEARCH("unknown", tblDocketedComments[[#This Row],[Docketed Consumer Comments]])),
    ISNUMBER(SEARCH("inactive", tblDocketedComments[[#This Row],[Docketed Consumer Comments]]))
  ),
  0,
  1
)</f>
        <v>1</v>
      </c>
    </row>
    <row r="1436" spans="1:22">
      <c r="A1436" s="2">
        <v>46010</v>
      </c>
      <c r="B1436" s="1" t="s">
        <v>4109</v>
      </c>
      <c r="C1436" s="1" t="s">
        <v>2184</v>
      </c>
      <c r="D1436" s="1" t="s">
        <v>63</v>
      </c>
      <c r="E1436" s="1">
        <v>85015</v>
      </c>
      <c r="F1436" s="1" t="s">
        <v>3865</v>
      </c>
      <c r="G1436" s="40" t="s">
        <v>4102</v>
      </c>
      <c r="H1436" s="4">
        <v>8352070000</v>
      </c>
      <c r="I1436" s="5" t="s">
        <v>126</v>
      </c>
      <c r="J1436" s="5" t="s">
        <v>37</v>
      </c>
      <c r="K1436" s="5" t="s">
        <v>37</v>
      </c>
      <c r="L1436" s="5" t="s">
        <v>38</v>
      </c>
      <c r="M1436" s="5" t="s">
        <v>37</v>
      </c>
      <c r="N1436" s="5" t="s">
        <v>37</v>
      </c>
      <c r="O1436" s="5" t="s">
        <v>38</v>
      </c>
      <c r="P1436" s="5" t="s">
        <v>39</v>
      </c>
      <c r="Q1436" s="2">
        <v>46015</v>
      </c>
      <c r="V1436" s="1">
        <f>IF(
  OR(
    ISNUMBER(SEARCH("unable to locate acct", tblDocketedComments[[#This Row],[Docketed Consumer Comments]])),
    ISNUMBER(SEARCH("unknown", tblDocketedComments[[#This Row],[Docketed Consumer Comments]])),
    ISNUMBER(SEARCH("inactive", tblDocketedComments[[#This Row],[Docketed Consumer Comments]]))
  ),
  0,
  1
)</f>
        <v>1</v>
      </c>
    </row>
    <row r="1437" spans="1:22">
      <c r="A1437" s="2">
        <v>46010</v>
      </c>
      <c r="B1437" s="1" t="s">
        <v>526</v>
      </c>
      <c r="C1437" s="1" t="s">
        <v>427</v>
      </c>
      <c r="D1437" s="1" t="s">
        <v>169</v>
      </c>
      <c r="E1437" s="1">
        <v>85338</v>
      </c>
      <c r="F1437" s="1" t="s">
        <v>3865</v>
      </c>
      <c r="G1437" s="40" t="s">
        <v>4102</v>
      </c>
      <c r="H1437" s="4" t="s">
        <v>27</v>
      </c>
      <c r="V1437" s="1">
        <f>IF(
  OR(
    ISNUMBER(SEARCH("unable to locate acct", tblDocketedComments[[#This Row],[Docketed Consumer Comments]])),
    ISNUMBER(SEARCH("unknown", tblDocketedComments[[#This Row],[Docketed Consumer Comments]])),
    ISNUMBER(SEARCH("inactive", tblDocketedComments[[#This Row],[Docketed Consumer Comments]]))
  ),
  0,
  1
)</f>
        <v>1</v>
      </c>
    </row>
    <row r="1438" spans="1:22">
      <c r="A1438" s="2">
        <v>46010</v>
      </c>
      <c r="B1438" s="1" t="s">
        <v>4110</v>
      </c>
      <c r="C1438" s="1" t="s">
        <v>1323</v>
      </c>
      <c r="D1438" s="1" t="s">
        <v>370</v>
      </c>
      <c r="E1438" s="1">
        <v>85286</v>
      </c>
      <c r="F1438" s="1" t="s">
        <v>3865</v>
      </c>
      <c r="G1438" s="40" t="s">
        <v>4102</v>
      </c>
      <c r="H1438" s="4" t="s">
        <v>27</v>
      </c>
      <c r="V1438" s="1">
        <f>IF(
  OR(
    ISNUMBER(SEARCH("unable to locate acct", tblDocketedComments[[#This Row],[Docketed Consumer Comments]])),
    ISNUMBER(SEARCH("unknown", tblDocketedComments[[#This Row],[Docketed Consumer Comments]])),
    ISNUMBER(SEARCH("inactive", tblDocketedComments[[#This Row],[Docketed Consumer Comments]]))
  ),
  0,
  1
)</f>
        <v>1</v>
      </c>
    </row>
    <row r="1439" spans="1:22">
      <c r="A1439" s="2">
        <v>46010</v>
      </c>
      <c r="B1439" s="1" t="s">
        <v>3561</v>
      </c>
      <c r="C1439" s="1" t="s">
        <v>4111</v>
      </c>
      <c r="D1439" s="1" t="s">
        <v>2641</v>
      </c>
      <c r="E1439" s="1">
        <v>85087</v>
      </c>
      <c r="F1439" s="1" t="s">
        <v>3865</v>
      </c>
      <c r="G1439" s="40" t="s">
        <v>4102</v>
      </c>
      <c r="H1439" s="4" t="s">
        <v>4112</v>
      </c>
      <c r="I1439" s="5" t="s">
        <v>4074</v>
      </c>
      <c r="J1439" s="5" t="s">
        <v>37</v>
      </c>
      <c r="K1439" s="5" t="s">
        <v>37</v>
      </c>
      <c r="L1439" s="5" t="s">
        <v>38</v>
      </c>
      <c r="M1439" s="5" t="s">
        <v>37</v>
      </c>
      <c r="N1439" s="5" t="s">
        <v>37</v>
      </c>
      <c r="O1439" s="5" t="s">
        <v>38</v>
      </c>
      <c r="P1439" s="5" t="s">
        <v>39</v>
      </c>
      <c r="Q1439" s="2">
        <v>46015</v>
      </c>
      <c r="V1439" s="1">
        <f>IF(
  OR(
    ISNUMBER(SEARCH("unable to locate acct", tblDocketedComments[[#This Row],[Docketed Consumer Comments]])),
    ISNUMBER(SEARCH("unknown", tblDocketedComments[[#This Row],[Docketed Consumer Comments]])),
    ISNUMBER(SEARCH("inactive", tblDocketedComments[[#This Row],[Docketed Consumer Comments]]))
  ),
  0,
  1
)</f>
        <v>1</v>
      </c>
    </row>
    <row r="1440" spans="1:22">
      <c r="A1440" s="42">
        <v>46010</v>
      </c>
      <c r="B1440" s="33" t="s">
        <v>1356</v>
      </c>
      <c r="C1440" s="33" t="s">
        <v>3733</v>
      </c>
      <c r="D1440" s="33" t="s">
        <v>174</v>
      </c>
      <c r="E1440" s="33">
        <v>85326</v>
      </c>
      <c r="F1440" s="33" t="s">
        <v>3865</v>
      </c>
      <c r="G1440" s="44" t="s">
        <v>4102</v>
      </c>
      <c r="H1440" s="45" t="s">
        <v>4113</v>
      </c>
      <c r="I1440" s="43" t="s">
        <v>196</v>
      </c>
      <c r="J1440" s="43" t="s">
        <v>37</v>
      </c>
      <c r="K1440" s="43" t="s">
        <v>37</v>
      </c>
      <c r="L1440" s="43" t="s">
        <v>4114</v>
      </c>
      <c r="M1440" s="43" t="s">
        <v>37</v>
      </c>
      <c r="N1440" s="43" t="s">
        <v>37</v>
      </c>
      <c r="O1440" s="43" t="s">
        <v>38</v>
      </c>
      <c r="P1440" s="43"/>
      <c r="Q1440" s="42">
        <v>46015</v>
      </c>
      <c r="R1440" s="33" t="s">
        <v>4004</v>
      </c>
      <c r="S1440" s="33"/>
      <c r="T1440" s="33"/>
      <c r="U1440" s="33"/>
      <c r="V1440" s="1">
        <f>IF(
  OR(
    ISNUMBER(SEARCH("unable to locate acct", tblDocketedComments[[#This Row],[Docketed Consumer Comments]])),
    ISNUMBER(SEARCH("unknown", tblDocketedComments[[#This Row],[Docketed Consumer Comments]])),
    ISNUMBER(SEARCH("inactive", tblDocketedComments[[#This Row],[Docketed Consumer Comments]]))
  ),
  0,
  1
)</f>
        <v>1</v>
      </c>
    </row>
    <row r="1441" spans="1:17">
      <c r="A1441" s="23">
        <v>46014</v>
      </c>
      <c r="B1441" s="1" t="s">
        <v>4115</v>
      </c>
      <c r="C1441" s="1" t="s">
        <v>4116</v>
      </c>
      <c r="D1441" s="1" t="s">
        <v>3538</v>
      </c>
      <c r="E1441" s="1">
        <v>85718</v>
      </c>
      <c r="F1441" s="1" t="s">
        <v>3865</v>
      </c>
      <c r="G1441" s="1" t="s">
        <v>4117</v>
      </c>
      <c r="H1441" s="4" t="s">
        <v>27</v>
      </c>
    </row>
    <row r="1442" spans="1:17">
      <c r="A1442" s="23">
        <v>46014</v>
      </c>
      <c r="B1442" s="1" t="s">
        <v>4094</v>
      </c>
      <c r="C1442" s="1" t="s">
        <v>1533</v>
      </c>
      <c r="D1442" s="1" t="s">
        <v>63</v>
      </c>
      <c r="E1442" s="1">
        <v>85022</v>
      </c>
      <c r="F1442" s="1" t="s">
        <v>3865</v>
      </c>
      <c r="G1442" s="1" t="s">
        <v>4117</v>
      </c>
      <c r="H1442" s="4" t="s">
        <v>4097</v>
      </c>
      <c r="I1442" s="5" t="s">
        <v>196</v>
      </c>
      <c r="J1442" s="5" t="s">
        <v>37</v>
      </c>
      <c r="K1442" s="5" t="s">
        <v>37</v>
      </c>
      <c r="L1442" s="5" t="s">
        <v>4098</v>
      </c>
      <c r="M1442" s="5" t="s">
        <v>37</v>
      </c>
      <c r="N1442" s="5" t="s">
        <v>37</v>
      </c>
      <c r="O1442" s="5" t="s">
        <v>38</v>
      </c>
      <c r="Q1442" s="5">
        <v>46017</v>
      </c>
    </row>
    <row r="1443" spans="1:17">
      <c r="A1443" s="23">
        <v>46014</v>
      </c>
      <c r="B1443" s="1" t="s">
        <v>4118</v>
      </c>
      <c r="C1443" s="1" t="s">
        <v>124</v>
      </c>
      <c r="D1443" s="1" t="s">
        <v>63</v>
      </c>
      <c r="E1443" s="1">
        <v>85032</v>
      </c>
      <c r="F1443" s="1" t="s">
        <v>3865</v>
      </c>
      <c r="G1443" s="1" t="s">
        <v>4117</v>
      </c>
      <c r="H1443" s="4" t="s">
        <v>27</v>
      </c>
    </row>
    <row r="1444" spans="1:17">
      <c r="A1444" s="23">
        <v>46014</v>
      </c>
      <c r="B1444" s="1" t="s">
        <v>4119</v>
      </c>
      <c r="C1444" s="1" t="s">
        <v>2646</v>
      </c>
      <c r="D1444" s="1" t="s">
        <v>523</v>
      </c>
      <c r="E1444" s="1">
        <v>85323</v>
      </c>
      <c r="F1444" s="1" t="s">
        <v>3865</v>
      </c>
      <c r="G1444" s="1" t="s">
        <v>4117</v>
      </c>
      <c r="H1444" s="4" t="s">
        <v>27</v>
      </c>
    </row>
    <row r="1445" spans="1:17">
      <c r="A1445" s="23">
        <v>46014</v>
      </c>
      <c r="B1445" s="1" t="s">
        <v>4120</v>
      </c>
      <c r="C1445" s="1" t="s">
        <v>4121</v>
      </c>
      <c r="D1445" s="1" t="s">
        <v>93</v>
      </c>
      <c r="E1445" s="1">
        <v>85373</v>
      </c>
      <c r="F1445" s="1" t="s">
        <v>3865</v>
      </c>
      <c r="G1445" s="1" t="s">
        <v>4117</v>
      </c>
      <c r="H1445" s="4" t="s">
        <v>27</v>
      </c>
    </row>
    <row r="1446" spans="1:17">
      <c r="A1446" s="23">
        <v>46015</v>
      </c>
      <c r="B1446" s="1" t="s">
        <v>3765</v>
      </c>
      <c r="C1446" s="1" t="s">
        <v>2128</v>
      </c>
      <c r="F1446" s="1" t="s">
        <v>3865</v>
      </c>
      <c r="G1446" s="1" t="s">
        <v>4122</v>
      </c>
      <c r="H1446" s="4" t="s">
        <v>27</v>
      </c>
    </row>
    <row r="1447" spans="1:17">
      <c r="A1447" s="23">
        <v>46015</v>
      </c>
      <c r="B1447" s="1" t="s">
        <v>4123</v>
      </c>
      <c r="C1447" s="1" t="s">
        <v>3124</v>
      </c>
      <c r="D1447" s="1" t="s">
        <v>63</v>
      </c>
      <c r="E1447" s="1">
        <v>85029</v>
      </c>
      <c r="F1447" s="1" t="s">
        <v>4124</v>
      </c>
      <c r="G1447" s="1" t="s">
        <v>4122</v>
      </c>
      <c r="H1447" s="4" t="s">
        <v>4125</v>
      </c>
      <c r="I1447" s="5" t="s">
        <v>36</v>
      </c>
      <c r="J1447" s="5" t="s">
        <v>37</v>
      </c>
      <c r="K1447" s="5" t="s">
        <v>37</v>
      </c>
      <c r="L1447" s="5" t="s">
        <v>38</v>
      </c>
      <c r="M1447" s="5" t="s">
        <v>37</v>
      </c>
      <c r="N1447" s="5" t="s">
        <v>37</v>
      </c>
      <c r="O1447" s="5" t="s">
        <v>38</v>
      </c>
      <c r="P1447" s="5" t="s">
        <v>39</v>
      </c>
      <c r="Q1447" s="5">
        <v>46017</v>
      </c>
    </row>
    <row r="1448" spans="1:17">
      <c r="A1448" s="23">
        <v>46017</v>
      </c>
      <c r="B1448" s="1" t="s">
        <v>4126</v>
      </c>
      <c r="C1448" s="1" t="s">
        <v>4127</v>
      </c>
      <c r="D1448" s="1" t="s">
        <v>63</v>
      </c>
      <c r="E1448" s="1">
        <v>85006</v>
      </c>
      <c r="F1448" s="1" t="s">
        <v>3865</v>
      </c>
      <c r="G1448" s="1" t="s">
        <v>4128</v>
      </c>
      <c r="H1448" s="4" t="s">
        <v>4129</v>
      </c>
      <c r="I1448" s="5" t="s">
        <v>126</v>
      </c>
      <c r="J1448" s="5" t="s">
        <v>37</v>
      </c>
      <c r="K1448" s="5" t="s">
        <v>37</v>
      </c>
      <c r="L1448" s="5" t="s">
        <v>38</v>
      </c>
      <c r="M1448" s="5" t="s">
        <v>37</v>
      </c>
      <c r="N1448" s="5" t="s">
        <v>37</v>
      </c>
      <c r="O1448" s="5" t="s">
        <v>38</v>
      </c>
      <c r="P1448" s="5" t="s">
        <v>39</v>
      </c>
      <c r="Q1448" s="5">
        <v>46020</v>
      </c>
    </row>
    <row r="1449" spans="1:17">
      <c r="A1449" s="23">
        <v>46017</v>
      </c>
      <c r="B1449" s="1" t="s">
        <v>4130</v>
      </c>
      <c r="C1449" s="1" t="s">
        <v>75</v>
      </c>
      <c r="D1449" s="1" t="s">
        <v>202</v>
      </c>
      <c r="E1449" s="1">
        <v>85345</v>
      </c>
      <c r="F1449" s="1" t="s">
        <v>3865</v>
      </c>
      <c r="G1449" s="1" t="s">
        <v>4128</v>
      </c>
      <c r="H1449" s="4" t="s">
        <v>4131</v>
      </c>
      <c r="I1449" s="5" t="s">
        <v>36</v>
      </c>
      <c r="J1449" s="5" t="s">
        <v>37</v>
      </c>
      <c r="K1449" s="5" t="s">
        <v>37</v>
      </c>
      <c r="L1449" s="5" t="s">
        <v>38</v>
      </c>
      <c r="M1449" s="5" t="s">
        <v>37</v>
      </c>
      <c r="N1449" s="5" t="s">
        <v>37</v>
      </c>
      <c r="O1449" s="5" t="s">
        <v>38</v>
      </c>
      <c r="P1449" s="5" t="s">
        <v>39</v>
      </c>
      <c r="Q1449" s="5">
        <v>46020</v>
      </c>
    </row>
    <row r="1450" spans="1:17">
      <c r="A1450" s="23">
        <v>46017</v>
      </c>
      <c r="B1450" s="1" t="s">
        <v>4132</v>
      </c>
      <c r="C1450" s="1" t="s">
        <v>225</v>
      </c>
      <c r="D1450" s="1" t="s">
        <v>63</v>
      </c>
      <c r="E1450" s="1">
        <v>85022</v>
      </c>
      <c r="F1450" s="1" t="s">
        <v>3865</v>
      </c>
      <c r="G1450" s="1" t="s">
        <v>4128</v>
      </c>
      <c r="H1450" s="4" t="s">
        <v>4133</v>
      </c>
      <c r="I1450" s="5" t="s">
        <v>4074</v>
      </c>
      <c r="J1450" s="5" t="s">
        <v>37</v>
      </c>
      <c r="K1450" s="5" t="s">
        <v>37</v>
      </c>
      <c r="L1450" s="5" t="s">
        <v>38</v>
      </c>
      <c r="M1450" s="5" t="s">
        <v>37</v>
      </c>
      <c r="N1450" s="5" t="s">
        <v>37</v>
      </c>
      <c r="O1450" s="5" t="s">
        <v>38</v>
      </c>
      <c r="P1450" s="5" t="s">
        <v>39</v>
      </c>
      <c r="Q1450" s="5">
        <v>46020</v>
      </c>
    </row>
    <row r="1451" spans="1:17">
      <c r="A1451" s="23">
        <v>46021</v>
      </c>
      <c r="B1451" s="1" t="s">
        <v>4134</v>
      </c>
      <c r="C1451" s="1" t="s">
        <v>2267</v>
      </c>
      <c r="D1451" s="1" t="s">
        <v>30</v>
      </c>
      <c r="E1451" s="1" t="s">
        <v>30</v>
      </c>
      <c r="F1451" s="1" t="s">
        <v>4135</v>
      </c>
      <c r="G1451" s="40" t="s">
        <v>4136</v>
      </c>
      <c r="H1451" s="49" t="s">
        <v>27</v>
      </c>
      <c r="Q1451" s="2"/>
    </row>
    <row r="1452" spans="1:17">
      <c r="A1452" s="23">
        <v>46021</v>
      </c>
      <c r="B1452" s="1" t="s">
        <v>3675</v>
      </c>
      <c r="C1452" s="1" t="s">
        <v>4137</v>
      </c>
      <c r="D1452" s="1" t="s">
        <v>202</v>
      </c>
      <c r="E1452" s="1">
        <v>85345</v>
      </c>
      <c r="F1452" s="1" t="s">
        <v>4138</v>
      </c>
      <c r="G1452" s="50" t="s">
        <v>4139</v>
      </c>
      <c r="H1452" s="51">
        <v>211611000</v>
      </c>
      <c r="I1452" s="5" t="s">
        <v>36</v>
      </c>
      <c r="J1452" s="5" t="s">
        <v>37</v>
      </c>
      <c r="K1452" s="5" t="s">
        <v>37</v>
      </c>
      <c r="L1452" s="5" t="s">
        <v>38</v>
      </c>
      <c r="M1452" s="5" t="s">
        <v>37</v>
      </c>
      <c r="N1452" s="5" t="s">
        <v>37</v>
      </c>
      <c r="O1452" s="5" t="s">
        <v>38</v>
      </c>
      <c r="P1452" s="5" t="s">
        <v>39</v>
      </c>
      <c r="Q1452" s="2">
        <v>46022</v>
      </c>
    </row>
    <row r="1453" spans="1:17">
      <c r="A1453" s="23">
        <v>46021</v>
      </c>
      <c r="B1453" s="1" t="s">
        <v>4140</v>
      </c>
      <c r="C1453" s="1" t="s">
        <v>1311</v>
      </c>
      <c r="D1453" s="1" t="s">
        <v>125</v>
      </c>
      <c r="E1453" s="1">
        <v>85254</v>
      </c>
      <c r="F1453" s="1" t="s">
        <v>3865</v>
      </c>
      <c r="G1453" s="27" t="s">
        <v>4139</v>
      </c>
      <c r="H1453" s="49" t="s">
        <v>4141</v>
      </c>
      <c r="I1453" s="5" t="s">
        <v>73</v>
      </c>
      <c r="J1453" s="5" t="s">
        <v>37</v>
      </c>
      <c r="K1453" s="5" t="s">
        <v>37</v>
      </c>
      <c r="L1453" s="5" t="s">
        <v>38</v>
      </c>
      <c r="M1453" s="5" t="s">
        <v>37</v>
      </c>
      <c r="N1453" s="5" t="s">
        <v>37</v>
      </c>
      <c r="O1453" s="5" t="s">
        <v>38</v>
      </c>
      <c r="P1453" s="5" t="s">
        <v>39</v>
      </c>
      <c r="Q1453" s="2">
        <v>46022</v>
      </c>
    </row>
    <row r="1454" spans="1:17">
      <c r="A1454" s="23">
        <v>46021</v>
      </c>
      <c r="B1454" s="1" t="s">
        <v>4142</v>
      </c>
      <c r="C1454" s="1" t="s">
        <v>4143</v>
      </c>
      <c r="D1454" s="1" t="s">
        <v>63</v>
      </c>
      <c r="E1454" s="1">
        <v>85029</v>
      </c>
      <c r="F1454" s="1" t="s">
        <v>3865</v>
      </c>
      <c r="G1454" s="27" t="s">
        <v>4139</v>
      </c>
      <c r="H1454" s="4" t="s">
        <v>4144</v>
      </c>
      <c r="I1454" s="5" t="s">
        <v>36</v>
      </c>
      <c r="J1454" s="5" t="s">
        <v>37</v>
      </c>
      <c r="K1454" s="5" t="s">
        <v>37</v>
      </c>
      <c r="L1454" s="5" t="s">
        <v>38</v>
      </c>
      <c r="M1454" s="5" t="s">
        <v>37</v>
      </c>
      <c r="N1454" s="5" t="s">
        <v>37</v>
      </c>
      <c r="O1454" s="5" t="s">
        <v>38</v>
      </c>
      <c r="P1454" s="5" t="s">
        <v>39</v>
      </c>
      <c r="Q1454" s="2">
        <v>46022</v>
      </c>
    </row>
    <row r="1455" spans="1:17">
      <c r="A1455" s="23">
        <v>46021</v>
      </c>
      <c r="B1455" s="1" t="s">
        <v>4145</v>
      </c>
      <c r="C1455" s="1" t="s">
        <v>4146</v>
      </c>
      <c r="D1455" s="1" t="s">
        <v>30</v>
      </c>
      <c r="E1455" s="1" t="s">
        <v>30</v>
      </c>
      <c r="F1455" s="1" t="s">
        <v>3865</v>
      </c>
      <c r="G1455" s="27" t="s">
        <v>4139</v>
      </c>
      <c r="H1455" s="4" t="s">
        <v>27</v>
      </c>
    </row>
    <row r="1456" spans="1:17">
      <c r="A1456" s="23">
        <v>46021</v>
      </c>
      <c r="B1456" s="1" t="s">
        <v>4147</v>
      </c>
      <c r="C1456" s="1" t="s">
        <v>1342</v>
      </c>
      <c r="D1456" s="1" t="s">
        <v>30</v>
      </c>
      <c r="E1456" s="1" t="s">
        <v>30</v>
      </c>
      <c r="F1456" s="1" t="s">
        <v>3865</v>
      </c>
      <c r="G1456" s="27" t="s">
        <v>4139</v>
      </c>
      <c r="H1456" s="4" t="s">
        <v>27</v>
      </c>
    </row>
    <row r="1457" spans="1:23">
      <c r="A1457" s="23">
        <v>46021</v>
      </c>
      <c r="B1457" s="1" t="s">
        <v>4148</v>
      </c>
      <c r="C1457" s="1" t="s">
        <v>838</v>
      </c>
      <c r="D1457" s="1" t="s">
        <v>30</v>
      </c>
      <c r="E1457" s="1" t="s">
        <v>30</v>
      </c>
      <c r="F1457" s="1" t="s">
        <v>3865</v>
      </c>
      <c r="G1457" s="27" t="s">
        <v>4139</v>
      </c>
      <c r="H1457" s="4" t="s">
        <v>27</v>
      </c>
    </row>
    <row r="1458" spans="1:23">
      <c r="A1458" s="23">
        <v>46021</v>
      </c>
      <c r="B1458" s="1" t="s">
        <v>4149</v>
      </c>
      <c r="C1458" s="1" t="s">
        <v>4150</v>
      </c>
      <c r="D1458" s="1" t="s">
        <v>30</v>
      </c>
      <c r="E1458" s="1" t="s">
        <v>30</v>
      </c>
      <c r="F1458" s="1" t="s">
        <v>3865</v>
      </c>
      <c r="G1458" s="27" t="s">
        <v>4139</v>
      </c>
      <c r="H1458" s="4" t="s">
        <v>27</v>
      </c>
    </row>
    <row r="1459" spans="1:23">
      <c r="A1459" s="23">
        <v>46021</v>
      </c>
      <c r="B1459" s="1" t="s">
        <v>4130</v>
      </c>
      <c r="C1459" s="1" t="s">
        <v>75</v>
      </c>
      <c r="D1459" s="1" t="s">
        <v>30</v>
      </c>
      <c r="E1459" s="1" t="s">
        <v>30</v>
      </c>
      <c r="F1459" s="1" t="s">
        <v>3865</v>
      </c>
      <c r="G1459" s="27" t="s">
        <v>4139</v>
      </c>
      <c r="H1459" s="4" t="s">
        <v>27</v>
      </c>
    </row>
    <row r="1460" spans="1:23">
      <c r="A1460" s="23">
        <v>46021</v>
      </c>
      <c r="B1460" s="1" t="s">
        <v>3765</v>
      </c>
      <c r="C1460" s="1" t="s">
        <v>2128</v>
      </c>
      <c r="D1460" s="1" t="s">
        <v>30</v>
      </c>
      <c r="E1460" s="1" t="s">
        <v>30</v>
      </c>
      <c r="F1460" s="1" t="s">
        <v>3865</v>
      </c>
      <c r="G1460" s="27" t="s">
        <v>4139</v>
      </c>
      <c r="H1460" s="4" t="s">
        <v>27</v>
      </c>
    </row>
    <row r="1461" spans="1:23">
      <c r="A1461" s="23">
        <v>46021</v>
      </c>
      <c r="B1461" s="1" t="s">
        <v>4151</v>
      </c>
      <c r="C1461" s="1" t="s">
        <v>1537</v>
      </c>
      <c r="D1461" s="1" t="s">
        <v>30</v>
      </c>
      <c r="E1461" s="1" t="s">
        <v>30</v>
      </c>
      <c r="F1461" s="1" t="s">
        <v>3865</v>
      </c>
      <c r="G1461" s="27" t="s">
        <v>4139</v>
      </c>
      <c r="H1461" s="4" t="s">
        <v>27</v>
      </c>
    </row>
    <row r="1462" spans="1:23">
      <c r="A1462" s="23">
        <v>46021</v>
      </c>
      <c r="B1462" s="1" t="s">
        <v>4115</v>
      </c>
      <c r="C1462" s="1" t="s">
        <v>4116</v>
      </c>
      <c r="D1462" s="1" t="s">
        <v>30</v>
      </c>
      <c r="E1462" s="1" t="s">
        <v>30</v>
      </c>
      <c r="F1462" s="1" t="s">
        <v>3865</v>
      </c>
      <c r="G1462" s="27" t="s">
        <v>4139</v>
      </c>
      <c r="H1462" s="4" t="s">
        <v>27</v>
      </c>
    </row>
    <row r="1463" spans="1:23">
      <c r="A1463" s="23">
        <v>46024</v>
      </c>
      <c r="B1463" s="1" t="s">
        <v>4152</v>
      </c>
      <c r="C1463" s="1" t="s">
        <v>4153</v>
      </c>
      <c r="D1463" s="1" t="s">
        <v>63</v>
      </c>
      <c r="E1463" s="1">
        <v>85027</v>
      </c>
      <c r="F1463" s="1" t="s">
        <v>3865</v>
      </c>
      <c r="G1463" s="52" t="s">
        <v>4154</v>
      </c>
      <c r="H1463" s="4" t="s">
        <v>4155</v>
      </c>
      <c r="I1463" s="5" t="s">
        <v>81</v>
      </c>
      <c r="J1463" s="5" t="s">
        <v>37</v>
      </c>
      <c r="K1463" s="5" t="s">
        <v>37</v>
      </c>
      <c r="L1463" s="5" t="s">
        <v>4079</v>
      </c>
      <c r="M1463" s="5" t="s">
        <v>37</v>
      </c>
      <c r="N1463" s="5" t="s">
        <v>37</v>
      </c>
      <c r="O1463" s="5" t="s">
        <v>38</v>
      </c>
      <c r="P1463" s="5" t="s">
        <v>39</v>
      </c>
      <c r="Q1463" s="2">
        <v>46027</v>
      </c>
    </row>
    <row r="1464" spans="1:23">
      <c r="A1464" s="23">
        <v>46024</v>
      </c>
      <c r="B1464" s="1" t="s">
        <v>4156</v>
      </c>
      <c r="C1464" s="1" t="s">
        <v>3006</v>
      </c>
      <c r="D1464" s="1" t="s">
        <v>261</v>
      </c>
      <c r="E1464" s="1">
        <v>86315</v>
      </c>
      <c r="F1464" s="1" t="s">
        <v>3865</v>
      </c>
      <c r="G1464" s="52" t="s">
        <v>4154</v>
      </c>
      <c r="H1464" s="4" t="s">
        <v>4157</v>
      </c>
      <c r="I1464" s="5" t="s">
        <v>196</v>
      </c>
      <c r="J1464" s="5" t="s">
        <v>37</v>
      </c>
      <c r="K1464" s="5" t="s">
        <v>37</v>
      </c>
      <c r="L1464" s="5" t="s">
        <v>38</v>
      </c>
      <c r="M1464" s="5" t="s">
        <v>37</v>
      </c>
      <c r="N1464" s="5" t="s">
        <v>37</v>
      </c>
      <c r="O1464" s="5" t="s">
        <v>38</v>
      </c>
      <c r="P1464" s="5" t="s">
        <v>39</v>
      </c>
      <c r="Q1464" s="2">
        <v>46027</v>
      </c>
    </row>
    <row r="1465" spans="1:23">
      <c r="A1465" s="59">
        <v>46024</v>
      </c>
      <c r="B1465" s="33" t="s">
        <v>2404</v>
      </c>
      <c r="C1465" s="33" t="s">
        <v>4158</v>
      </c>
      <c r="D1465" s="33" t="s">
        <v>539</v>
      </c>
      <c r="E1465" s="33">
        <v>85122</v>
      </c>
      <c r="F1465" s="33" t="s">
        <v>3865</v>
      </c>
      <c r="G1465" s="53" t="s">
        <v>4154</v>
      </c>
      <c r="H1465" s="45" t="s">
        <v>4159</v>
      </c>
      <c r="I1465" s="43" t="s">
        <v>36</v>
      </c>
      <c r="J1465" s="43" t="s">
        <v>37</v>
      </c>
      <c r="K1465" s="43" t="s">
        <v>37</v>
      </c>
      <c r="L1465" s="43" t="s">
        <v>38</v>
      </c>
      <c r="M1465" s="43" t="s">
        <v>38</v>
      </c>
      <c r="N1465" s="48">
        <v>832.08</v>
      </c>
      <c r="O1465" s="43" t="s">
        <v>38</v>
      </c>
      <c r="P1465" s="43"/>
      <c r="Q1465" s="42">
        <v>46027</v>
      </c>
      <c r="R1465" s="33" t="s">
        <v>4160</v>
      </c>
      <c r="S1465" s="33"/>
      <c r="T1465" s="33"/>
      <c r="U1465" s="33"/>
      <c r="V1465" s="33"/>
      <c r="W1465" s="33"/>
    </row>
    <row r="1466" spans="1:23">
      <c r="A1466" s="23">
        <v>46024</v>
      </c>
      <c r="B1466" s="1" t="s">
        <v>4161</v>
      </c>
      <c r="C1466" s="1" t="s">
        <v>4162</v>
      </c>
      <c r="D1466" s="1" t="s">
        <v>370</v>
      </c>
      <c r="E1466" s="1">
        <v>85249</v>
      </c>
      <c r="F1466" s="1" t="s">
        <v>3865</v>
      </c>
      <c r="G1466" s="52" t="s">
        <v>4154</v>
      </c>
      <c r="H1466" s="4" t="s">
        <v>27</v>
      </c>
    </row>
    <row r="1467" spans="1:23">
      <c r="A1467" s="23">
        <v>46024</v>
      </c>
      <c r="B1467" s="1" t="s">
        <v>4142</v>
      </c>
      <c r="C1467" s="1" t="s">
        <v>4143</v>
      </c>
      <c r="D1467" s="1" t="s">
        <v>63</v>
      </c>
      <c r="E1467" s="1">
        <v>85029</v>
      </c>
      <c r="F1467" s="1" t="s">
        <v>3865</v>
      </c>
      <c r="G1467" s="52" t="s">
        <v>4154</v>
      </c>
      <c r="H1467" s="4" t="s">
        <v>4144</v>
      </c>
      <c r="I1467" s="5" t="s">
        <v>36</v>
      </c>
      <c r="J1467" s="5" t="s">
        <v>37</v>
      </c>
      <c r="K1467" s="5" t="s">
        <v>37</v>
      </c>
      <c r="L1467" s="5" t="s">
        <v>38</v>
      </c>
      <c r="M1467" s="5" t="s">
        <v>37</v>
      </c>
      <c r="N1467" s="5" t="s">
        <v>37</v>
      </c>
      <c r="O1467" s="5" t="s">
        <v>38</v>
      </c>
      <c r="P1467" s="5" t="s">
        <v>39</v>
      </c>
      <c r="Q1467" s="2">
        <v>46022</v>
      </c>
      <c r="R1467" s="1" t="s">
        <v>4163</v>
      </c>
    </row>
    <row r="1468" spans="1:23">
      <c r="A1468" s="23">
        <v>46024</v>
      </c>
      <c r="B1468" s="1" t="s">
        <v>4147</v>
      </c>
      <c r="C1468" s="1" t="s">
        <v>1342</v>
      </c>
      <c r="D1468" s="1" t="s">
        <v>4164</v>
      </c>
      <c r="E1468" s="1">
        <v>85028</v>
      </c>
      <c r="F1468" s="1" t="s">
        <v>3865</v>
      </c>
      <c r="G1468" s="52" t="s">
        <v>4154</v>
      </c>
      <c r="H1468" s="4" t="s">
        <v>27</v>
      </c>
      <c r="R1468" s="1" t="s">
        <v>4163</v>
      </c>
    </row>
    <row r="1469" spans="1:23">
      <c r="A1469" s="23">
        <v>46024</v>
      </c>
      <c r="B1469" s="1" t="s">
        <v>4140</v>
      </c>
      <c r="C1469" s="1" t="s">
        <v>1311</v>
      </c>
      <c r="D1469" s="1" t="s">
        <v>125</v>
      </c>
      <c r="E1469" s="1">
        <v>85254</v>
      </c>
      <c r="F1469" s="1" t="s">
        <v>3865</v>
      </c>
      <c r="G1469" s="52" t="s">
        <v>4154</v>
      </c>
      <c r="H1469" s="49" t="s">
        <v>4141</v>
      </c>
      <c r="I1469" s="5" t="s">
        <v>73</v>
      </c>
      <c r="J1469" s="5" t="s">
        <v>37</v>
      </c>
      <c r="K1469" s="5" t="s">
        <v>37</v>
      </c>
      <c r="L1469" s="5" t="s">
        <v>38</v>
      </c>
      <c r="M1469" s="5" t="s">
        <v>37</v>
      </c>
      <c r="N1469" s="5" t="s">
        <v>37</v>
      </c>
      <c r="O1469" s="5" t="s">
        <v>38</v>
      </c>
      <c r="P1469" s="5" t="s">
        <v>39</v>
      </c>
      <c r="Q1469" s="2">
        <v>46022</v>
      </c>
      <c r="R1469" s="1" t="s">
        <v>4163</v>
      </c>
    </row>
    <row r="1470" spans="1:23">
      <c r="A1470" s="23">
        <v>46024</v>
      </c>
      <c r="B1470" s="1" t="s">
        <v>2201</v>
      </c>
      <c r="C1470" s="1" t="s">
        <v>437</v>
      </c>
      <c r="D1470" s="1" t="s">
        <v>63</v>
      </c>
      <c r="E1470" s="1">
        <v>85023</v>
      </c>
      <c r="F1470" s="1" t="s">
        <v>3865</v>
      </c>
      <c r="G1470" s="52" t="s">
        <v>4154</v>
      </c>
      <c r="H1470" s="4" t="s">
        <v>4165</v>
      </c>
      <c r="I1470" s="5" t="s">
        <v>36</v>
      </c>
      <c r="J1470" s="5" t="s">
        <v>38</v>
      </c>
      <c r="K1470" s="5" t="s">
        <v>37</v>
      </c>
      <c r="L1470" s="5" t="s">
        <v>38</v>
      </c>
      <c r="M1470" s="5" t="s">
        <v>37</v>
      </c>
      <c r="N1470" s="5" t="s">
        <v>37</v>
      </c>
      <c r="O1470" s="5" t="s">
        <v>38</v>
      </c>
      <c r="P1470" s="5" t="s">
        <v>39</v>
      </c>
      <c r="Q1470" s="2">
        <v>46027</v>
      </c>
    </row>
    <row r="1471" spans="1:23">
      <c r="A1471" s="23">
        <v>46024</v>
      </c>
      <c r="B1471" s="1" t="s">
        <v>4145</v>
      </c>
      <c r="C1471" s="1" t="s">
        <v>4146</v>
      </c>
      <c r="D1471" s="1" t="s">
        <v>24</v>
      </c>
      <c r="E1471" s="1">
        <v>85301</v>
      </c>
      <c r="F1471" s="1" t="s">
        <v>3865</v>
      </c>
      <c r="G1471" s="52" t="s">
        <v>4154</v>
      </c>
      <c r="H1471" s="4" t="s">
        <v>27</v>
      </c>
      <c r="R1471" s="1" t="s">
        <v>4163</v>
      </c>
    </row>
    <row r="1472" spans="1:23">
      <c r="A1472" s="23">
        <v>46024</v>
      </c>
      <c r="B1472" s="1" t="s">
        <v>4166</v>
      </c>
      <c r="C1472" s="1" t="s">
        <v>4167</v>
      </c>
      <c r="D1472" s="1" t="s">
        <v>4164</v>
      </c>
      <c r="E1472" s="1">
        <v>85037</v>
      </c>
      <c r="F1472" s="1" t="s">
        <v>3865</v>
      </c>
      <c r="G1472" s="52" t="s">
        <v>4154</v>
      </c>
      <c r="H1472" s="4" t="s">
        <v>27</v>
      </c>
    </row>
    <row r="1473" spans="1:23">
      <c r="A1473" s="23">
        <v>46024</v>
      </c>
      <c r="B1473" s="1" t="s">
        <v>269</v>
      </c>
      <c r="C1473" s="1" t="s">
        <v>4168</v>
      </c>
      <c r="D1473" s="1" t="s">
        <v>24</v>
      </c>
      <c r="E1473" s="1">
        <v>85301</v>
      </c>
      <c r="F1473" s="1" t="s">
        <v>3865</v>
      </c>
      <c r="G1473" s="52" t="s">
        <v>4154</v>
      </c>
      <c r="H1473" s="4" t="s">
        <v>27</v>
      </c>
    </row>
    <row r="1474" spans="1:23">
      <c r="A1474" s="23">
        <v>46024</v>
      </c>
      <c r="B1474" s="1" t="s">
        <v>2184</v>
      </c>
      <c r="C1474" s="1" t="s">
        <v>4169</v>
      </c>
      <c r="D1474" s="1" t="s">
        <v>4170</v>
      </c>
      <c r="E1474" s="1">
        <v>85143</v>
      </c>
      <c r="F1474" s="1" t="s">
        <v>3865</v>
      </c>
      <c r="G1474" s="52" t="s">
        <v>4154</v>
      </c>
      <c r="H1474" s="4" t="s">
        <v>27</v>
      </c>
    </row>
    <row r="1475" spans="1:23">
      <c r="A1475" s="23">
        <v>46024</v>
      </c>
      <c r="B1475" s="1" t="s">
        <v>4171</v>
      </c>
      <c r="C1475" s="1" t="s">
        <v>658</v>
      </c>
      <c r="D1475" s="1" t="s">
        <v>63</v>
      </c>
      <c r="E1475" s="1">
        <v>85053</v>
      </c>
      <c r="F1475" s="1" t="s">
        <v>3865</v>
      </c>
      <c r="G1475" s="52" t="s">
        <v>4154</v>
      </c>
      <c r="H1475" s="4" t="s">
        <v>4172</v>
      </c>
      <c r="I1475" s="5" t="s">
        <v>541</v>
      </c>
      <c r="J1475" s="5" t="s">
        <v>37</v>
      </c>
      <c r="K1475" s="5" t="s">
        <v>37</v>
      </c>
      <c r="L1475" s="5" t="s">
        <v>4079</v>
      </c>
      <c r="M1475" s="5" t="s">
        <v>37</v>
      </c>
      <c r="N1475" s="5" t="s">
        <v>37</v>
      </c>
      <c r="O1475" s="5" t="s">
        <v>38</v>
      </c>
      <c r="P1475" s="5" t="s">
        <v>39</v>
      </c>
      <c r="Q1475" s="2">
        <v>46027</v>
      </c>
    </row>
    <row r="1476" spans="1:23">
      <c r="A1476" s="23">
        <v>46024</v>
      </c>
      <c r="B1476" s="1" t="s">
        <v>1413</v>
      </c>
      <c r="C1476" s="1" t="s">
        <v>355</v>
      </c>
      <c r="D1476" s="1" t="s">
        <v>63</v>
      </c>
      <c r="E1476" s="1">
        <v>85027</v>
      </c>
      <c r="F1476" s="1" t="s">
        <v>3865</v>
      </c>
      <c r="G1476" s="52" t="s">
        <v>4154</v>
      </c>
      <c r="H1476" s="4" t="s">
        <v>1414</v>
      </c>
      <c r="I1476" s="5" t="s">
        <v>196</v>
      </c>
      <c r="J1476" s="5" t="s">
        <v>37</v>
      </c>
      <c r="K1476" s="5" t="s">
        <v>37</v>
      </c>
      <c r="L1476" s="19" t="s">
        <v>4173</v>
      </c>
      <c r="M1476" s="5" t="s">
        <v>37</v>
      </c>
      <c r="N1476" s="5" t="s">
        <v>37</v>
      </c>
      <c r="O1476" s="5" t="s">
        <v>38</v>
      </c>
      <c r="P1476" s="5" t="s">
        <v>39</v>
      </c>
      <c r="Q1476" s="2">
        <v>46027</v>
      </c>
    </row>
    <row r="1477" spans="1:23">
      <c r="A1477" s="23">
        <v>46024</v>
      </c>
      <c r="B1477" s="1" t="s">
        <v>4174</v>
      </c>
      <c r="C1477" s="1" t="s">
        <v>4175</v>
      </c>
      <c r="D1477" s="1" t="s">
        <v>619</v>
      </c>
      <c r="E1477" s="1">
        <v>85365</v>
      </c>
      <c r="F1477" s="1" t="s">
        <v>3865</v>
      </c>
      <c r="G1477" s="52" t="s">
        <v>4154</v>
      </c>
      <c r="H1477" s="4" t="s">
        <v>4176</v>
      </c>
      <c r="I1477" s="5" t="s">
        <v>541</v>
      </c>
      <c r="J1477" s="5" t="s">
        <v>38</v>
      </c>
      <c r="K1477" s="5" t="s">
        <v>37</v>
      </c>
      <c r="L1477" s="5" t="s">
        <v>4177</v>
      </c>
      <c r="M1477" s="5" t="s">
        <v>38</v>
      </c>
      <c r="N1477" s="13">
        <v>310</v>
      </c>
      <c r="O1477" s="5" t="s">
        <v>38</v>
      </c>
      <c r="P1477" s="5" t="s">
        <v>39</v>
      </c>
      <c r="Q1477" s="2">
        <v>46028</v>
      </c>
      <c r="R1477" s="1" t="s">
        <v>4178</v>
      </c>
    </row>
    <row r="1478" spans="1:23">
      <c r="A1478" s="23">
        <v>46024</v>
      </c>
      <c r="B1478" s="1" t="s">
        <v>367</v>
      </c>
      <c r="C1478" s="1" t="s">
        <v>2730</v>
      </c>
      <c r="D1478" s="1" t="s">
        <v>2429</v>
      </c>
      <c r="E1478" s="1">
        <v>85132</v>
      </c>
      <c r="F1478" s="1" t="s">
        <v>3865</v>
      </c>
      <c r="G1478" s="52" t="s">
        <v>4154</v>
      </c>
      <c r="H1478" s="4" t="s">
        <v>4179</v>
      </c>
      <c r="I1478" s="5" t="s">
        <v>1488</v>
      </c>
      <c r="J1478" s="5" t="s">
        <v>38</v>
      </c>
      <c r="K1478" s="5" t="s">
        <v>37</v>
      </c>
      <c r="L1478" s="5" t="s">
        <v>4079</v>
      </c>
      <c r="M1478" s="5" t="s">
        <v>37</v>
      </c>
      <c r="N1478" s="5" t="s">
        <v>37</v>
      </c>
      <c r="O1478" s="5" t="s">
        <v>38</v>
      </c>
      <c r="P1478" s="5" t="s">
        <v>39</v>
      </c>
      <c r="Q1478" s="2">
        <v>46028</v>
      </c>
    </row>
    <row r="1479" spans="1:23">
      <c r="A1479" s="59">
        <v>46024</v>
      </c>
      <c r="B1479" s="33" t="s">
        <v>2617</v>
      </c>
      <c r="C1479" s="33" t="s">
        <v>2380</v>
      </c>
      <c r="D1479" s="33" t="s">
        <v>4180</v>
      </c>
      <c r="E1479" s="33">
        <v>86047</v>
      </c>
      <c r="F1479" s="33" t="s">
        <v>3865</v>
      </c>
      <c r="G1479" s="53" t="s">
        <v>4154</v>
      </c>
      <c r="H1479" s="45" t="s">
        <v>4181</v>
      </c>
      <c r="I1479" s="43" t="s">
        <v>126</v>
      </c>
      <c r="J1479" s="43" t="s">
        <v>38</v>
      </c>
      <c r="K1479" s="43" t="s">
        <v>37</v>
      </c>
      <c r="L1479" s="43" t="s">
        <v>4182</v>
      </c>
      <c r="M1479" s="43" t="s">
        <v>37</v>
      </c>
      <c r="N1479" s="43" t="s">
        <v>37</v>
      </c>
      <c r="O1479" s="43" t="s">
        <v>38</v>
      </c>
      <c r="P1479" s="43"/>
      <c r="Q1479" s="42">
        <v>46028</v>
      </c>
      <c r="R1479" s="33"/>
      <c r="S1479" s="33"/>
      <c r="T1479" s="33"/>
      <c r="U1479" s="33"/>
      <c r="V1479" s="33"/>
      <c r="W1479" s="33"/>
    </row>
    <row r="1480" spans="1:23">
      <c r="A1480" s="23">
        <v>46024</v>
      </c>
      <c r="B1480" s="1" t="s">
        <v>4183</v>
      </c>
      <c r="C1480" s="1" t="s">
        <v>3148</v>
      </c>
      <c r="D1480" s="1" t="s">
        <v>63</v>
      </c>
      <c r="E1480" s="1">
        <v>85028</v>
      </c>
      <c r="F1480" s="1" t="s">
        <v>3865</v>
      </c>
      <c r="G1480" s="52" t="s">
        <v>4154</v>
      </c>
      <c r="H1480" s="4" t="s">
        <v>4184</v>
      </c>
      <c r="I1480" s="5" t="s">
        <v>36</v>
      </c>
      <c r="J1480" s="5" t="s">
        <v>37</v>
      </c>
      <c r="K1480" s="5" t="s">
        <v>37</v>
      </c>
      <c r="L1480" s="5" t="s">
        <v>38</v>
      </c>
      <c r="M1480" s="5" t="s">
        <v>37</v>
      </c>
      <c r="N1480" s="5" t="s">
        <v>37</v>
      </c>
      <c r="O1480" s="5" t="s">
        <v>38</v>
      </c>
      <c r="P1480" s="5" t="s">
        <v>39</v>
      </c>
      <c r="Q1480" s="2">
        <v>46028</v>
      </c>
    </row>
    <row r="1481" spans="1:23">
      <c r="A1481" s="23">
        <v>46024</v>
      </c>
      <c r="B1481" s="1" t="s">
        <v>3529</v>
      </c>
      <c r="C1481" s="1" t="s">
        <v>3530</v>
      </c>
      <c r="D1481" s="1" t="s">
        <v>63</v>
      </c>
      <c r="E1481" s="1">
        <v>85028</v>
      </c>
      <c r="F1481" s="1" t="s">
        <v>3865</v>
      </c>
      <c r="G1481" s="52" t="s">
        <v>4154</v>
      </c>
      <c r="H1481" s="4" t="s">
        <v>3532</v>
      </c>
      <c r="I1481" s="5" t="s">
        <v>418</v>
      </c>
      <c r="J1481" s="5" t="s">
        <v>37</v>
      </c>
      <c r="K1481" s="5" t="s">
        <v>37</v>
      </c>
      <c r="L1481" s="5" t="s">
        <v>4079</v>
      </c>
      <c r="M1481" s="5" t="s">
        <v>37</v>
      </c>
      <c r="N1481" s="5" t="s">
        <v>37</v>
      </c>
      <c r="O1481" s="5" t="s">
        <v>38</v>
      </c>
      <c r="P1481" s="5" t="s">
        <v>39</v>
      </c>
      <c r="Q1481" s="2">
        <v>46028</v>
      </c>
    </row>
    <row r="1482" spans="1:23">
      <c r="A1482" s="23">
        <v>46024</v>
      </c>
      <c r="B1482" s="1" t="s">
        <v>78</v>
      </c>
      <c r="C1482" s="1" t="s">
        <v>2040</v>
      </c>
      <c r="D1482" s="1" t="s">
        <v>619</v>
      </c>
      <c r="E1482" s="1">
        <v>85365</v>
      </c>
      <c r="F1482" s="1" t="s">
        <v>3865</v>
      </c>
      <c r="G1482" s="52" t="s">
        <v>4154</v>
      </c>
      <c r="H1482" s="4" t="s">
        <v>27</v>
      </c>
    </row>
    <row r="1483" spans="1:23">
      <c r="A1483" s="23">
        <v>46024</v>
      </c>
      <c r="B1483" s="1" t="s">
        <v>4185</v>
      </c>
      <c r="C1483" s="1" t="s">
        <v>4186</v>
      </c>
      <c r="D1483" s="1" t="s">
        <v>68</v>
      </c>
      <c r="E1483" s="1">
        <v>85331</v>
      </c>
      <c r="F1483" s="1" t="s">
        <v>3865</v>
      </c>
      <c r="G1483" s="52" t="s">
        <v>4154</v>
      </c>
      <c r="H1483" s="4" t="s">
        <v>27</v>
      </c>
    </row>
    <row r="1484" spans="1:23">
      <c r="A1484" s="23">
        <v>46024</v>
      </c>
      <c r="B1484" s="1" t="s">
        <v>4187</v>
      </c>
      <c r="C1484" s="1" t="s">
        <v>4188</v>
      </c>
      <c r="D1484" s="1" t="s">
        <v>63</v>
      </c>
      <c r="E1484" s="1">
        <v>85044</v>
      </c>
      <c r="F1484" s="1" t="s">
        <v>3865</v>
      </c>
      <c r="G1484" s="52" t="s">
        <v>4154</v>
      </c>
      <c r="H1484" s="4" t="s">
        <v>27</v>
      </c>
    </row>
    <row r="1485" spans="1:23">
      <c r="A1485" s="23">
        <v>46024</v>
      </c>
      <c r="B1485" s="1" t="s">
        <v>1136</v>
      </c>
      <c r="C1485" s="1" t="s">
        <v>284</v>
      </c>
      <c r="D1485" s="1" t="s">
        <v>504</v>
      </c>
      <c r="E1485" s="1">
        <v>86005</v>
      </c>
      <c r="F1485" s="1" t="s">
        <v>3865</v>
      </c>
      <c r="G1485" s="52" t="s">
        <v>4154</v>
      </c>
      <c r="H1485" s="4" t="s">
        <v>4189</v>
      </c>
      <c r="I1485" s="5" t="s">
        <v>36</v>
      </c>
      <c r="J1485" s="5" t="s">
        <v>37</v>
      </c>
      <c r="K1485" s="5" t="s">
        <v>37</v>
      </c>
      <c r="L1485" s="5" t="s">
        <v>38</v>
      </c>
      <c r="M1485" s="5" t="s">
        <v>37</v>
      </c>
      <c r="N1485" s="5" t="s">
        <v>37</v>
      </c>
      <c r="O1485" s="5" t="s">
        <v>38</v>
      </c>
      <c r="P1485" s="5" t="s">
        <v>39</v>
      </c>
      <c r="Q1485" s="2">
        <v>46028</v>
      </c>
    </row>
    <row r="1486" spans="1:23">
      <c r="A1486" s="23">
        <v>46024</v>
      </c>
      <c r="B1486" s="1" t="s">
        <v>4190</v>
      </c>
      <c r="C1486" s="1" t="s">
        <v>291</v>
      </c>
      <c r="D1486" s="1" t="s">
        <v>63</v>
      </c>
      <c r="E1486" s="1">
        <v>85013</v>
      </c>
      <c r="F1486" s="1" t="s">
        <v>3865</v>
      </c>
      <c r="G1486" s="52" t="s">
        <v>4154</v>
      </c>
      <c r="H1486" s="4" t="s">
        <v>27</v>
      </c>
    </row>
    <row r="1487" spans="1:23">
      <c r="A1487" s="59">
        <v>46024</v>
      </c>
      <c r="B1487" s="33" t="s">
        <v>4191</v>
      </c>
      <c r="C1487" s="33" t="s">
        <v>75</v>
      </c>
      <c r="D1487" s="33" t="s">
        <v>63</v>
      </c>
      <c r="E1487" s="33">
        <v>85028</v>
      </c>
      <c r="F1487" s="33" t="s">
        <v>3865</v>
      </c>
      <c r="G1487" s="53" t="s">
        <v>4154</v>
      </c>
      <c r="H1487" s="45" t="s">
        <v>4192</v>
      </c>
      <c r="I1487" s="43" t="s">
        <v>57</v>
      </c>
      <c r="J1487" s="43" t="s">
        <v>37</v>
      </c>
      <c r="K1487" s="43" t="s">
        <v>37</v>
      </c>
      <c r="L1487" s="43" t="s">
        <v>4193</v>
      </c>
      <c r="M1487" s="43" t="s">
        <v>37</v>
      </c>
      <c r="N1487" s="43" t="s">
        <v>37</v>
      </c>
      <c r="O1487" s="43" t="s">
        <v>38</v>
      </c>
      <c r="P1487" s="43"/>
      <c r="Q1487" s="43"/>
      <c r="R1487" s="33"/>
      <c r="S1487" s="33"/>
      <c r="T1487" s="33"/>
      <c r="U1487" s="33"/>
      <c r="V1487" s="33"/>
      <c r="W1487" s="33"/>
    </row>
    <row r="1488" spans="1:23">
      <c r="A1488" s="23">
        <v>46027</v>
      </c>
      <c r="B1488" s="1" t="s">
        <v>4148</v>
      </c>
      <c r="C1488" s="1" t="s">
        <v>838</v>
      </c>
      <c r="D1488" s="1" t="s">
        <v>30</v>
      </c>
      <c r="E1488" s="1" t="s">
        <v>30</v>
      </c>
      <c r="F1488" s="1" t="s">
        <v>3865</v>
      </c>
      <c r="G1488" s="40" t="s">
        <v>4194</v>
      </c>
      <c r="H1488" s="4" t="s">
        <v>27</v>
      </c>
    </row>
    <row r="1489" spans="1:23">
      <c r="A1489" s="23">
        <v>46027</v>
      </c>
      <c r="B1489" s="1" t="s">
        <v>176</v>
      </c>
      <c r="C1489" s="1" t="s">
        <v>399</v>
      </c>
      <c r="D1489" s="1" t="s">
        <v>30</v>
      </c>
      <c r="E1489" s="1" t="s">
        <v>30</v>
      </c>
      <c r="F1489" s="1" t="s">
        <v>3865</v>
      </c>
      <c r="G1489" s="1" t="s">
        <v>4194</v>
      </c>
      <c r="H1489" s="4" t="s">
        <v>27</v>
      </c>
    </row>
    <row r="1490" spans="1:23">
      <c r="A1490" s="23">
        <v>46027</v>
      </c>
      <c r="B1490" s="1" t="s">
        <v>4147</v>
      </c>
      <c r="C1490" s="1" t="s">
        <v>1342</v>
      </c>
      <c r="D1490" s="1" t="s">
        <v>30</v>
      </c>
      <c r="E1490" s="1" t="s">
        <v>30</v>
      </c>
      <c r="F1490" s="1" t="s">
        <v>3865</v>
      </c>
      <c r="G1490" s="1" t="s">
        <v>4194</v>
      </c>
      <c r="H1490" s="4" t="s">
        <v>27</v>
      </c>
    </row>
    <row r="1491" spans="1:23">
      <c r="A1491" s="23">
        <v>46027</v>
      </c>
      <c r="B1491" s="1" t="s">
        <v>4195</v>
      </c>
      <c r="C1491" s="1" t="s">
        <v>4196</v>
      </c>
      <c r="D1491" s="1" t="s">
        <v>202</v>
      </c>
      <c r="E1491" s="1">
        <v>85382</v>
      </c>
      <c r="F1491" s="1" t="s">
        <v>3865</v>
      </c>
      <c r="G1491" s="1" t="s">
        <v>4194</v>
      </c>
      <c r="H1491" s="4">
        <v>1336550000</v>
      </c>
      <c r="I1491" s="5" t="s">
        <v>36</v>
      </c>
      <c r="J1491" s="5" t="s">
        <v>37</v>
      </c>
      <c r="K1491" s="5" t="s">
        <v>37</v>
      </c>
      <c r="L1491" s="5" t="s">
        <v>38</v>
      </c>
      <c r="M1491" s="5" t="s">
        <v>37</v>
      </c>
      <c r="N1491" s="5" t="s">
        <v>37</v>
      </c>
      <c r="O1491" s="5" t="s">
        <v>38</v>
      </c>
      <c r="P1491" s="5" t="s">
        <v>39</v>
      </c>
      <c r="Q1491" s="2">
        <v>46028</v>
      </c>
    </row>
    <row r="1492" spans="1:23">
      <c r="A1492" s="23">
        <v>46027</v>
      </c>
      <c r="B1492" s="1" t="s">
        <v>4197</v>
      </c>
      <c r="C1492" s="1" t="s">
        <v>1093</v>
      </c>
      <c r="D1492" s="1" t="s">
        <v>30</v>
      </c>
      <c r="E1492" s="1" t="s">
        <v>30</v>
      </c>
      <c r="F1492" s="1" t="s">
        <v>3865</v>
      </c>
      <c r="G1492" s="1" t="s">
        <v>4194</v>
      </c>
      <c r="H1492" s="4" t="s">
        <v>27</v>
      </c>
    </row>
    <row r="1493" spans="1:23">
      <c r="A1493" s="23">
        <v>46027</v>
      </c>
      <c r="B1493" s="1" t="s">
        <v>4198</v>
      </c>
      <c r="C1493" s="1" t="s">
        <v>3506</v>
      </c>
      <c r="D1493" s="1" t="s">
        <v>63</v>
      </c>
      <c r="E1493" s="1">
        <v>85027</v>
      </c>
      <c r="F1493" s="1" t="s">
        <v>3865</v>
      </c>
      <c r="G1493" s="1" t="s">
        <v>4194</v>
      </c>
      <c r="H1493" s="4" t="s">
        <v>4199</v>
      </c>
      <c r="I1493" s="5" t="s">
        <v>36</v>
      </c>
      <c r="J1493" s="5" t="s">
        <v>38</v>
      </c>
      <c r="K1493" s="5" t="s">
        <v>38</v>
      </c>
      <c r="L1493" s="5" t="s">
        <v>38</v>
      </c>
      <c r="M1493" s="5" t="s">
        <v>37</v>
      </c>
      <c r="N1493" s="5" t="s">
        <v>37</v>
      </c>
      <c r="O1493" s="5" t="s">
        <v>38</v>
      </c>
    </row>
    <row r="1494" spans="1:23">
      <c r="A1494" s="23">
        <v>46027</v>
      </c>
      <c r="B1494" s="1" t="s">
        <v>3561</v>
      </c>
      <c r="C1494" s="1" t="s">
        <v>270</v>
      </c>
      <c r="D1494" s="1" t="s">
        <v>30</v>
      </c>
      <c r="E1494" s="1" t="s">
        <v>30</v>
      </c>
      <c r="F1494" s="1" t="s">
        <v>3865</v>
      </c>
      <c r="G1494" s="1" t="s">
        <v>4194</v>
      </c>
      <c r="H1494" s="4" t="s">
        <v>27</v>
      </c>
    </row>
    <row r="1495" spans="1:23">
      <c r="A1495" s="23">
        <v>46027</v>
      </c>
      <c r="B1495" s="1" t="s">
        <v>4200</v>
      </c>
      <c r="C1495" s="1" t="s">
        <v>2730</v>
      </c>
      <c r="D1495" s="1" t="s">
        <v>24</v>
      </c>
      <c r="E1495" s="1">
        <v>85306</v>
      </c>
      <c r="F1495" s="1" t="s">
        <v>3865</v>
      </c>
      <c r="G1495" s="1" t="s">
        <v>4194</v>
      </c>
      <c r="H1495" s="4" t="s">
        <v>4201</v>
      </c>
      <c r="I1495" s="5" t="s">
        <v>36</v>
      </c>
      <c r="J1495" s="5" t="s">
        <v>37</v>
      </c>
      <c r="K1495" s="5" t="s">
        <v>37</v>
      </c>
      <c r="L1495" s="5" t="s">
        <v>38</v>
      </c>
      <c r="M1495" s="5" t="s">
        <v>37</v>
      </c>
      <c r="N1495" s="5" t="s">
        <v>37</v>
      </c>
      <c r="O1495" s="5" t="s">
        <v>38</v>
      </c>
      <c r="P1495" s="5" t="s">
        <v>39</v>
      </c>
      <c r="Q1495" s="2">
        <v>46030</v>
      </c>
    </row>
    <row r="1496" spans="1:23">
      <c r="A1496" s="59">
        <v>46027</v>
      </c>
      <c r="B1496" s="33" t="s">
        <v>4202</v>
      </c>
      <c r="C1496" s="33" t="s">
        <v>1639</v>
      </c>
      <c r="D1496" s="33" t="s">
        <v>63</v>
      </c>
      <c r="E1496" s="33">
        <v>85032</v>
      </c>
      <c r="F1496" s="33" t="s">
        <v>3865</v>
      </c>
      <c r="G1496" s="33" t="s">
        <v>4194</v>
      </c>
      <c r="H1496" s="45" t="s">
        <v>4203</v>
      </c>
      <c r="I1496" s="43" t="s">
        <v>4002</v>
      </c>
      <c r="J1496" s="43" t="s">
        <v>37</v>
      </c>
      <c r="K1496" s="43" t="s">
        <v>37</v>
      </c>
      <c r="L1496" s="43" t="s">
        <v>4204</v>
      </c>
      <c r="M1496" s="43" t="s">
        <v>37</v>
      </c>
      <c r="N1496" s="43" t="s">
        <v>37</v>
      </c>
      <c r="O1496" s="43" t="s">
        <v>38</v>
      </c>
      <c r="P1496" s="43"/>
      <c r="Q1496" s="43"/>
      <c r="R1496" s="33"/>
      <c r="S1496" s="33"/>
      <c r="T1496" s="33"/>
      <c r="U1496" s="33"/>
      <c r="V1496" s="33"/>
      <c r="W1496" s="33"/>
    </row>
    <row r="1497" spans="1:23">
      <c r="A1497" s="23">
        <v>46027</v>
      </c>
      <c r="B1497" s="1" t="s">
        <v>4205</v>
      </c>
      <c r="C1497" s="1" t="s">
        <v>1824</v>
      </c>
      <c r="D1497" s="1" t="s">
        <v>63</v>
      </c>
      <c r="E1497" s="1">
        <v>85027</v>
      </c>
      <c r="F1497" s="1" t="s">
        <v>3865</v>
      </c>
      <c r="G1497" s="1" t="s">
        <v>4194</v>
      </c>
      <c r="H1497" s="4" t="s">
        <v>4206</v>
      </c>
      <c r="I1497" s="5" t="s">
        <v>36</v>
      </c>
      <c r="J1497" s="5" t="s">
        <v>37</v>
      </c>
      <c r="K1497" s="5" t="s">
        <v>37</v>
      </c>
      <c r="L1497" s="5" t="s">
        <v>38</v>
      </c>
      <c r="M1497" s="5" t="s">
        <v>37</v>
      </c>
      <c r="N1497" s="5" t="s">
        <v>37</v>
      </c>
      <c r="O1497" s="5" t="s">
        <v>38</v>
      </c>
      <c r="P1497" s="5" t="s">
        <v>39</v>
      </c>
      <c r="Q1497" s="2">
        <v>46030</v>
      </c>
    </row>
    <row r="1498" spans="1:23">
      <c r="A1498" s="23">
        <v>46027</v>
      </c>
      <c r="B1498" s="1" t="s">
        <v>4207</v>
      </c>
      <c r="C1498" s="1" t="s">
        <v>1876</v>
      </c>
      <c r="D1498" s="1" t="s">
        <v>63</v>
      </c>
      <c r="E1498" s="1">
        <v>85022</v>
      </c>
      <c r="F1498" s="1" t="s">
        <v>4208</v>
      </c>
      <c r="G1498" s="1" t="s">
        <v>4194</v>
      </c>
      <c r="H1498" s="4" t="s">
        <v>4209</v>
      </c>
      <c r="I1498" s="5" t="s">
        <v>73</v>
      </c>
      <c r="J1498" s="5" t="s">
        <v>38</v>
      </c>
      <c r="K1498" s="5" t="s">
        <v>37</v>
      </c>
      <c r="L1498" s="5" t="s">
        <v>38</v>
      </c>
      <c r="M1498" s="5" t="s">
        <v>37</v>
      </c>
      <c r="N1498" s="5" t="s">
        <v>37</v>
      </c>
      <c r="O1498" s="5" t="s">
        <v>38</v>
      </c>
      <c r="P1498" s="5" t="s">
        <v>39</v>
      </c>
      <c r="Q1498" s="2">
        <v>46030</v>
      </c>
    </row>
    <row r="1499" spans="1:23">
      <c r="A1499" s="23">
        <v>46027</v>
      </c>
      <c r="B1499" s="1" t="s">
        <v>4210</v>
      </c>
      <c r="C1499" s="1" t="s">
        <v>4211</v>
      </c>
      <c r="D1499" s="1" t="s">
        <v>169</v>
      </c>
      <c r="E1499" s="1">
        <v>85395</v>
      </c>
      <c r="F1499" s="1" t="s">
        <v>4212</v>
      </c>
      <c r="G1499" s="1" t="s">
        <v>4194</v>
      </c>
      <c r="H1499" s="4" t="s">
        <v>4213</v>
      </c>
      <c r="I1499" s="5" t="s">
        <v>4214</v>
      </c>
      <c r="J1499" s="5" t="s">
        <v>37</v>
      </c>
      <c r="K1499" s="5" t="s">
        <v>37</v>
      </c>
      <c r="L1499" s="5" t="s">
        <v>4079</v>
      </c>
      <c r="M1499" s="5" t="s">
        <v>37</v>
      </c>
      <c r="N1499" s="5" t="s">
        <v>37</v>
      </c>
      <c r="O1499" s="5" t="s">
        <v>38</v>
      </c>
      <c r="P1499" s="5" t="s">
        <v>39</v>
      </c>
      <c r="Q1499" s="2">
        <v>46030</v>
      </c>
    </row>
    <row r="1500" spans="1:23">
      <c r="A1500" s="23">
        <v>46028</v>
      </c>
      <c r="B1500" s="1" t="s">
        <v>4215</v>
      </c>
      <c r="C1500" s="1" t="s">
        <v>4216</v>
      </c>
      <c r="D1500" s="1" t="s">
        <v>89</v>
      </c>
      <c r="E1500" s="1">
        <v>86351</v>
      </c>
      <c r="F1500" s="1" t="s">
        <v>4217</v>
      </c>
      <c r="G1500" s="60" t="s">
        <v>4218</v>
      </c>
      <c r="H1500" s="4" t="s">
        <v>4219</v>
      </c>
      <c r="I1500" s="5" t="s">
        <v>4214</v>
      </c>
      <c r="J1500" s="5" t="s">
        <v>37</v>
      </c>
      <c r="K1500" s="5" t="s">
        <v>37</v>
      </c>
      <c r="L1500" s="5" t="s">
        <v>4079</v>
      </c>
      <c r="M1500" s="5" t="s">
        <v>37</v>
      </c>
      <c r="N1500" s="5" t="s">
        <v>37</v>
      </c>
      <c r="O1500" s="5" t="s">
        <v>38</v>
      </c>
      <c r="P1500" s="5" t="s">
        <v>39</v>
      </c>
      <c r="Q1500" s="2">
        <v>46030</v>
      </c>
    </row>
    <row r="1501" spans="1:23">
      <c r="A1501" s="23">
        <v>46028</v>
      </c>
      <c r="B1501" s="1" t="s">
        <v>4220</v>
      </c>
      <c r="C1501" s="1" t="s">
        <v>4221</v>
      </c>
      <c r="D1501" s="1" t="s">
        <v>202</v>
      </c>
      <c r="E1501" s="1">
        <v>85282</v>
      </c>
      <c r="F1501" s="1" t="s">
        <v>4222</v>
      </c>
      <c r="G1501" s="1" t="s">
        <v>4218</v>
      </c>
      <c r="H1501" s="4" t="s">
        <v>27</v>
      </c>
    </row>
    <row r="1502" spans="1:23">
      <c r="A1502" s="23">
        <v>46028</v>
      </c>
      <c r="B1502" s="1" t="s">
        <v>4223</v>
      </c>
      <c r="C1502" s="1" t="s">
        <v>676</v>
      </c>
      <c r="D1502" s="1" t="s">
        <v>737</v>
      </c>
      <c r="E1502" s="1">
        <v>86326</v>
      </c>
      <c r="F1502" s="1" t="s">
        <v>4224</v>
      </c>
      <c r="G1502" s="1" t="s">
        <v>4218</v>
      </c>
      <c r="H1502" s="4" t="s">
        <v>4225</v>
      </c>
      <c r="I1502" s="5" t="s">
        <v>73</v>
      </c>
      <c r="J1502" s="5" t="s">
        <v>37</v>
      </c>
      <c r="K1502" s="5" t="s">
        <v>37</v>
      </c>
      <c r="L1502" s="5" t="s">
        <v>38</v>
      </c>
      <c r="M1502" s="5" t="s">
        <v>37</v>
      </c>
      <c r="N1502" s="5" t="s">
        <v>37</v>
      </c>
      <c r="O1502" s="5" t="s">
        <v>38</v>
      </c>
      <c r="P1502" s="5" t="s">
        <v>39</v>
      </c>
      <c r="Q1502" s="2">
        <v>46030</v>
      </c>
    </row>
    <row r="1503" spans="1:23">
      <c r="A1503" s="23">
        <v>46028</v>
      </c>
      <c r="B1503" s="1" t="s">
        <v>3675</v>
      </c>
      <c r="C1503" s="1" t="s">
        <v>4137</v>
      </c>
      <c r="D1503" s="1" t="s">
        <v>202</v>
      </c>
      <c r="E1503" s="1">
        <v>85354</v>
      </c>
      <c r="F1503" s="1" t="s">
        <v>4226</v>
      </c>
      <c r="G1503" s="40" t="s">
        <v>4227</v>
      </c>
      <c r="H1503" s="4" t="s">
        <v>4228</v>
      </c>
      <c r="I1503" s="5" t="s">
        <v>36</v>
      </c>
      <c r="J1503" s="5" t="s">
        <v>37</v>
      </c>
      <c r="K1503" s="5" t="s">
        <v>37</v>
      </c>
      <c r="L1503" s="5" t="s">
        <v>38</v>
      </c>
      <c r="M1503" s="5" t="s">
        <v>37</v>
      </c>
      <c r="N1503" s="5" t="s">
        <v>37</v>
      </c>
      <c r="O1503" s="5" t="s">
        <v>38</v>
      </c>
      <c r="P1503" s="5" t="s">
        <v>39</v>
      </c>
      <c r="Q1503" s="2">
        <v>46030</v>
      </c>
    </row>
    <row r="1504" spans="1:23">
      <c r="A1504" s="23">
        <v>46028</v>
      </c>
      <c r="B1504" s="1" t="s">
        <v>4229</v>
      </c>
      <c r="C1504" s="1" t="s">
        <v>4230</v>
      </c>
      <c r="D1504" s="1" t="s">
        <v>93</v>
      </c>
      <c r="E1504" s="1">
        <v>85373</v>
      </c>
      <c r="F1504" s="1" t="s">
        <v>4231</v>
      </c>
      <c r="G1504" s="1" t="s">
        <v>4227</v>
      </c>
      <c r="H1504" s="4" t="s">
        <v>4232</v>
      </c>
      <c r="I1504" s="5" t="s">
        <v>196</v>
      </c>
      <c r="J1504" s="5" t="s">
        <v>37</v>
      </c>
      <c r="K1504" s="5" t="s">
        <v>37</v>
      </c>
      <c r="L1504" s="5" t="s">
        <v>38</v>
      </c>
      <c r="M1504" s="5" t="s">
        <v>37</v>
      </c>
      <c r="N1504" s="5" t="s">
        <v>37</v>
      </c>
      <c r="O1504" s="5" t="s">
        <v>38</v>
      </c>
      <c r="P1504" s="5" t="s">
        <v>39</v>
      </c>
      <c r="Q1504" s="2">
        <v>46030</v>
      </c>
    </row>
    <row r="1505" spans="1:23">
      <c r="A1505" s="23">
        <v>46028</v>
      </c>
      <c r="B1505" s="1" t="s">
        <v>4233</v>
      </c>
      <c r="C1505" s="1" t="s">
        <v>4234</v>
      </c>
      <c r="D1505" s="1" t="s">
        <v>30</v>
      </c>
      <c r="E1505" s="1" t="s">
        <v>30</v>
      </c>
      <c r="F1505" s="1" t="s">
        <v>4235</v>
      </c>
      <c r="G1505" s="1" t="s">
        <v>4227</v>
      </c>
      <c r="H1505" s="4" t="s">
        <v>27</v>
      </c>
    </row>
    <row r="1506" spans="1:23">
      <c r="A1506" s="23">
        <v>46029</v>
      </c>
      <c r="B1506" s="1" t="s">
        <v>4236</v>
      </c>
      <c r="C1506" s="1" t="s">
        <v>4237</v>
      </c>
      <c r="D1506" s="1" t="s">
        <v>30</v>
      </c>
      <c r="E1506" s="1" t="s">
        <v>30</v>
      </c>
      <c r="F1506" s="1" t="s">
        <v>3865</v>
      </c>
      <c r="G1506" s="40" t="s">
        <v>4238</v>
      </c>
      <c r="H1506" s="4" t="s">
        <v>27</v>
      </c>
      <c r="R1506" s="1" t="s">
        <v>4239</v>
      </c>
    </row>
    <row r="1507" spans="1:23">
      <c r="A1507" s="59">
        <v>46031</v>
      </c>
      <c r="B1507" s="33" t="s">
        <v>4240</v>
      </c>
      <c r="C1507" s="33" t="s">
        <v>307</v>
      </c>
      <c r="D1507" s="33" t="s">
        <v>63</v>
      </c>
      <c r="E1507" s="33">
        <v>85029</v>
      </c>
      <c r="F1507" s="33" t="s">
        <v>4241</v>
      </c>
      <c r="G1507" s="44" t="s">
        <v>4242</v>
      </c>
      <c r="H1507" s="45" t="s">
        <v>4243</v>
      </c>
      <c r="I1507" s="43" t="s">
        <v>36</v>
      </c>
      <c r="J1507" s="43" t="s">
        <v>37</v>
      </c>
      <c r="K1507" s="43" t="s">
        <v>37</v>
      </c>
      <c r="L1507" s="43" t="s">
        <v>38</v>
      </c>
      <c r="M1507" s="43" t="s">
        <v>37</v>
      </c>
      <c r="N1507" s="43" t="s">
        <v>37</v>
      </c>
      <c r="O1507" s="43" t="s">
        <v>38</v>
      </c>
      <c r="P1507" s="43"/>
      <c r="Q1507" s="42">
        <v>46034</v>
      </c>
      <c r="R1507" s="33" t="s">
        <v>4244</v>
      </c>
      <c r="S1507" s="33"/>
      <c r="T1507" s="33"/>
      <c r="U1507" s="33"/>
      <c r="V1507" s="33"/>
      <c r="W1507" s="33"/>
    </row>
    <row r="1508" spans="1:23">
      <c r="A1508" s="23">
        <v>46035</v>
      </c>
      <c r="B1508" s="1" t="s">
        <v>3002</v>
      </c>
      <c r="C1508" s="1" t="s">
        <v>1533</v>
      </c>
      <c r="D1508" s="1" t="s">
        <v>698</v>
      </c>
      <c r="E1508" s="1">
        <v>85375</v>
      </c>
      <c r="F1508" s="1" t="s">
        <v>4245</v>
      </c>
      <c r="G1508" s="40" t="s">
        <v>4246</v>
      </c>
      <c r="H1508" s="4" t="s">
        <v>3003</v>
      </c>
      <c r="I1508" s="5" t="s">
        <v>57</v>
      </c>
      <c r="J1508" s="5" t="s">
        <v>37</v>
      </c>
      <c r="K1508" s="5" t="s">
        <v>141</v>
      </c>
      <c r="L1508" s="5" t="s">
        <v>4247</v>
      </c>
      <c r="M1508" s="5" t="s">
        <v>37</v>
      </c>
      <c r="N1508" s="5" t="s">
        <v>37</v>
      </c>
      <c r="O1508" s="5" t="s">
        <v>38</v>
      </c>
      <c r="P1508" s="5" t="s">
        <v>39</v>
      </c>
      <c r="Q1508" s="2">
        <v>46036</v>
      </c>
      <c r="R1508" s="1" t="s">
        <v>4239</v>
      </c>
    </row>
    <row r="1509" spans="1:23">
      <c r="A1509" s="61">
        <v>46037</v>
      </c>
      <c r="B1509" s="35" t="s">
        <v>2826</v>
      </c>
      <c r="C1509" s="35" t="s">
        <v>4248</v>
      </c>
      <c r="D1509" s="35" t="s">
        <v>816</v>
      </c>
      <c r="E1509" s="35">
        <v>86303</v>
      </c>
      <c r="F1509" s="35" t="s">
        <v>4249</v>
      </c>
      <c r="G1509" s="62" t="s">
        <v>4250</v>
      </c>
      <c r="H1509" s="19">
        <v>5226390000</v>
      </c>
      <c r="I1509" s="19" t="s">
        <v>126</v>
      </c>
      <c r="J1509" s="19" t="s">
        <v>37</v>
      </c>
      <c r="K1509" s="19" t="s">
        <v>37</v>
      </c>
      <c r="L1509" s="19" t="s">
        <v>38</v>
      </c>
      <c r="M1509" s="19" t="s">
        <v>37</v>
      </c>
      <c r="N1509" s="19" t="s">
        <v>37</v>
      </c>
      <c r="O1509" s="19" t="s">
        <v>38</v>
      </c>
      <c r="P1509" s="19" t="s">
        <v>39</v>
      </c>
      <c r="Q1509" s="34">
        <v>46044</v>
      </c>
      <c r="R1509" s="35"/>
      <c r="S1509" s="35"/>
      <c r="T1509" s="35"/>
      <c r="U1509" s="35"/>
      <c r="V1509" s="35"/>
    </row>
    <row r="1510" spans="1:23">
      <c r="A1510" s="61">
        <v>46037</v>
      </c>
      <c r="B1510" s="35" t="s">
        <v>4251</v>
      </c>
      <c r="C1510" s="35" t="s">
        <v>440</v>
      </c>
      <c r="D1510" s="35" t="s">
        <v>240</v>
      </c>
      <c r="E1510" s="35">
        <v>85340</v>
      </c>
      <c r="F1510" s="35" t="s">
        <v>4252</v>
      </c>
      <c r="G1510" s="35" t="s">
        <v>4250</v>
      </c>
      <c r="H1510" s="19">
        <v>2887200000</v>
      </c>
      <c r="I1510" s="19" t="s">
        <v>36</v>
      </c>
      <c r="J1510" s="19" t="s">
        <v>37</v>
      </c>
      <c r="K1510" s="19" t="s">
        <v>37</v>
      </c>
      <c r="L1510" s="19" t="s">
        <v>38</v>
      </c>
      <c r="M1510" s="19" t="s">
        <v>37</v>
      </c>
      <c r="N1510" s="19" t="s">
        <v>37</v>
      </c>
      <c r="O1510" s="19" t="s">
        <v>38</v>
      </c>
      <c r="P1510" s="19" t="s">
        <v>39</v>
      </c>
      <c r="Q1510" s="34">
        <v>46044</v>
      </c>
      <c r="R1510" s="35"/>
      <c r="S1510" s="35"/>
      <c r="T1510" s="35"/>
      <c r="U1510" s="35"/>
      <c r="V1510" s="35"/>
    </row>
    <row r="1511" spans="1:23">
      <c r="A1511" s="61">
        <v>46037</v>
      </c>
      <c r="B1511" s="35" t="s">
        <v>4253</v>
      </c>
      <c r="C1511" s="35" t="s">
        <v>4254</v>
      </c>
      <c r="D1511" s="35" t="s">
        <v>174</v>
      </c>
      <c r="E1511" s="35">
        <v>85396</v>
      </c>
      <c r="F1511" s="35" t="s">
        <v>4255</v>
      </c>
      <c r="G1511" s="35" t="s">
        <v>4250</v>
      </c>
      <c r="H1511" s="19">
        <v>762951654</v>
      </c>
      <c r="I1511" s="19" t="s">
        <v>541</v>
      </c>
      <c r="J1511" s="19" t="s">
        <v>37</v>
      </c>
      <c r="K1511" s="19" t="s">
        <v>37</v>
      </c>
      <c r="L1511" s="19" t="s">
        <v>4079</v>
      </c>
      <c r="M1511" s="19" t="s">
        <v>37</v>
      </c>
      <c r="N1511" s="19" t="s">
        <v>37</v>
      </c>
      <c r="O1511" s="19" t="s">
        <v>38</v>
      </c>
      <c r="P1511" s="19" t="s">
        <v>39</v>
      </c>
      <c r="Q1511" s="34">
        <v>46044</v>
      </c>
      <c r="R1511" s="35"/>
      <c r="S1511" s="35"/>
      <c r="T1511" s="35"/>
      <c r="U1511" s="35"/>
      <c r="V1511" s="35"/>
    </row>
    <row r="1512" spans="1:23">
      <c r="A1512" s="61">
        <v>46037</v>
      </c>
      <c r="B1512" s="35" t="s">
        <v>4256</v>
      </c>
      <c r="C1512" s="35" t="s">
        <v>553</v>
      </c>
      <c r="D1512" s="35" t="s">
        <v>202</v>
      </c>
      <c r="E1512" s="35">
        <v>85383</v>
      </c>
      <c r="F1512" s="35" t="s">
        <v>4257</v>
      </c>
      <c r="G1512" s="35" t="s">
        <v>4250</v>
      </c>
      <c r="H1512" s="19">
        <v>8744753955</v>
      </c>
      <c r="I1512" s="19" t="s">
        <v>1488</v>
      </c>
      <c r="J1512" s="19" t="s">
        <v>37</v>
      </c>
      <c r="K1512" s="19" t="s">
        <v>37</v>
      </c>
      <c r="L1512" s="19" t="s">
        <v>4079</v>
      </c>
      <c r="M1512" s="19" t="s">
        <v>37</v>
      </c>
      <c r="N1512" s="19" t="s">
        <v>37</v>
      </c>
      <c r="O1512" s="19" t="s">
        <v>38</v>
      </c>
      <c r="P1512" s="19" t="s">
        <v>39</v>
      </c>
      <c r="Q1512" s="34">
        <v>46044</v>
      </c>
      <c r="R1512" s="35"/>
      <c r="S1512" s="35"/>
      <c r="T1512" s="35"/>
      <c r="U1512" s="35"/>
      <c r="V1512" s="35"/>
    </row>
    <row r="1513" spans="1:23">
      <c r="A1513" s="61">
        <v>46037</v>
      </c>
      <c r="B1513" s="35" t="s">
        <v>227</v>
      </c>
      <c r="C1513" s="35" t="s">
        <v>3062</v>
      </c>
      <c r="D1513" s="35" t="s">
        <v>737</v>
      </c>
      <c r="E1513" s="35">
        <v>86326</v>
      </c>
      <c r="F1513" s="35" t="s">
        <v>4258</v>
      </c>
      <c r="G1513" s="35" t="s">
        <v>4250</v>
      </c>
      <c r="H1513" s="19" t="s">
        <v>27</v>
      </c>
      <c r="I1513" s="19"/>
      <c r="J1513" s="19"/>
      <c r="K1513" s="19"/>
      <c r="L1513" s="19"/>
      <c r="M1513" s="19"/>
      <c r="N1513" s="19"/>
      <c r="O1513" s="19"/>
      <c r="P1513" s="19"/>
      <c r="Q1513" s="19"/>
      <c r="R1513" s="35"/>
      <c r="S1513" s="35"/>
      <c r="T1513" s="35"/>
      <c r="U1513" s="35"/>
      <c r="V1513" s="35"/>
    </row>
    <row r="1514" spans="1:23">
      <c r="A1514" s="61">
        <v>46037</v>
      </c>
      <c r="B1514" s="35" t="s">
        <v>820</v>
      </c>
      <c r="C1514" s="35" t="s">
        <v>440</v>
      </c>
      <c r="D1514" s="35" t="s">
        <v>169</v>
      </c>
      <c r="E1514" s="35">
        <v>85338</v>
      </c>
      <c r="F1514" s="35" t="s">
        <v>4259</v>
      </c>
      <c r="G1514" s="35" t="s">
        <v>4250</v>
      </c>
      <c r="H1514" s="19">
        <v>5733698031</v>
      </c>
      <c r="I1514" s="19" t="s">
        <v>250</v>
      </c>
      <c r="J1514" s="19" t="s">
        <v>37</v>
      </c>
      <c r="K1514" s="19" t="s">
        <v>37</v>
      </c>
      <c r="L1514" s="19" t="s">
        <v>38</v>
      </c>
      <c r="M1514" s="19" t="s">
        <v>37</v>
      </c>
      <c r="N1514" s="19" t="s">
        <v>37</v>
      </c>
      <c r="O1514" s="19" t="s">
        <v>38</v>
      </c>
      <c r="P1514" s="19" t="s">
        <v>39</v>
      </c>
      <c r="Q1514" s="34">
        <v>46044</v>
      </c>
      <c r="R1514" s="35"/>
      <c r="S1514" s="35"/>
      <c r="T1514" s="35"/>
      <c r="U1514" s="35"/>
      <c r="V1514" s="35"/>
    </row>
    <row r="1515" spans="1:23">
      <c r="A1515" s="61">
        <v>46037</v>
      </c>
      <c r="B1515" s="35" t="s">
        <v>4260</v>
      </c>
      <c r="C1515" s="35" t="s">
        <v>1815</v>
      </c>
      <c r="D1515" s="35" t="s">
        <v>4261</v>
      </c>
      <c r="E1515" s="35">
        <v>86332</v>
      </c>
      <c r="F1515" s="35" t="s">
        <v>4262</v>
      </c>
      <c r="G1515" s="35" t="s">
        <v>4250</v>
      </c>
      <c r="H1515" s="19">
        <v>6609290000</v>
      </c>
      <c r="I1515" s="19" t="s">
        <v>73</v>
      </c>
      <c r="J1515" s="19" t="s">
        <v>37</v>
      </c>
      <c r="K1515" s="19" t="s">
        <v>37</v>
      </c>
      <c r="L1515" s="19" t="s">
        <v>38</v>
      </c>
      <c r="M1515" s="19" t="s">
        <v>37</v>
      </c>
      <c r="N1515" s="19" t="s">
        <v>37</v>
      </c>
      <c r="O1515" s="19" t="s">
        <v>38</v>
      </c>
      <c r="P1515" s="19" t="s">
        <v>39</v>
      </c>
      <c r="Q1515" s="34">
        <v>45679</v>
      </c>
      <c r="R1515" s="35"/>
      <c r="S1515" s="35"/>
      <c r="T1515" s="35"/>
      <c r="U1515" s="35"/>
      <c r="V1515" s="35"/>
    </row>
    <row r="1516" spans="1:23">
      <c r="A1516" s="61">
        <v>46037</v>
      </c>
      <c r="B1516" s="35" t="s">
        <v>4263</v>
      </c>
      <c r="C1516" s="35" t="s">
        <v>246</v>
      </c>
      <c r="D1516" s="35" t="s">
        <v>202</v>
      </c>
      <c r="E1516" s="35">
        <v>85383</v>
      </c>
      <c r="F1516" s="35" t="s">
        <v>4264</v>
      </c>
      <c r="G1516" s="35" t="s">
        <v>4250</v>
      </c>
      <c r="H1516" s="19">
        <v>272930000</v>
      </c>
      <c r="I1516" s="19" t="s">
        <v>46</v>
      </c>
      <c r="J1516" s="19" t="s">
        <v>37</v>
      </c>
      <c r="K1516" s="19" t="s">
        <v>37</v>
      </c>
      <c r="L1516" s="19" t="s">
        <v>38</v>
      </c>
      <c r="M1516" s="19" t="s">
        <v>37</v>
      </c>
      <c r="N1516" s="19" t="s">
        <v>37</v>
      </c>
      <c r="O1516" s="19" t="s">
        <v>38</v>
      </c>
      <c r="P1516" s="19" t="s">
        <v>39</v>
      </c>
      <c r="Q1516" s="34">
        <v>45679</v>
      </c>
      <c r="R1516" s="35"/>
      <c r="S1516" s="35"/>
      <c r="T1516" s="35"/>
      <c r="U1516" s="35"/>
      <c r="V1516" s="35"/>
    </row>
    <row r="1517" spans="1:23">
      <c r="A1517" s="61">
        <v>46037</v>
      </c>
      <c r="B1517" s="35" t="s">
        <v>2482</v>
      </c>
      <c r="C1517" s="35" t="s">
        <v>1809</v>
      </c>
      <c r="D1517" s="35" t="s">
        <v>112</v>
      </c>
      <c r="E1517" s="35">
        <v>85387</v>
      </c>
      <c r="F1517" s="35" t="s">
        <v>4265</v>
      </c>
      <c r="G1517" s="35" t="s">
        <v>4250</v>
      </c>
      <c r="H1517" s="19">
        <v>7165151000</v>
      </c>
      <c r="I1517" s="19" t="s">
        <v>126</v>
      </c>
      <c r="J1517" s="19" t="s">
        <v>37</v>
      </c>
      <c r="K1517" s="19" t="s">
        <v>37</v>
      </c>
      <c r="L1517" s="19" t="s">
        <v>4266</v>
      </c>
      <c r="M1517" s="19" t="s">
        <v>37</v>
      </c>
      <c r="N1517" s="19" t="s">
        <v>37</v>
      </c>
      <c r="O1517" s="19" t="s">
        <v>38</v>
      </c>
      <c r="P1517" s="19" t="s">
        <v>39</v>
      </c>
      <c r="Q1517" s="34">
        <v>46044</v>
      </c>
      <c r="R1517" s="35"/>
      <c r="S1517" s="35"/>
      <c r="T1517" s="35"/>
      <c r="U1517" s="35"/>
      <c r="V1517" s="35"/>
    </row>
    <row r="1518" spans="1:23">
      <c r="A1518" s="61">
        <v>46037</v>
      </c>
      <c r="B1518" s="35" t="s">
        <v>4267</v>
      </c>
      <c r="C1518" s="35" t="s">
        <v>3321</v>
      </c>
      <c r="D1518" s="35" t="s">
        <v>112</v>
      </c>
      <c r="E1518" s="35">
        <v>85387</v>
      </c>
      <c r="F1518" s="35" t="s">
        <v>4268</v>
      </c>
      <c r="G1518" s="36" t="s">
        <v>4250</v>
      </c>
      <c r="H1518" s="19">
        <v>2553232071</v>
      </c>
      <c r="I1518" s="19" t="s">
        <v>36</v>
      </c>
      <c r="J1518" s="19" t="s">
        <v>37</v>
      </c>
      <c r="K1518" s="19" t="s">
        <v>37</v>
      </c>
      <c r="L1518" s="19" t="s">
        <v>38</v>
      </c>
      <c r="M1518" s="19" t="s">
        <v>37</v>
      </c>
      <c r="N1518" s="19" t="s">
        <v>37</v>
      </c>
      <c r="O1518" s="19" t="s">
        <v>38</v>
      </c>
      <c r="P1518" s="19" t="s">
        <v>39</v>
      </c>
      <c r="Q1518" s="34">
        <v>46044</v>
      </c>
      <c r="R1518" s="35"/>
      <c r="S1518" s="35"/>
      <c r="T1518" s="35"/>
      <c r="U1518" s="35"/>
      <c r="V1518" s="35"/>
    </row>
    <row r="1519" spans="1:23">
      <c r="A1519" s="59">
        <v>46037</v>
      </c>
      <c r="B1519" s="33" t="s">
        <v>4269</v>
      </c>
      <c r="C1519" s="33" t="s">
        <v>284</v>
      </c>
      <c r="D1519" s="33" t="s">
        <v>202</v>
      </c>
      <c r="E1519" s="33">
        <v>85383</v>
      </c>
      <c r="F1519" s="33" t="s">
        <v>4270</v>
      </c>
      <c r="G1519" s="63" t="s">
        <v>4250</v>
      </c>
      <c r="H1519" s="43">
        <v>7114840000</v>
      </c>
      <c r="I1519" s="43" t="s">
        <v>36</v>
      </c>
      <c r="J1519" s="43" t="s">
        <v>37</v>
      </c>
      <c r="K1519" s="43" t="s">
        <v>37</v>
      </c>
      <c r="L1519" s="43" t="s">
        <v>38</v>
      </c>
      <c r="M1519" s="43" t="s">
        <v>38</v>
      </c>
      <c r="N1519" s="48">
        <v>811.15</v>
      </c>
      <c r="O1519" s="43" t="s">
        <v>38</v>
      </c>
      <c r="P1519" s="43"/>
      <c r="Q1519" s="42">
        <v>46044</v>
      </c>
      <c r="R1519" s="33" t="s">
        <v>4244</v>
      </c>
      <c r="S1519" s="33"/>
      <c r="T1519" s="33"/>
      <c r="U1519" s="33"/>
      <c r="V1519" s="33"/>
    </row>
    <row r="1520" spans="1:23">
      <c r="A1520" s="61">
        <v>46037</v>
      </c>
      <c r="B1520" s="35" t="s">
        <v>4271</v>
      </c>
      <c r="C1520" s="35" t="s">
        <v>697</v>
      </c>
      <c r="D1520" s="35" t="s">
        <v>63</v>
      </c>
      <c r="E1520" s="35">
        <v>85083</v>
      </c>
      <c r="F1520" s="35" t="s">
        <v>4272</v>
      </c>
      <c r="G1520" s="36" t="s">
        <v>4250</v>
      </c>
      <c r="H1520" s="19">
        <v>6945331000</v>
      </c>
      <c r="I1520" s="19" t="s">
        <v>36</v>
      </c>
      <c r="J1520" s="19" t="s">
        <v>37</v>
      </c>
      <c r="K1520" s="19" t="s">
        <v>37</v>
      </c>
      <c r="L1520" s="19" t="s">
        <v>38</v>
      </c>
      <c r="M1520" s="19" t="s">
        <v>37</v>
      </c>
      <c r="N1520" s="19" t="s">
        <v>37</v>
      </c>
      <c r="O1520" s="19" t="s">
        <v>38</v>
      </c>
      <c r="P1520" s="19" t="s">
        <v>39</v>
      </c>
      <c r="Q1520" s="34">
        <v>46044</v>
      </c>
      <c r="R1520" s="35" t="s">
        <v>4239</v>
      </c>
      <c r="S1520" s="35"/>
      <c r="T1520" s="35"/>
      <c r="U1520" s="35"/>
      <c r="V1520" s="35"/>
    </row>
    <row r="1521" spans="1:22">
      <c r="A1521" s="59">
        <v>46038</v>
      </c>
      <c r="B1521" s="33" t="s">
        <v>4273</v>
      </c>
      <c r="C1521" s="33" t="s">
        <v>102</v>
      </c>
      <c r="D1521" s="33" t="s">
        <v>112</v>
      </c>
      <c r="E1521" s="33">
        <v>85374</v>
      </c>
      <c r="F1521" s="33" t="s">
        <v>4274</v>
      </c>
      <c r="G1521" s="63" t="s">
        <v>4275</v>
      </c>
      <c r="H1521" s="43">
        <v>9880461000</v>
      </c>
      <c r="I1521" s="43" t="s">
        <v>196</v>
      </c>
      <c r="J1521" s="43" t="s">
        <v>37</v>
      </c>
      <c r="K1521" s="43" t="s">
        <v>37</v>
      </c>
      <c r="L1521" s="43" t="s">
        <v>4276</v>
      </c>
      <c r="M1521" s="43" t="s">
        <v>37</v>
      </c>
      <c r="N1521" s="43" t="s">
        <v>37</v>
      </c>
      <c r="O1521" s="43" t="s">
        <v>38</v>
      </c>
      <c r="P1521" s="43"/>
      <c r="Q1521" s="42">
        <v>46044</v>
      </c>
      <c r="R1521" s="33" t="s">
        <v>4004</v>
      </c>
      <c r="S1521" s="33"/>
      <c r="T1521" s="33"/>
      <c r="U1521" s="33"/>
      <c r="V1521" s="33"/>
    </row>
    <row r="1522" spans="1:22">
      <c r="A1522" s="59">
        <v>46038</v>
      </c>
      <c r="B1522" s="33" t="s">
        <v>4084</v>
      </c>
      <c r="C1522" s="33" t="s">
        <v>2793</v>
      </c>
      <c r="D1522" s="33" t="s">
        <v>63</v>
      </c>
      <c r="E1522" s="33">
        <v>85028</v>
      </c>
      <c r="F1522" s="33" t="s">
        <v>4277</v>
      </c>
      <c r="G1522" s="63" t="s">
        <v>4275</v>
      </c>
      <c r="H1522" s="64">
        <v>6651201000</v>
      </c>
      <c r="I1522" s="43" t="s">
        <v>196</v>
      </c>
      <c r="J1522" s="43" t="s">
        <v>37</v>
      </c>
      <c r="K1522" s="43" t="s">
        <v>37</v>
      </c>
      <c r="L1522" s="43" t="s">
        <v>4278</v>
      </c>
      <c r="M1522" s="43" t="s">
        <v>37</v>
      </c>
      <c r="N1522" s="43" t="s">
        <v>37</v>
      </c>
      <c r="O1522" s="43" t="s">
        <v>38</v>
      </c>
      <c r="P1522" s="43"/>
      <c r="Q1522" s="42">
        <v>46044</v>
      </c>
      <c r="R1522" s="33" t="s">
        <v>4004</v>
      </c>
      <c r="S1522" s="33"/>
      <c r="T1522" s="33"/>
      <c r="U1522" s="33"/>
      <c r="V1522" s="33"/>
    </row>
    <row r="1523" spans="1:22">
      <c r="A1523" s="61">
        <v>46038</v>
      </c>
      <c r="B1523" s="35" t="s">
        <v>4166</v>
      </c>
      <c r="C1523" s="35" t="s">
        <v>1596</v>
      </c>
      <c r="D1523" s="35" t="s">
        <v>125</v>
      </c>
      <c r="E1523" s="35">
        <v>85266</v>
      </c>
      <c r="F1523" s="35" t="s">
        <v>4279</v>
      </c>
      <c r="G1523" s="36" t="s">
        <v>4275</v>
      </c>
      <c r="H1523" s="19">
        <v>4232034608</v>
      </c>
      <c r="I1523" s="19" t="s">
        <v>541</v>
      </c>
      <c r="J1523" s="19" t="s">
        <v>37</v>
      </c>
      <c r="K1523" s="19" t="s">
        <v>37</v>
      </c>
      <c r="L1523" s="19" t="s">
        <v>4079</v>
      </c>
      <c r="M1523" s="19" t="s">
        <v>37</v>
      </c>
      <c r="N1523" s="19" t="s">
        <v>37</v>
      </c>
      <c r="O1523" s="19" t="s">
        <v>38</v>
      </c>
      <c r="P1523" s="19" t="s">
        <v>39</v>
      </c>
      <c r="Q1523" s="34">
        <v>46044</v>
      </c>
      <c r="R1523" s="35" t="s">
        <v>4280</v>
      </c>
      <c r="S1523" s="35"/>
      <c r="T1523" s="35"/>
      <c r="U1523" s="35"/>
      <c r="V1523" s="35"/>
    </row>
    <row r="1524" spans="1:22">
      <c r="A1524" s="61">
        <v>46038</v>
      </c>
      <c r="B1524" s="35" t="s">
        <v>4281</v>
      </c>
      <c r="C1524" s="35" t="s">
        <v>4282</v>
      </c>
      <c r="D1524" s="35" t="s">
        <v>63</v>
      </c>
      <c r="E1524" s="35">
        <v>85020</v>
      </c>
      <c r="F1524" s="35" t="s">
        <v>4283</v>
      </c>
      <c r="G1524" s="36" t="s">
        <v>4275</v>
      </c>
      <c r="H1524" s="19" t="s">
        <v>27</v>
      </c>
      <c r="I1524" s="19"/>
      <c r="J1524" s="19"/>
      <c r="K1524" s="19"/>
      <c r="L1524" s="19"/>
      <c r="M1524" s="19"/>
      <c r="N1524" s="19"/>
      <c r="O1524" s="19"/>
      <c r="P1524" s="19"/>
      <c r="Q1524" s="19"/>
      <c r="R1524" s="35"/>
      <c r="S1524" s="35"/>
      <c r="T1524" s="35"/>
      <c r="U1524" s="35"/>
      <c r="V1524" s="35"/>
    </row>
    <row r="1525" spans="1:22">
      <c r="A1525" s="61">
        <v>46038</v>
      </c>
      <c r="B1525" s="35" t="s">
        <v>3081</v>
      </c>
      <c r="C1525" s="35" t="s">
        <v>548</v>
      </c>
      <c r="D1525" s="35" t="s">
        <v>169</v>
      </c>
      <c r="E1525" s="35">
        <v>85338</v>
      </c>
      <c r="F1525" s="35" t="s">
        <v>4284</v>
      </c>
      <c r="G1525" s="36" t="s">
        <v>4275</v>
      </c>
      <c r="H1525" s="19">
        <v>5669951000</v>
      </c>
      <c r="I1525" s="19" t="s">
        <v>250</v>
      </c>
      <c r="J1525" s="19" t="s">
        <v>37</v>
      </c>
      <c r="K1525" s="19" t="s">
        <v>37</v>
      </c>
      <c r="L1525" s="19" t="s">
        <v>38</v>
      </c>
      <c r="M1525" s="19" t="s">
        <v>37</v>
      </c>
      <c r="N1525" s="19" t="s">
        <v>37</v>
      </c>
      <c r="O1525" s="19" t="s">
        <v>38</v>
      </c>
      <c r="P1525" s="19" t="s">
        <v>39</v>
      </c>
      <c r="Q1525" s="34">
        <v>46044</v>
      </c>
      <c r="R1525" s="35"/>
      <c r="S1525" s="35"/>
      <c r="T1525" s="35"/>
      <c r="U1525" s="35"/>
      <c r="V1525" s="35"/>
    </row>
    <row r="1526" spans="1:22">
      <c r="A1526" s="61">
        <v>46038</v>
      </c>
      <c r="B1526" s="35" t="s">
        <v>4285</v>
      </c>
      <c r="C1526" s="35" t="s">
        <v>594</v>
      </c>
      <c r="D1526" s="35" t="s">
        <v>125</v>
      </c>
      <c r="E1526" s="35">
        <v>85259</v>
      </c>
      <c r="F1526" s="35" t="s">
        <v>4286</v>
      </c>
      <c r="G1526" s="36" t="s">
        <v>4275</v>
      </c>
      <c r="H1526" s="19">
        <v>777430000</v>
      </c>
      <c r="I1526" s="19" t="s">
        <v>126</v>
      </c>
      <c r="J1526" s="19" t="s">
        <v>37</v>
      </c>
      <c r="K1526" s="19" t="s">
        <v>37</v>
      </c>
      <c r="L1526" s="19" t="s">
        <v>38</v>
      </c>
      <c r="M1526" s="19" t="s">
        <v>37</v>
      </c>
      <c r="N1526" s="19" t="s">
        <v>37</v>
      </c>
      <c r="O1526" s="19" t="s">
        <v>38</v>
      </c>
      <c r="P1526" s="19" t="s">
        <v>39</v>
      </c>
      <c r="Q1526" s="34">
        <v>46044</v>
      </c>
      <c r="R1526" s="35"/>
      <c r="S1526" s="35"/>
      <c r="T1526" s="35"/>
      <c r="U1526" s="35"/>
      <c r="V1526" s="35"/>
    </row>
    <row r="1527" spans="1:22">
      <c r="A1527" s="61">
        <v>46038</v>
      </c>
      <c r="B1527" s="35" t="s">
        <v>4287</v>
      </c>
      <c r="C1527" s="35" t="s">
        <v>4288</v>
      </c>
      <c r="D1527" s="35" t="s">
        <v>698</v>
      </c>
      <c r="E1527" s="35">
        <v>85375</v>
      </c>
      <c r="F1527" s="35" t="s">
        <v>4289</v>
      </c>
      <c r="G1527" s="36" t="s">
        <v>4275</v>
      </c>
      <c r="H1527" s="19">
        <v>6740473583</v>
      </c>
      <c r="I1527" s="19" t="s">
        <v>541</v>
      </c>
      <c r="J1527" s="19" t="s">
        <v>37</v>
      </c>
      <c r="K1527" s="19" t="s">
        <v>37</v>
      </c>
      <c r="L1527" s="19" t="s">
        <v>4079</v>
      </c>
      <c r="M1527" s="19" t="s">
        <v>37</v>
      </c>
      <c r="N1527" s="19" t="s">
        <v>37</v>
      </c>
      <c r="O1527" s="19" t="s">
        <v>38</v>
      </c>
      <c r="P1527" s="19" t="s">
        <v>39</v>
      </c>
      <c r="Q1527" s="34">
        <v>46044</v>
      </c>
      <c r="R1527" s="35"/>
      <c r="S1527" s="35"/>
      <c r="T1527" s="35"/>
      <c r="U1527" s="35"/>
      <c r="V1527" s="35"/>
    </row>
    <row r="1528" spans="1:22">
      <c r="A1528" s="61">
        <v>46042</v>
      </c>
      <c r="B1528" s="35" t="s">
        <v>4290</v>
      </c>
      <c r="C1528" s="35" t="s">
        <v>4291</v>
      </c>
      <c r="D1528" s="35" t="s">
        <v>63</v>
      </c>
      <c r="E1528" s="35">
        <v>85050</v>
      </c>
      <c r="F1528" s="35" t="s">
        <v>4292</v>
      </c>
      <c r="G1528" s="62" t="s">
        <v>4293</v>
      </c>
      <c r="H1528" s="19" t="s">
        <v>90</v>
      </c>
      <c r="I1528" s="19"/>
      <c r="J1528" s="19"/>
      <c r="K1528" s="19"/>
      <c r="L1528" s="19"/>
      <c r="M1528" s="19"/>
      <c r="N1528" s="19"/>
      <c r="O1528" s="19"/>
      <c r="P1528" s="19"/>
      <c r="Q1528" s="19"/>
      <c r="R1528" s="35"/>
      <c r="S1528" s="35"/>
      <c r="T1528" s="35"/>
      <c r="U1528" s="35"/>
      <c r="V1528" s="35"/>
    </row>
    <row r="1529" spans="1:22">
      <c r="A1529" s="61">
        <v>46042</v>
      </c>
      <c r="B1529" s="35" t="s">
        <v>4294</v>
      </c>
      <c r="C1529" s="35" t="s">
        <v>284</v>
      </c>
      <c r="D1529" s="35" t="s">
        <v>63</v>
      </c>
      <c r="E1529" s="35">
        <v>85032</v>
      </c>
      <c r="F1529" s="35" t="s">
        <v>4295</v>
      </c>
      <c r="G1529" s="35" t="s">
        <v>4293</v>
      </c>
      <c r="H1529" s="19">
        <v>4591500000</v>
      </c>
      <c r="I1529" s="19" t="s">
        <v>46</v>
      </c>
      <c r="J1529" s="19" t="s">
        <v>37</v>
      </c>
      <c r="K1529" s="19" t="s">
        <v>37</v>
      </c>
      <c r="L1529" s="19" t="s">
        <v>38</v>
      </c>
      <c r="M1529" s="19" t="s">
        <v>37</v>
      </c>
      <c r="N1529" s="19" t="s">
        <v>37</v>
      </c>
      <c r="O1529" s="19" t="s">
        <v>38</v>
      </c>
      <c r="P1529" s="19" t="s">
        <v>39</v>
      </c>
      <c r="Q1529" s="34">
        <v>46044</v>
      </c>
      <c r="R1529" s="35"/>
      <c r="S1529" s="35"/>
      <c r="T1529" s="35"/>
      <c r="U1529" s="35"/>
      <c r="V1529" s="35"/>
    </row>
    <row r="1530" spans="1:22">
      <c r="A1530" s="59">
        <v>46042</v>
      </c>
      <c r="B1530" s="33" t="s">
        <v>4296</v>
      </c>
      <c r="C1530" s="33" t="s">
        <v>139</v>
      </c>
      <c r="D1530" s="33" t="s">
        <v>63</v>
      </c>
      <c r="E1530" s="33">
        <v>85013</v>
      </c>
      <c r="F1530" s="33" t="s">
        <v>4297</v>
      </c>
      <c r="G1530" s="33" t="s">
        <v>4293</v>
      </c>
      <c r="H1530" s="43">
        <v>139488954</v>
      </c>
      <c r="I1530" s="43" t="s">
        <v>57</v>
      </c>
      <c r="J1530" s="43" t="s">
        <v>37</v>
      </c>
      <c r="K1530" s="43" t="s">
        <v>37</v>
      </c>
      <c r="L1530" s="43" t="s">
        <v>4298</v>
      </c>
      <c r="M1530" s="43" t="s">
        <v>37</v>
      </c>
      <c r="N1530" s="43" t="s">
        <v>37</v>
      </c>
      <c r="O1530" s="43" t="s">
        <v>38</v>
      </c>
      <c r="P1530" s="43"/>
      <c r="Q1530" s="42">
        <v>46044</v>
      </c>
      <c r="R1530" s="33" t="s">
        <v>4004</v>
      </c>
      <c r="S1530" s="33"/>
      <c r="T1530" s="33"/>
      <c r="U1530" s="33"/>
      <c r="V1530" s="33"/>
    </row>
    <row r="1531" spans="1:22">
      <c r="A1531" s="61">
        <v>46042</v>
      </c>
      <c r="B1531" s="35" t="s">
        <v>4299</v>
      </c>
      <c r="C1531" s="35" t="s">
        <v>481</v>
      </c>
      <c r="D1531" s="35" t="s">
        <v>63</v>
      </c>
      <c r="E1531" s="35">
        <v>85085</v>
      </c>
      <c r="F1531" s="35" t="s">
        <v>4300</v>
      </c>
      <c r="G1531" s="35" t="s">
        <v>4293</v>
      </c>
      <c r="H1531" s="19">
        <v>5852690207</v>
      </c>
      <c r="I1531" s="19" t="s">
        <v>46</v>
      </c>
      <c r="J1531" s="19" t="s">
        <v>37</v>
      </c>
      <c r="K1531" s="19" t="s">
        <v>37</v>
      </c>
      <c r="L1531" s="19" t="s">
        <v>38</v>
      </c>
      <c r="M1531" s="19" t="s">
        <v>37</v>
      </c>
      <c r="N1531" s="19" t="s">
        <v>37</v>
      </c>
      <c r="O1531" s="19" t="s">
        <v>38</v>
      </c>
      <c r="P1531" s="19" t="s">
        <v>39</v>
      </c>
      <c r="Q1531" s="34">
        <v>46044</v>
      </c>
      <c r="R1531" s="35"/>
      <c r="S1531" s="35"/>
      <c r="T1531" s="35"/>
      <c r="U1531" s="35"/>
      <c r="V1531" s="35"/>
    </row>
    <row r="1532" spans="1:22">
      <c r="A1532" s="61">
        <v>46042</v>
      </c>
      <c r="B1532" s="35" t="s">
        <v>4301</v>
      </c>
      <c r="C1532" s="35" t="s">
        <v>437</v>
      </c>
      <c r="D1532" s="35" t="s">
        <v>169</v>
      </c>
      <c r="E1532" s="35">
        <v>85395</v>
      </c>
      <c r="F1532" s="35" t="s">
        <v>4302</v>
      </c>
      <c r="G1532" s="62" t="s">
        <v>4303</v>
      </c>
      <c r="H1532" s="19">
        <v>629830000</v>
      </c>
      <c r="I1532" s="19" t="s">
        <v>1488</v>
      </c>
      <c r="J1532" s="19" t="s">
        <v>37</v>
      </c>
      <c r="K1532" s="19" t="s">
        <v>37</v>
      </c>
      <c r="L1532" s="19" t="s">
        <v>4079</v>
      </c>
      <c r="M1532" s="19" t="s">
        <v>37</v>
      </c>
      <c r="N1532" s="19" t="s">
        <v>37</v>
      </c>
      <c r="O1532" s="19" t="s">
        <v>38</v>
      </c>
      <c r="P1532" s="19" t="s">
        <v>39</v>
      </c>
      <c r="Q1532" s="19" t="s">
        <v>4304</v>
      </c>
      <c r="R1532" s="35"/>
      <c r="S1532" s="35"/>
      <c r="T1532" s="35"/>
      <c r="U1532" s="35"/>
      <c r="V1532" s="35"/>
    </row>
    <row r="1533" spans="1:22">
      <c r="A1533" s="61">
        <v>46043</v>
      </c>
      <c r="B1533" s="35" t="s">
        <v>4305</v>
      </c>
      <c r="C1533" s="35" t="s">
        <v>3791</v>
      </c>
      <c r="D1533" s="35" t="s">
        <v>174</v>
      </c>
      <c r="E1533" s="35">
        <v>85326</v>
      </c>
      <c r="F1533" s="35" t="s">
        <v>4306</v>
      </c>
      <c r="G1533" s="62" t="s">
        <v>4307</v>
      </c>
      <c r="H1533" s="19">
        <v>1107990000</v>
      </c>
      <c r="I1533" s="19" t="s">
        <v>4214</v>
      </c>
      <c r="J1533" s="19" t="s">
        <v>37</v>
      </c>
      <c r="K1533" s="19" t="s">
        <v>37</v>
      </c>
      <c r="L1533" s="19" t="s">
        <v>4079</v>
      </c>
      <c r="M1533" s="19" t="s">
        <v>37</v>
      </c>
      <c r="N1533" s="19" t="s">
        <v>37</v>
      </c>
      <c r="O1533" s="19" t="s">
        <v>38</v>
      </c>
      <c r="P1533" s="19" t="s">
        <v>39</v>
      </c>
      <c r="Q1533" s="34">
        <v>46049</v>
      </c>
      <c r="R1533" s="35"/>
      <c r="S1533" s="35"/>
      <c r="T1533" s="35"/>
      <c r="U1533" s="35"/>
      <c r="V1533" s="35"/>
    </row>
    <row r="1534" spans="1:22">
      <c r="A1534" s="59">
        <v>46043</v>
      </c>
      <c r="B1534" s="33" t="s">
        <v>4308</v>
      </c>
      <c r="C1534" s="33" t="s">
        <v>4309</v>
      </c>
      <c r="D1534" s="33" t="s">
        <v>169</v>
      </c>
      <c r="E1534" s="33">
        <v>85338</v>
      </c>
      <c r="F1534" s="33" t="s">
        <v>4310</v>
      </c>
      <c r="G1534" s="33" t="s">
        <v>4307</v>
      </c>
      <c r="H1534" s="43">
        <v>2947560540</v>
      </c>
      <c r="I1534" s="43" t="s">
        <v>4311</v>
      </c>
      <c r="J1534" s="43" t="s">
        <v>38</v>
      </c>
      <c r="K1534" s="43" t="s">
        <v>37</v>
      </c>
      <c r="L1534" s="43" t="s">
        <v>4312</v>
      </c>
      <c r="M1534" s="43" t="s">
        <v>38</v>
      </c>
      <c r="N1534" s="48">
        <v>681.89</v>
      </c>
      <c r="O1534" s="43" t="s">
        <v>38</v>
      </c>
      <c r="P1534" s="43"/>
      <c r="Q1534" s="42">
        <v>46049</v>
      </c>
      <c r="R1534" s="33" t="s">
        <v>4313</v>
      </c>
      <c r="S1534" s="33"/>
      <c r="T1534" s="33"/>
      <c r="U1534" s="33"/>
      <c r="V1534" s="33"/>
    </row>
    <row r="1535" spans="1:22">
      <c r="A1535" s="61">
        <v>46043</v>
      </c>
      <c r="B1535" s="35" t="s">
        <v>1019</v>
      </c>
      <c r="C1535" s="35" t="s">
        <v>4314</v>
      </c>
      <c r="D1535" s="35" t="s">
        <v>63</v>
      </c>
      <c r="E1535" s="35">
        <v>85032</v>
      </c>
      <c r="F1535" s="35" t="s">
        <v>4315</v>
      </c>
      <c r="G1535" s="35" t="s">
        <v>4307</v>
      </c>
      <c r="H1535" s="19">
        <v>6529860000</v>
      </c>
      <c r="I1535" s="19" t="s">
        <v>36</v>
      </c>
      <c r="J1535" s="19" t="s">
        <v>38</v>
      </c>
      <c r="K1535" s="19" t="s">
        <v>37</v>
      </c>
      <c r="L1535" s="19" t="s">
        <v>38</v>
      </c>
      <c r="M1535" s="19" t="s">
        <v>37</v>
      </c>
      <c r="N1535" s="19" t="s">
        <v>37</v>
      </c>
      <c r="O1535" s="19" t="s">
        <v>38</v>
      </c>
      <c r="P1535" s="19" t="s">
        <v>39</v>
      </c>
      <c r="Q1535" s="34">
        <v>46049</v>
      </c>
      <c r="R1535" s="35" t="s">
        <v>4316</v>
      </c>
      <c r="S1535" s="35"/>
      <c r="T1535" s="35"/>
      <c r="U1535" s="35"/>
      <c r="V1535" s="35"/>
    </row>
    <row r="1536" spans="1:22">
      <c r="A1536" s="61">
        <v>46043</v>
      </c>
      <c r="B1536" s="35" t="s">
        <v>4317</v>
      </c>
      <c r="C1536" s="35" t="s">
        <v>3436</v>
      </c>
      <c r="D1536" s="35" t="s">
        <v>24</v>
      </c>
      <c r="E1536" s="35">
        <v>85308</v>
      </c>
      <c r="F1536" s="35" t="s">
        <v>4318</v>
      </c>
      <c r="G1536" s="35" t="s">
        <v>4307</v>
      </c>
      <c r="H1536" s="19">
        <v>876477458</v>
      </c>
      <c r="I1536" s="19" t="s">
        <v>126</v>
      </c>
      <c r="J1536" s="19" t="s">
        <v>37</v>
      </c>
      <c r="K1536" s="19" t="s">
        <v>37</v>
      </c>
      <c r="L1536" s="19" t="s">
        <v>38</v>
      </c>
      <c r="M1536" s="19" t="s">
        <v>37</v>
      </c>
      <c r="N1536" s="19" t="s">
        <v>37</v>
      </c>
      <c r="O1536" s="19" t="s">
        <v>38</v>
      </c>
      <c r="P1536" s="19" t="s">
        <v>39</v>
      </c>
      <c r="Q1536" s="34">
        <v>46049</v>
      </c>
      <c r="R1536" s="35" t="s">
        <v>4319</v>
      </c>
      <c r="S1536" s="35"/>
      <c r="T1536" s="35"/>
      <c r="U1536" s="35"/>
      <c r="V1536" s="35"/>
    </row>
    <row r="1537" spans="1:22">
      <c r="A1537" s="61">
        <v>46043</v>
      </c>
      <c r="B1537" s="35" t="s">
        <v>4320</v>
      </c>
      <c r="C1537" s="35" t="s">
        <v>4321</v>
      </c>
      <c r="D1537" s="35" t="s">
        <v>202</v>
      </c>
      <c r="E1537" s="35">
        <v>85383</v>
      </c>
      <c r="F1537" s="35" t="s">
        <v>4322</v>
      </c>
      <c r="G1537" s="35" t="s">
        <v>4307</v>
      </c>
      <c r="H1537" s="19" t="s">
        <v>27</v>
      </c>
      <c r="I1537" s="19"/>
      <c r="J1537" s="19"/>
      <c r="K1537" s="19"/>
      <c r="L1537" s="19"/>
      <c r="M1537" s="19"/>
      <c r="N1537" s="19"/>
      <c r="O1537" s="19"/>
      <c r="P1537" s="19"/>
      <c r="Q1537" s="19"/>
      <c r="R1537" s="35"/>
      <c r="S1537" s="35"/>
      <c r="T1537" s="35"/>
      <c r="U1537" s="35"/>
      <c r="V1537" s="35"/>
    </row>
    <row r="1538" spans="1:22">
      <c r="A1538" s="61">
        <v>46043</v>
      </c>
      <c r="B1538" s="35" t="s">
        <v>1222</v>
      </c>
      <c r="C1538" s="35" t="s">
        <v>2931</v>
      </c>
      <c r="D1538" s="35" t="s">
        <v>125</v>
      </c>
      <c r="E1538" s="35">
        <v>85254</v>
      </c>
      <c r="F1538" s="35" t="s">
        <v>4323</v>
      </c>
      <c r="G1538" s="35" t="s">
        <v>4307</v>
      </c>
      <c r="H1538" s="19">
        <v>5636251000</v>
      </c>
      <c r="I1538" s="19" t="s">
        <v>36</v>
      </c>
      <c r="J1538" s="19" t="s">
        <v>37</v>
      </c>
      <c r="K1538" s="19" t="s">
        <v>37</v>
      </c>
      <c r="L1538" s="19" t="s">
        <v>38</v>
      </c>
      <c r="M1538" s="19" t="s">
        <v>37</v>
      </c>
      <c r="N1538" s="19" t="s">
        <v>37</v>
      </c>
      <c r="O1538" s="19" t="s">
        <v>38</v>
      </c>
      <c r="P1538" s="19" t="s">
        <v>39</v>
      </c>
      <c r="Q1538" s="34">
        <v>46049</v>
      </c>
      <c r="R1538" s="35"/>
      <c r="S1538" s="35"/>
      <c r="T1538" s="35"/>
      <c r="U1538" s="35"/>
      <c r="V1538" s="35"/>
    </row>
    <row r="1539" spans="1:22">
      <c r="A1539" s="61">
        <v>46043</v>
      </c>
      <c r="B1539" s="35" t="s">
        <v>4324</v>
      </c>
      <c r="C1539" s="35" t="s">
        <v>4325</v>
      </c>
      <c r="D1539" s="35" t="s">
        <v>125</v>
      </c>
      <c r="E1539" s="35">
        <v>85254</v>
      </c>
      <c r="F1539" s="35" t="s">
        <v>4326</v>
      </c>
      <c r="G1539" s="35" t="s">
        <v>4307</v>
      </c>
      <c r="H1539" s="19">
        <v>2726500000</v>
      </c>
      <c r="I1539" s="19" t="s">
        <v>3887</v>
      </c>
      <c r="J1539" s="19" t="s">
        <v>37</v>
      </c>
      <c r="K1539" s="19" t="s">
        <v>37</v>
      </c>
      <c r="L1539" s="19" t="s">
        <v>4079</v>
      </c>
      <c r="M1539" s="19" t="s">
        <v>37</v>
      </c>
      <c r="N1539" s="19" t="s">
        <v>37</v>
      </c>
      <c r="O1539" s="19" t="s">
        <v>38</v>
      </c>
      <c r="P1539" s="19" t="s">
        <v>39</v>
      </c>
      <c r="Q1539" s="34">
        <v>46049</v>
      </c>
      <c r="R1539" s="35"/>
      <c r="S1539" s="35"/>
      <c r="T1539" s="35"/>
      <c r="U1539" s="35"/>
      <c r="V1539" s="35"/>
    </row>
    <row r="1540" spans="1:22">
      <c r="A1540" s="61">
        <v>46043</v>
      </c>
      <c r="B1540" s="35" t="s">
        <v>4327</v>
      </c>
      <c r="C1540" s="35" t="s">
        <v>991</v>
      </c>
      <c r="D1540" s="35" t="s">
        <v>2641</v>
      </c>
      <c r="E1540" s="35">
        <v>85087</v>
      </c>
      <c r="F1540" s="35" t="s">
        <v>4328</v>
      </c>
      <c r="G1540" s="35" t="s">
        <v>4307</v>
      </c>
      <c r="H1540" s="19">
        <v>2729421000</v>
      </c>
      <c r="I1540" s="19" t="s">
        <v>36</v>
      </c>
      <c r="J1540" s="19" t="s">
        <v>37</v>
      </c>
      <c r="K1540" s="19" t="s">
        <v>37</v>
      </c>
      <c r="L1540" s="19" t="s">
        <v>38</v>
      </c>
      <c r="M1540" s="19" t="s">
        <v>37</v>
      </c>
      <c r="N1540" s="19" t="s">
        <v>37</v>
      </c>
      <c r="O1540" s="19" t="s">
        <v>38</v>
      </c>
      <c r="P1540" s="19" t="s">
        <v>39</v>
      </c>
      <c r="Q1540" s="34">
        <v>46049</v>
      </c>
      <c r="R1540" s="35"/>
      <c r="S1540" s="35"/>
      <c r="T1540" s="35"/>
      <c r="U1540" s="35"/>
      <c r="V1540" s="35"/>
    </row>
    <row r="1541" spans="1:22">
      <c r="A1541" s="61">
        <v>46043</v>
      </c>
      <c r="B1541" s="35" t="s">
        <v>4329</v>
      </c>
      <c r="C1541" s="35" t="s">
        <v>3327</v>
      </c>
      <c r="D1541" s="35" t="s">
        <v>63</v>
      </c>
      <c r="E1541" s="35">
        <v>85013</v>
      </c>
      <c r="F1541" s="35" t="s">
        <v>4330</v>
      </c>
      <c r="G1541" s="35" t="s">
        <v>4307</v>
      </c>
      <c r="H1541" s="19">
        <v>6975666837</v>
      </c>
      <c r="I1541" s="19" t="s">
        <v>4311</v>
      </c>
      <c r="J1541" s="19" t="s">
        <v>37</v>
      </c>
      <c r="K1541" s="19" t="s">
        <v>37</v>
      </c>
      <c r="L1541" s="19" t="s">
        <v>38</v>
      </c>
      <c r="M1541" s="19" t="s">
        <v>37</v>
      </c>
      <c r="N1541" s="19" t="s">
        <v>37</v>
      </c>
      <c r="O1541" s="19" t="s">
        <v>38</v>
      </c>
      <c r="P1541" s="19" t="s">
        <v>39</v>
      </c>
      <c r="Q1541" s="34">
        <v>46049</v>
      </c>
      <c r="R1541" s="35"/>
      <c r="S1541" s="35"/>
      <c r="T1541" s="35"/>
      <c r="U1541" s="35"/>
      <c r="V1541" s="35"/>
    </row>
    <row r="1542" spans="1:22">
      <c r="A1542" s="61">
        <v>46043</v>
      </c>
      <c r="B1542" s="35" t="s">
        <v>4331</v>
      </c>
      <c r="C1542" s="35" t="s">
        <v>879</v>
      </c>
      <c r="D1542" s="35" t="s">
        <v>2429</v>
      </c>
      <c r="E1542" s="35">
        <v>85132</v>
      </c>
      <c r="F1542" s="35" t="s">
        <v>4332</v>
      </c>
      <c r="G1542" s="35" t="s">
        <v>4307</v>
      </c>
      <c r="H1542" s="19">
        <v>836129855</v>
      </c>
      <c r="I1542" s="19" t="s">
        <v>36</v>
      </c>
      <c r="J1542" s="19" t="s">
        <v>37</v>
      </c>
      <c r="K1542" s="19" t="s">
        <v>37</v>
      </c>
      <c r="L1542" s="19" t="s">
        <v>38</v>
      </c>
      <c r="M1542" s="19" t="s">
        <v>37</v>
      </c>
      <c r="N1542" s="19" t="s">
        <v>37</v>
      </c>
      <c r="O1542" s="19" t="s">
        <v>38</v>
      </c>
      <c r="P1542" s="19" t="s">
        <v>39</v>
      </c>
      <c r="Q1542" s="34">
        <v>46049</v>
      </c>
      <c r="R1542" s="35"/>
      <c r="S1542" s="35"/>
      <c r="T1542" s="35"/>
      <c r="U1542" s="35"/>
      <c r="V1542" s="35"/>
    </row>
    <row r="1543" spans="1:22">
      <c r="A1543" s="61">
        <v>46043</v>
      </c>
      <c r="B1543" s="35" t="s">
        <v>4333</v>
      </c>
      <c r="C1543" s="35" t="s">
        <v>4334</v>
      </c>
      <c r="D1543" s="35" t="s">
        <v>112</v>
      </c>
      <c r="E1543" s="35">
        <v>85374</v>
      </c>
      <c r="F1543" s="35" t="s">
        <v>4335</v>
      </c>
      <c r="G1543" s="35" t="s">
        <v>4307</v>
      </c>
      <c r="H1543" s="19">
        <v>8492801026</v>
      </c>
      <c r="I1543" s="19" t="s">
        <v>36</v>
      </c>
      <c r="J1543" s="19" t="s">
        <v>37</v>
      </c>
      <c r="K1543" s="19" t="s">
        <v>37</v>
      </c>
      <c r="L1543" s="19" t="s">
        <v>38</v>
      </c>
      <c r="M1543" s="19" t="s">
        <v>37</v>
      </c>
      <c r="N1543" s="19" t="s">
        <v>37</v>
      </c>
      <c r="O1543" s="19" t="s">
        <v>38</v>
      </c>
      <c r="P1543" s="19" t="s">
        <v>39</v>
      </c>
      <c r="Q1543" s="34">
        <v>46049</v>
      </c>
      <c r="R1543" s="35"/>
      <c r="S1543" s="35"/>
      <c r="T1543" s="35"/>
      <c r="U1543" s="35"/>
      <c r="V1543" s="35"/>
    </row>
    <row r="1544" spans="1:22">
      <c r="A1544" s="61">
        <v>46043</v>
      </c>
      <c r="B1544" s="35" t="s">
        <v>4336</v>
      </c>
      <c r="C1544" s="35" t="s">
        <v>4337</v>
      </c>
      <c r="D1544" s="35" t="s">
        <v>261</v>
      </c>
      <c r="E1544" s="35">
        <v>86314</v>
      </c>
      <c r="F1544" s="35" t="s">
        <v>4338</v>
      </c>
      <c r="G1544" s="35" t="s">
        <v>4307</v>
      </c>
      <c r="H1544" s="19">
        <v>5226342152</v>
      </c>
      <c r="I1544" s="19" t="s">
        <v>73</v>
      </c>
      <c r="J1544" s="19" t="s">
        <v>37</v>
      </c>
      <c r="K1544" s="19" t="s">
        <v>37</v>
      </c>
      <c r="L1544" s="19" t="s">
        <v>38</v>
      </c>
      <c r="M1544" s="19" t="s">
        <v>37</v>
      </c>
      <c r="N1544" s="19" t="s">
        <v>37</v>
      </c>
      <c r="O1544" s="19" t="s">
        <v>38</v>
      </c>
      <c r="P1544" s="19" t="s">
        <v>39</v>
      </c>
      <c r="Q1544" s="34">
        <v>46049</v>
      </c>
      <c r="R1544" s="35"/>
      <c r="S1544" s="35"/>
      <c r="T1544" s="35"/>
      <c r="U1544" s="35"/>
      <c r="V1544" s="35"/>
    </row>
    <row r="1545" spans="1:22">
      <c r="A1545" s="61">
        <v>46043</v>
      </c>
      <c r="B1545" s="35" t="s">
        <v>4339</v>
      </c>
      <c r="C1545" s="35" t="s">
        <v>1310</v>
      </c>
      <c r="D1545" s="35" t="s">
        <v>2429</v>
      </c>
      <c r="E1545" s="35">
        <v>85132</v>
      </c>
      <c r="F1545" s="35" t="s">
        <v>4340</v>
      </c>
      <c r="G1545" s="35" t="s">
        <v>4307</v>
      </c>
      <c r="H1545" s="19">
        <v>9928983381</v>
      </c>
      <c r="I1545" s="19" t="s">
        <v>36</v>
      </c>
      <c r="J1545" s="19" t="s">
        <v>37</v>
      </c>
      <c r="K1545" s="19" t="s">
        <v>37</v>
      </c>
      <c r="L1545" s="19" t="s">
        <v>38</v>
      </c>
      <c r="M1545" s="19" t="s">
        <v>37</v>
      </c>
      <c r="N1545" s="19" t="s">
        <v>37</v>
      </c>
      <c r="O1545" s="19" t="s">
        <v>38</v>
      </c>
      <c r="P1545" s="19" t="s">
        <v>39</v>
      </c>
      <c r="Q1545" s="34">
        <v>46049</v>
      </c>
      <c r="R1545" s="35"/>
      <c r="S1545" s="35"/>
      <c r="T1545" s="35"/>
      <c r="U1545" s="35"/>
      <c r="V1545" s="35"/>
    </row>
    <row r="1546" spans="1:22">
      <c r="A1546" s="61">
        <v>46043</v>
      </c>
      <c r="B1546" s="35" t="s">
        <v>4341</v>
      </c>
      <c r="C1546" s="35" t="s">
        <v>4342</v>
      </c>
      <c r="D1546" s="35" t="s">
        <v>63</v>
      </c>
      <c r="E1546" s="35">
        <v>85023</v>
      </c>
      <c r="F1546" s="35" t="s">
        <v>3756</v>
      </c>
      <c r="G1546" s="35" t="s">
        <v>4307</v>
      </c>
      <c r="H1546" s="19">
        <v>3500289152</v>
      </c>
      <c r="I1546" s="19" t="s">
        <v>73</v>
      </c>
      <c r="J1546" s="19" t="s">
        <v>37</v>
      </c>
      <c r="K1546" s="19" t="s">
        <v>37</v>
      </c>
      <c r="L1546" s="19" t="s">
        <v>38</v>
      </c>
      <c r="M1546" s="19" t="s">
        <v>37</v>
      </c>
      <c r="N1546" s="19" t="s">
        <v>37</v>
      </c>
      <c r="O1546" s="19" t="s">
        <v>38</v>
      </c>
      <c r="P1546" s="19" t="s">
        <v>39</v>
      </c>
      <c r="Q1546" s="34">
        <v>46049</v>
      </c>
      <c r="R1546" s="35"/>
      <c r="S1546" s="35"/>
      <c r="T1546" s="35"/>
      <c r="U1546" s="35"/>
      <c r="V1546" s="35"/>
    </row>
    <row r="1547" spans="1:22">
      <c r="A1547" s="61">
        <v>46043</v>
      </c>
      <c r="B1547" s="35" t="s">
        <v>4343</v>
      </c>
      <c r="C1547" s="35" t="s">
        <v>4344</v>
      </c>
      <c r="D1547" s="35" t="s">
        <v>63</v>
      </c>
      <c r="E1547" s="35">
        <v>85353</v>
      </c>
      <c r="F1547" s="35" t="s">
        <v>4310</v>
      </c>
      <c r="G1547" s="35" t="s">
        <v>4307</v>
      </c>
      <c r="H1547" s="19" t="s">
        <v>27</v>
      </c>
      <c r="I1547" s="19"/>
      <c r="J1547" s="19"/>
      <c r="K1547" s="19"/>
      <c r="L1547" s="19"/>
      <c r="M1547" s="19"/>
      <c r="N1547" s="19"/>
      <c r="O1547" s="19"/>
      <c r="P1547" s="19"/>
      <c r="Q1547" s="19"/>
      <c r="R1547" s="35"/>
      <c r="S1547" s="35"/>
      <c r="T1547" s="35"/>
      <c r="U1547" s="35"/>
      <c r="V1547" s="35"/>
    </row>
    <row r="1548" spans="1:22">
      <c r="A1548" s="61">
        <v>46043</v>
      </c>
      <c r="B1548" s="35" t="s">
        <v>4345</v>
      </c>
      <c r="C1548" s="35" t="s">
        <v>747</v>
      </c>
      <c r="D1548" s="35" t="s">
        <v>68</v>
      </c>
      <c r="E1548" s="35">
        <v>85331</v>
      </c>
      <c r="F1548" s="35" t="s">
        <v>4346</v>
      </c>
      <c r="G1548" s="35" t="s">
        <v>4307</v>
      </c>
      <c r="H1548" s="19">
        <v>8321721000</v>
      </c>
      <c r="I1548" s="19" t="s">
        <v>36</v>
      </c>
      <c r="J1548" s="19" t="s">
        <v>37</v>
      </c>
      <c r="K1548" s="19" t="s">
        <v>37</v>
      </c>
      <c r="L1548" s="19" t="s">
        <v>38</v>
      </c>
      <c r="M1548" s="19" t="s">
        <v>37</v>
      </c>
      <c r="N1548" s="19" t="s">
        <v>37</v>
      </c>
      <c r="O1548" s="19" t="s">
        <v>38</v>
      </c>
      <c r="P1548" s="19" t="s">
        <v>39</v>
      </c>
      <c r="Q1548" s="34">
        <v>46049</v>
      </c>
      <c r="R1548" s="35"/>
      <c r="S1548" s="35"/>
      <c r="T1548" s="35"/>
      <c r="U1548" s="35"/>
      <c r="V1548" s="35"/>
    </row>
    <row r="1549" spans="1:22">
      <c r="A1549" s="59">
        <v>46043</v>
      </c>
      <c r="B1549" s="33" t="s">
        <v>4347</v>
      </c>
      <c r="C1549" s="33" t="s">
        <v>3766</v>
      </c>
      <c r="D1549" s="33" t="s">
        <v>169</v>
      </c>
      <c r="E1549" s="33">
        <v>85338</v>
      </c>
      <c r="F1549" s="33" t="s">
        <v>4348</v>
      </c>
      <c r="G1549" s="33" t="s">
        <v>4307</v>
      </c>
      <c r="H1549" s="43">
        <v>1232541000</v>
      </c>
      <c r="I1549" s="43" t="s">
        <v>196</v>
      </c>
      <c r="J1549" s="43" t="s">
        <v>37</v>
      </c>
      <c r="K1549" s="43" t="s">
        <v>37</v>
      </c>
      <c r="L1549" s="43" t="s">
        <v>4349</v>
      </c>
      <c r="M1549" s="43" t="s">
        <v>37</v>
      </c>
      <c r="N1549" s="43" t="s">
        <v>37</v>
      </c>
      <c r="O1549" s="43" t="s">
        <v>38</v>
      </c>
      <c r="P1549" s="43"/>
      <c r="Q1549" s="42">
        <v>46049</v>
      </c>
      <c r="R1549" s="33" t="s">
        <v>4004</v>
      </c>
      <c r="S1549" s="33"/>
      <c r="T1549" s="33"/>
      <c r="U1549" s="33"/>
      <c r="V1549" s="33"/>
    </row>
    <row r="1550" spans="1:22">
      <c r="A1550" s="61">
        <v>46043</v>
      </c>
      <c r="B1550" s="35" t="s">
        <v>2187</v>
      </c>
      <c r="C1550" s="35" t="s">
        <v>263</v>
      </c>
      <c r="D1550" s="35" t="s">
        <v>504</v>
      </c>
      <c r="E1550" s="35">
        <v>86004</v>
      </c>
      <c r="F1550" s="35" t="s">
        <v>4350</v>
      </c>
      <c r="G1550" s="35" t="s">
        <v>4307</v>
      </c>
      <c r="H1550" s="19" t="s">
        <v>90</v>
      </c>
      <c r="I1550" s="19"/>
      <c r="J1550" s="19"/>
      <c r="K1550" s="19"/>
      <c r="L1550" s="19"/>
      <c r="M1550" s="19"/>
      <c r="N1550" s="19"/>
      <c r="O1550" s="19"/>
      <c r="P1550" s="19"/>
      <c r="Q1550" s="19"/>
      <c r="R1550" s="35"/>
      <c r="S1550" s="35"/>
      <c r="T1550" s="35"/>
      <c r="U1550" s="35"/>
      <c r="V1550" s="35"/>
    </row>
    <row r="1551" spans="1:22">
      <c r="A1551" s="61">
        <v>46043</v>
      </c>
      <c r="B1551" s="35" t="s">
        <v>4351</v>
      </c>
      <c r="C1551" s="35" t="s">
        <v>4352</v>
      </c>
      <c r="D1551" s="35" t="s">
        <v>63</v>
      </c>
      <c r="E1551" s="35">
        <v>85021</v>
      </c>
      <c r="F1551" s="35" t="s">
        <v>4353</v>
      </c>
      <c r="G1551" s="35" t="s">
        <v>4307</v>
      </c>
      <c r="H1551" s="19" t="s">
        <v>90</v>
      </c>
      <c r="I1551" s="19"/>
      <c r="J1551" s="19"/>
      <c r="K1551" s="19"/>
      <c r="L1551" s="19"/>
      <c r="M1551" s="19"/>
      <c r="N1551" s="19"/>
      <c r="O1551" s="19"/>
      <c r="P1551" s="19"/>
      <c r="Q1551" s="19"/>
      <c r="R1551" s="35"/>
      <c r="S1551" s="35"/>
      <c r="T1551" s="35"/>
      <c r="U1551" s="35"/>
      <c r="V1551" s="35"/>
    </row>
    <row r="1552" spans="1:22">
      <c r="A1552" s="61">
        <v>46043</v>
      </c>
      <c r="B1552" s="35" t="s">
        <v>4354</v>
      </c>
      <c r="C1552" s="35" t="s">
        <v>1815</v>
      </c>
      <c r="D1552" s="35" t="s">
        <v>63</v>
      </c>
      <c r="E1552" s="35">
        <v>85013</v>
      </c>
      <c r="F1552" s="35" t="s">
        <v>4355</v>
      </c>
      <c r="G1552" s="35" t="s">
        <v>4307</v>
      </c>
      <c r="H1552" s="19">
        <v>4539057378</v>
      </c>
      <c r="I1552" s="19" t="s">
        <v>73</v>
      </c>
      <c r="J1552" s="19" t="s">
        <v>37</v>
      </c>
      <c r="K1552" s="19" t="s">
        <v>37</v>
      </c>
      <c r="L1552" s="19" t="s">
        <v>38</v>
      </c>
      <c r="M1552" s="19" t="s">
        <v>37</v>
      </c>
      <c r="N1552" s="19" t="s">
        <v>37</v>
      </c>
      <c r="O1552" s="19" t="s">
        <v>38</v>
      </c>
      <c r="P1552" s="19" t="s">
        <v>39</v>
      </c>
      <c r="Q1552" s="34">
        <v>46049</v>
      </c>
      <c r="R1552" s="35"/>
      <c r="S1552" s="35"/>
      <c r="T1552" s="35"/>
      <c r="U1552" s="35"/>
      <c r="V1552" s="35"/>
    </row>
    <row r="1553" spans="1:22">
      <c r="A1553" s="59">
        <v>46043</v>
      </c>
      <c r="B1553" s="33" t="s">
        <v>4356</v>
      </c>
      <c r="C1553" s="33" t="s">
        <v>3687</v>
      </c>
      <c r="D1553" s="33" t="s">
        <v>63</v>
      </c>
      <c r="E1553" s="33">
        <v>85027</v>
      </c>
      <c r="F1553" s="33" t="s">
        <v>4357</v>
      </c>
      <c r="G1553" s="33" t="s">
        <v>4307</v>
      </c>
      <c r="H1553" s="43">
        <v>8223980000</v>
      </c>
      <c r="I1553" s="43" t="s">
        <v>57</v>
      </c>
      <c r="J1553" s="43" t="s">
        <v>37</v>
      </c>
      <c r="K1553" s="43" t="s">
        <v>37</v>
      </c>
      <c r="L1553" s="43" t="s">
        <v>4358</v>
      </c>
      <c r="M1553" s="43" t="s">
        <v>37</v>
      </c>
      <c r="N1553" s="43" t="s">
        <v>37</v>
      </c>
      <c r="O1553" s="43" t="s">
        <v>38</v>
      </c>
      <c r="P1553" s="43"/>
      <c r="Q1553" s="42">
        <v>46049</v>
      </c>
      <c r="R1553" s="33" t="s">
        <v>4004</v>
      </c>
      <c r="S1553" s="33"/>
      <c r="T1553" s="33"/>
      <c r="U1553" s="33"/>
      <c r="V1553" s="33"/>
    </row>
    <row r="1554" spans="1:22">
      <c r="A1554" s="61">
        <v>46043</v>
      </c>
      <c r="B1554" s="35" t="s">
        <v>4359</v>
      </c>
      <c r="C1554" s="35" t="s">
        <v>79</v>
      </c>
      <c r="D1554" s="35" t="s">
        <v>24</v>
      </c>
      <c r="E1554" s="35">
        <v>85301</v>
      </c>
      <c r="F1554" s="35" t="s">
        <v>4360</v>
      </c>
      <c r="G1554" s="35" t="s">
        <v>4307</v>
      </c>
      <c r="H1554" s="19">
        <v>3110727023</v>
      </c>
      <c r="I1554" s="19" t="s">
        <v>126</v>
      </c>
      <c r="J1554" s="19" t="s">
        <v>37</v>
      </c>
      <c r="K1554" s="19" t="s">
        <v>37</v>
      </c>
      <c r="L1554" s="19" t="s">
        <v>4361</v>
      </c>
      <c r="M1554" s="19" t="s">
        <v>38</v>
      </c>
      <c r="N1554" s="19">
        <v>43.34</v>
      </c>
      <c r="O1554" s="19" t="s">
        <v>38</v>
      </c>
      <c r="P1554" s="19" t="s">
        <v>39</v>
      </c>
      <c r="Q1554" s="34">
        <v>45684</v>
      </c>
      <c r="R1554" s="35"/>
      <c r="S1554" s="35"/>
      <c r="T1554" s="35"/>
      <c r="U1554" s="35"/>
      <c r="V1554" s="35"/>
    </row>
    <row r="1555" spans="1:22">
      <c r="A1555" s="61">
        <v>46043</v>
      </c>
      <c r="B1555" s="35" t="s">
        <v>4362</v>
      </c>
      <c r="C1555" s="35" t="s">
        <v>252</v>
      </c>
      <c r="D1555" s="35" t="s">
        <v>63</v>
      </c>
      <c r="E1555" s="35">
        <v>85013</v>
      </c>
      <c r="F1555" s="35" t="s">
        <v>4363</v>
      </c>
      <c r="G1555" s="35" t="s">
        <v>4307</v>
      </c>
      <c r="H1555" s="19">
        <v>8910276728</v>
      </c>
      <c r="I1555" s="19" t="s">
        <v>73</v>
      </c>
      <c r="J1555" s="19" t="s">
        <v>37</v>
      </c>
      <c r="K1555" s="19" t="s">
        <v>37</v>
      </c>
      <c r="L1555" s="19" t="s">
        <v>38</v>
      </c>
      <c r="M1555" s="19" t="s">
        <v>37</v>
      </c>
      <c r="N1555" s="19" t="s">
        <v>37</v>
      </c>
      <c r="O1555" s="19" t="s">
        <v>38</v>
      </c>
      <c r="P1555" s="19" t="s">
        <v>39</v>
      </c>
      <c r="Q1555" s="34">
        <v>46049</v>
      </c>
      <c r="R1555" s="35"/>
      <c r="S1555" s="35"/>
      <c r="T1555" s="35"/>
      <c r="U1555" s="35"/>
      <c r="V1555" s="35"/>
    </row>
    <row r="1556" spans="1:22">
      <c r="A1556" s="61">
        <v>46043</v>
      </c>
      <c r="B1556" s="35" t="s">
        <v>4364</v>
      </c>
      <c r="C1556" s="35" t="s">
        <v>252</v>
      </c>
      <c r="D1556" s="35" t="s">
        <v>202</v>
      </c>
      <c r="E1556" s="35">
        <v>85345</v>
      </c>
      <c r="F1556" s="35" t="s">
        <v>4365</v>
      </c>
      <c r="G1556" s="35" t="s">
        <v>4307</v>
      </c>
      <c r="H1556" s="19" t="s">
        <v>27</v>
      </c>
      <c r="I1556" s="19"/>
      <c r="J1556" s="19"/>
      <c r="K1556" s="19"/>
      <c r="L1556" s="19"/>
      <c r="M1556" s="19"/>
      <c r="N1556" s="19"/>
      <c r="O1556" s="19"/>
      <c r="P1556" s="19"/>
      <c r="Q1556" s="19"/>
      <c r="R1556" s="35"/>
      <c r="S1556" s="35"/>
      <c r="T1556" s="35"/>
      <c r="U1556" s="35"/>
      <c r="V1556" s="35"/>
    </row>
    <row r="1557" spans="1:22">
      <c r="A1557" s="61">
        <v>46043</v>
      </c>
      <c r="B1557" s="35" t="s">
        <v>74</v>
      </c>
      <c r="C1557" s="35" t="s">
        <v>4366</v>
      </c>
      <c r="D1557" s="35" t="s">
        <v>202</v>
      </c>
      <c r="E1557" s="35">
        <v>85383</v>
      </c>
      <c r="F1557" s="35" t="s">
        <v>4367</v>
      </c>
      <c r="G1557" s="62" t="s">
        <v>4368</v>
      </c>
      <c r="H1557" s="19">
        <v>2349858876</v>
      </c>
      <c r="I1557" s="19" t="s">
        <v>1040</v>
      </c>
      <c r="J1557" s="19" t="s">
        <v>37</v>
      </c>
      <c r="K1557" s="19" t="s">
        <v>37</v>
      </c>
      <c r="L1557" s="19" t="s">
        <v>38</v>
      </c>
      <c r="M1557" s="19" t="s">
        <v>37</v>
      </c>
      <c r="N1557" s="19" t="s">
        <v>37</v>
      </c>
      <c r="O1557" s="19" t="s">
        <v>38</v>
      </c>
      <c r="P1557" s="19" t="s">
        <v>39</v>
      </c>
      <c r="Q1557" s="34">
        <v>46049</v>
      </c>
      <c r="R1557" s="35" t="s">
        <v>4316</v>
      </c>
      <c r="S1557" s="35"/>
      <c r="T1557" s="35"/>
      <c r="U1557" s="35"/>
      <c r="V1557" s="35"/>
    </row>
    <row r="1558" spans="1:22">
      <c r="A1558" s="61">
        <v>46043</v>
      </c>
      <c r="B1558" s="35" t="s">
        <v>4369</v>
      </c>
      <c r="C1558" s="35" t="s">
        <v>757</v>
      </c>
      <c r="D1558" s="35" t="s">
        <v>169</v>
      </c>
      <c r="E1558" s="35">
        <v>85395</v>
      </c>
      <c r="F1558" s="35" t="s">
        <v>4370</v>
      </c>
      <c r="G1558" s="62" t="s">
        <v>4368</v>
      </c>
      <c r="H1558" s="19">
        <v>3287157855</v>
      </c>
      <c r="I1558" s="19" t="s">
        <v>250</v>
      </c>
      <c r="J1558" s="19" t="s">
        <v>37</v>
      </c>
      <c r="K1558" s="19" t="s">
        <v>37</v>
      </c>
      <c r="L1558" s="19" t="s">
        <v>38</v>
      </c>
      <c r="M1558" s="19" t="s">
        <v>37</v>
      </c>
      <c r="N1558" s="19" t="s">
        <v>37</v>
      </c>
      <c r="O1558" s="19" t="s">
        <v>38</v>
      </c>
      <c r="P1558" s="19" t="s">
        <v>39</v>
      </c>
      <c r="Q1558" s="34">
        <v>46049</v>
      </c>
      <c r="R1558" s="35"/>
      <c r="S1558" s="35"/>
      <c r="T1558" s="35"/>
      <c r="U1558" s="35"/>
      <c r="V1558" s="35"/>
    </row>
    <row r="1559" spans="1:22">
      <c r="A1559" s="61">
        <v>46043</v>
      </c>
      <c r="B1559" s="35" t="s">
        <v>3383</v>
      </c>
      <c r="C1559" s="35" t="s">
        <v>4371</v>
      </c>
      <c r="D1559" s="35" t="s">
        <v>112</v>
      </c>
      <c r="E1559" s="35">
        <v>85379</v>
      </c>
      <c r="F1559" s="35" t="s">
        <v>4372</v>
      </c>
      <c r="G1559" s="62" t="s">
        <v>4368</v>
      </c>
      <c r="H1559" s="19">
        <v>8334963855</v>
      </c>
      <c r="I1559" s="19" t="s">
        <v>36</v>
      </c>
      <c r="J1559" s="19" t="s">
        <v>37</v>
      </c>
      <c r="K1559" s="19" t="s">
        <v>37</v>
      </c>
      <c r="L1559" s="19" t="s">
        <v>38</v>
      </c>
      <c r="M1559" s="19" t="s">
        <v>37</v>
      </c>
      <c r="N1559" s="19" t="s">
        <v>37</v>
      </c>
      <c r="O1559" s="19" t="s">
        <v>38</v>
      </c>
      <c r="P1559" s="19" t="s">
        <v>39</v>
      </c>
      <c r="Q1559" s="34">
        <v>46049</v>
      </c>
      <c r="R1559" s="35"/>
      <c r="S1559" s="35"/>
      <c r="T1559" s="35"/>
      <c r="U1559" s="35"/>
      <c r="V1559" s="35"/>
    </row>
    <row r="1560" spans="1:22">
      <c r="A1560" s="61">
        <v>46043</v>
      </c>
      <c r="B1560" s="35" t="s">
        <v>123</v>
      </c>
      <c r="C1560" s="35" t="s">
        <v>124</v>
      </c>
      <c r="D1560" s="35" t="s">
        <v>125</v>
      </c>
      <c r="E1560" s="35">
        <v>85254</v>
      </c>
      <c r="F1560" s="35" t="s">
        <v>4373</v>
      </c>
      <c r="G1560" s="62" t="s">
        <v>4368</v>
      </c>
      <c r="H1560" s="19">
        <v>7413433376</v>
      </c>
      <c r="I1560" s="19" t="s">
        <v>126</v>
      </c>
      <c r="J1560" s="19" t="s">
        <v>37</v>
      </c>
      <c r="K1560" s="19" t="s">
        <v>37</v>
      </c>
      <c r="L1560" s="19" t="s">
        <v>38</v>
      </c>
      <c r="M1560" s="19" t="s">
        <v>37</v>
      </c>
      <c r="N1560" s="19" t="s">
        <v>37</v>
      </c>
      <c r="O1560" s="19" t="s">
        <v>38</v>
      </c>
      <c r="P1560" s="19" t="s">
        <v>39</v>
      </c>
      <c r="Q1560" s="34">
        <v>46049</v>
      </c>
      <c r="R1560" s="35"/>
      <c r="S1560" s="35"/>
      <c r="T1560" s="35"/>
      <c r="U1560" s="35"/>
      <c r="V1560" s="35"/>
    </row>
    <row r="1561" spans="1:22">
      <c r="A1561" s="61">
        <v>46043</v>
      </c>
      <c r="B1561" s="35" t="s">
        <v>3473</v>
      </c>
      <c r="C1561" s="35" t="s">
        <v>363</v>
      </c>
      <c r="D1561" s="35" t="s">
        <v>63</v>
      </c>
      <c r="E1561" s="35">
        <v>85022</v>
      </c>
      <c r="F1561" s="35" t="s">
        <v>4374</v>
      </c>
      <c r="G1561" s="62" t="s">
        <v>4368</v>
      </c>
      <c r="H1561" s="19">
        <v>4625460000</v>
      </c>
      <c r="I1561" s="19" t="s">
        <v>126</v>
      </c>
      <c r="J1561" s="19" t="s">
        <v>37</v>
      </c>
      <c r="K1561" s="19" t="s">
        <v>37</v>
      </c>
      <c r="L1561" s="19" t="s">
        <v>4375</v>
      </c>
      <c r="M1561" s="19" t="s">
        <v>37</v>
      </c>
      <c r="N1561" s="19" t="s">
        <v>37</v>
      </c>
      <c r="O1561" s="19" t="s">
        <v>38</v>
      </c>
      <c r="P1561" s="19" t="s">
        <v>39</v>
      </c>
      <c r="Q1561" s="34">
        <v>46049</v>
      </c>
      <c r="R1561" s="35"/>
      <c r="S1561" s="35"/>
      <c r="T1561" s="35"/>
      <c r="U1561" s="35"/>
      <c r="V1561" s="35"/>
    </row>
    <row r="1562" spans="1:22">
      <c r="A1562" s="61">
        <v>46043</v>
      </c>
      <c r="B1562" s="35" t="s">
        <v>4376</v>
      </c>
      <c r="C1562" s="35" t="s">
        <v>117</v>
      </c>
      <c r="D1562" s="35" t="s">
        <v>112</v>
      </c>
      <c r="E1562" s="35">
        <v>85374</v>
      </c>
      <c r="F1562" s="35" t="s">
        <v>4377</v>
      </c>
      <c r="G1562" s="62" t="s">
        <v>4368</v>
      </c>
      <c r="H1562" s="19" t="s">
        <v>27</v>
      </c>
      <c r="I1562" s="19"/>
      <c r="J1562" s="19"/>
      <c r="K1562" s="19"/>
      <c r="L1562" s="19"/>
      <c r="M1562" s="19"/>
      <c r="N1562" s="19"/>
      <c r="O1562" s="19"/>
      <c r="P1562" s="19"/>
      <c r="Q1562" s="19"/>
      <c r="R1562" s="35"/>
      <c r="S1562" s="35"/>
      <c r="T1562" s="35"/>
      <c r="U1562" s="35"/>
      <c r="V1562" s="35"/>
    </row>
    <row r="1563" spans="1:22">
      <c r="A1563" s="61">
        <v>46043</v>
      </c>
      <c r="B1563" s="35" t="s">
        <v>4378</v>
      </c>
      <c r="C1563" s="35" t="s">
        <v>4379</v>
      </c>
      <c r="D1563" s="35" t="s">
        <v>112</v>
      </c>
      <c r="E1563" s="35">
        <v>85379</v>
      </c>
      <c r="F1563" s="35" t="s">
        <v>4380</v>
      </c>
      <c r="G1563" s="62" t="s">
        <v>4368</v>
      </c>
      <c r="H1563" s="19">
        <v>2782988581</v>
      </c>
      <c r="I1563" s="19" t="s">
        <v>4311</v>
      </c>
      <c r="J1563" s="19" t="s">
        <v>37</v>
      </c>
      <c r="K1563" s="19" t="s">
        <v>37</v>
      </c>
      <c r="L1563" s="19" t="s">
        <v>38</v>
      </c>
      <c r="M1563" s="19" t="s">
        <v>37</v>
      </c>
      <c r="N1563" s="19" t="s">
        <v>37</v>
      </c>
      <c r="O1563" s="19" t="s">
        <v>38</v>
      </c>
      <c r="P1563" s="19" t="s">
        <v>39</v>
      </c>
      <c r="Q1563" s="34">
        <v>46049</v>
      </c>
      <c r="R1563" s="35"/>
      <c r="S1563" s="35"/>
      <c r="T1563" s="35"/>
      <c r="U1563" s="35"/>
      <c r="V1563" s="35"/>
    </row>
    <row r="1564" spans="1:22">
      <c r="A1564" s="61">
        <v>46043</v>
      </c>
      <c r="B1564" s="35" t="s">
        <v>4381</v>
      </c>
      <c r="C1564" s="35" t="s">
        <v>4382</v>
      </c>
      <c r="D1564" s="35" t="s">
        <v>63</v>
      </c>
      <c r="E1564" s="35">
        <v>85006</v>
      </c>
      <c r="F1564" s="35" t="s">
        <v>4383</v>
      </c>
      <c r="G1564" s="62" t="s">
        <v>4368</v>
      </c>
      <c r="H1564" s="19" t="s">
        <v>27</v>
      </c>
      <c r="I1564" s="19"/>
      <c r="J1564" s="19"/>
      <c r="K1564" s="19"/>
      <c r="L1564" s="19"/>
      <c r="M1564" s="19"/>
      <c r="N1564" s="19"/>
      <c r="O1564" s="19"/>
      <c r="P1564" s="19"/>
      <c r="Q1564" s="19"/>
      <c r="R1564" s="35"/>
      <c r="S1564" s="35"/>
      <c r="T1564" s="35"/>
      <c r="U1564" s="35"/>
      <c r="V1564" s="35"/>
    </row>
    <row r="1565" spans="1:22">
      <c r="A1565" s="61">
        <v>46043</v>
      </c>
      <c r="B1565" s="35" t="s">
        <v>4384</v>
      </c>
      <c r="C1565" s="35" t="s">
        <v>4385</v>
      </c>
      <c r="D1565" s="35" t="s">
        <v>24</v>
      </c>
      <c r="E1565" s="35">
        <v>85308</v>
      </c>
      <c r="F1565" s="35" t="s">
        <v>4386</v>
      </c>
      <c r="G1565" s="62" t="s">
        <v>4368</v>
      </c>
      <c r="H1565" s="19" t="s">
        <v>27</v>
      </c>
      <c r="I1565" s="19"/>
      <c r="J1565" s="19"/>
      <c r="K1565" s="19"/>
      <c r="L1565" s="19"/>
      <c r="M1565" s="19"/>
      <c r="N1565" s="19"/>
      <c r="O1565" s="19"/>
      <c r="P1565" s="19"/>
      <c r="Q1565" s="19"/>
      <c r="R1565" s="35"/>
      <c r="S1565" s="35"/>
      <c r="T1565" s="35"/>
      <c r="U1565" s="35"/>
      <c r="V1565" s="35"/>
    </row>
    <row r="1566" spans="1:22">
      <c r="A1566" s="61">
        <v>46043</v>
      </c>
      <c r="B1566" s="35" t="s">
        <v>4387</v>
      </c>
      <c r="C1566" s="35" t="s">
        <v>4388</v>
      </c>
      <c r="D1566" s="35" t="s">
        <v>112</v>
      </c>
      <c r="E1566" s="35">
        <v>85379</v>
      </c>
      <c r="F1566" s="35" t="s">
        <v>4389</v>
      </c>
      <c r="G1566" s="62" t="s">
        <v>4368</v>
      </c>
      <c r="H1566" s="19">
        <v>4627150000</v>
      </c>
      <c r="I1566" s="19" t="s">
        <v>36</v>
      </c>
      <c r="J1566" s="19" t="s">
        <v>37</v>
      </c>
      <c r="K1566" s="19" t="s">
        <v>37</v>
      </c>
      <c r="L1566" s="19" t="s">
        <v>38</v>
      </c>
      <c r="M1566" s="19" t="s">
        <v>37</v>
      </c>
      <c r="N1566" s="19" t="s">
        <v>37</v>
      </c>
      <c r="O1566" s="19" t="s">
        <v>38</v>
      </c>
      <c r="P1566" s="19" t="s">
        <v>39</v>
      </c>
      <c r="Q1566" s="34">
        <v>46049</v>
      </c>
      <c r="R1566" s="35"/>
      <c r="S1566" s="35"/>
      <c r="T1566" s="35"/>
      <c r="U1566" s="35"/>
      <c r="V1566" s="35"/>
    </row>
    <row r="1567" spans="1:22">
      <c r="A1567" s="61">
        <v>46043</v>
      </c>
      <c r="B1567" s="35" t="s">
        <v>4390</v>
      </c>
      <c r="C1567" s="35" t="s">
        <v>471</v>
      </c>
      <c r="D1567" s="35" t="s">
        <v>2429</v>
      </c>
      <c r="E1567" s="35">
        <v>85132</v>
      </c>
      <c r="F1567" s="35" t="s">
        <v>4391</v>
      </c>
      <c r="G1567" s="62" t="s">
        <v>4368</v>
      </c>
      <c r="H1567" s="19">
        <v>6893057406</v>
      </c>
      <c r="I1567" s="19" t="s">
        <v>4311</v>
      </c>
      <c r="J1567" s="19" t="s">
        <v>37</v>
      </c>
      <c r="K1567" s="19" t="s">
        <v>37</v>
      </c>
      <c r="L1567" s="19" t="s">
        <v>38</v>
      </c>
      <c r="M1567" s="19" t="s">
        <v>37</v>
      </c>
      <c r="N1567" s="19" t="s">
        <v>37</v>
      </c>
      <c r="O1567" s="19" t="s">
        <v>38</v>
      </c>
      <c r="P1567" s="19" t="s">
        <v>39</v>
      </c>
      <c r="Q1567" s="34">
        <v>46049</v>
      </c>
      <c r="R1567" s="35"/>
      <c r="S1567" s="35"/>
      <c r="T1567" s="35"/>
      <c r="U1567" s="35"/>
      <c r="V1567" s="35"/>
    </row>
    <row r="1568" spans="1:22">
      <c r="A1568" s="61">
        <v>46043</v>
      </c>
      <c r="B1568" s="35" t="s">
        <v>4392</v>
      </c>
      <c r="C1568" s="35" t="s">
        <v>3687</v>
      </c>
      <c r="D1568" s="35" t="s">
        <v>635</v>
      </c>
      <c r="E1568" s="35">
        <v>85281</v>
      </c>
      <c r="F1568" s="35" t="s">
        <v>4393</v>
      </c>
      <c r="G1568" s="62" t="s">
        <v>4368</v>
      </c>
      <c r="H1568" s="19">
        <v>9969975926</v>
      </c>
      <c r="I1568" s="19" t="s">
        <v>57</v>
      </c>
      <c r="J1568" s="19" t="s">
        <v>38</v>
      </c>
      <c r="K1568" s="19" t="s">
        <v>37</v>
      </c>
      <c r="L1568" s="19" t="s">
        <v>4394</v>
      </c>
      <c r="M1568" s="19" t="s">
        <v>37</v>
      </c>
      <c r="N1568" s="19" t="s">
        <v>37</v>
      </c>
      <c r="O1568" s="19" t="s">
        <v>38</v>
      </c>
      <c r="P1568" s="19" t="s">
        <v>39</v>
      </c>
      <c r="Q1568" s="34">
        <v>46049</v>
      </c>
      <c r="R1568" s="35"/>
      <c r="S1568" s="35"/>
      <c r="T1568" s="35"/>
      <c r="U1568" s="35"/>
      <c r="V1568" s="35"/>
    </row>
    <row r="1569" spans="1:22">
      <c r="A1569" s="61">
        <v>46043</v>
      </c>
      <c r="B1569" s="35" t="s">
        <v>4395</v>
      </c>
      <c r="C1569" s="35" t="s">
        <v>4396</v>
      </c>
      <c r="D1569" s="35" t="s">
        <v>63</v>
      </c>
      <c r="E1569" s="35">
        <v>85027</v>
      </c>
      <c r="F1569" s="35" t="s">
        <v>4397</v>
      </c>
      <c r="G1569" s="62" t="s">
        <v>4368</v>
      </c>
      <c r="H1569" s="19">
        <v>5403700000</v>
      </c>
      <c r="I1569" s="19" t="s">
        <v>3887</v>
      </c>
      <c r="J1569" s="19" t="s">
        <v>37</v>
      </c>
      <c r="K1569" s="19" t="s">
        <v>37</v>
      </c>
      <c r="L1569" s="19" t="s">
        <v>38</v>
      </c>
      <c r="M1569" s="19" t="s">
        <v>37</v>
      </c>
      <c r="N1569" s="19" t="s">
        <v>37</v>
      </c>
      <c r="O1569" s="19" t="s">
        <v>38</v>
      </c>
      <c r="P1569" s="19" t="s">
        <v>39</v>
      </c>
      <c r="Q1569" s="34">
        <v>46049</v>
      </c>
      <c r="R1569" s="35"/>
      <c r="S1569" s="35"/>
      <c r="T1569" s="35"/>
      <c r="U1569" s="35"/>
      <c r="V1569" s="35"/>
    </row>
    <row r="1570" spans="1:22">
      <c r="A1570" s="61">
        <v>46043</v>
      </c>
      <c r="B1570" s="35" t="s">
        <v>4398</v>
      </c>
      <c r="C1570" s="35" t="s">
        <v>4399</v>
      </c>
      <c r="D1570" s="35" t="s">
        <v>63</v>
      </c>
      <c r="E1570" s="35">
        <v>85003</v>
      </c>
      <c r="F1570" s="35" t="s">
        <v>4400</v>
      </c>
      <c r="G1570" s="62" t="s">
        <v>4368</v>
      </c>
      <c r="H1570" s="19">
        <v>2971450583</v>
      </c>
      <c r="I1570" s="19" t="s">
        <v>36</v>
      </c>
      <c r="J1570" s="19" t="s">
        <v>37</v>
      </c>
      <c r="K1570" s="19" t="s">
        <v>37</v>
      </c>
      <c r="L1570" s="19" t="s">
        <v>38</v>
      </c>
      <c r="M1570" s="19" t="s">
        <v>37</v>
      </c>
      <c r="N1570" s="19" t="s">
        <v>37</v>
      </c>
      <c r="O1570" s="19" t="s">
        <v>38</v>
      </c>
      <c r="P1570" s="19" t="s">
        <v>39</v>
      </c>
      <c r="Q1570" s="34">
        <v>46050</v>
      </c>
      <c r="R1570" s="35"/>
      <c r="S1570" s="35"/>
      <c r="T1570" s="35"/>
      <c r="U1570" s="35"/>
      <c r="V1570" s="35"/>
    </row>
    <row r="1571" spans="1:22">
      <c r="A1571" s="59">
        <v>46043</v>
      </c>
      <c r="B1571" s="33" t="s">
        <v>4401</v>
      </c>
      <c r="C1571" s="33" t="s">
        <v>648</v>
      </c>
      <c r="D1571" s="33" t="s">
        <v>4164</v>
      </c>
      <c r="E1571" s="33">
        <v>85013</v>
      </c>
      <c r="F1571" s="33" t="s">
        <v>4310</v>
      </c>
      <c r="G1571" s="44" t="s">
        <v>4368</v>
      </c>
      <c r="H1571" s="43">
        <v>4337494792</v>
      </c>
      <c r="I1571" s="43" t="s">
        <v>196</v>
      </c>
      <c r="J1571" s="43" t="s">
        <v>37</v>
      </c>
      <c r="K1571" s="43" t="s">
        <v>37</v>
      </c>
      <c r="L1571" s="43" t="s">
        <v>4402</v>
      </c>
      <c r="M1571" s="43" t="s">
        <v>37</v>
      </c>
      <c r="N1571" s="43" t="s">
        <v>37</v>
      </c>
      <c r="O1571" s="43" t="s">
        <v>38</v>
      </c>
      <c r="P1571" s="43"/>
      <c r="Q1571" s="42">
        <v>46050</v>
      </c>
      <c r="R1571" s="33" t="s">
        <v>4313</v>
      </c>
      <c r="S1571" s="33"/>
      <c r="T1571" s="33"/>
      <c r="U1571" s="33"/>
      <c r="V1571" s="33"/>
    </row>
    <row r="1572" spans="1:22">
      <c r="A1572" s="61">
        <v>46043</v>
      </c>
      <c r="B1572" s="35" t="s">
        <v>4403</v>
      </c>
      <c r="C1572" s="35" t="s">
        <v>4404</v>
      </c>
      <c r="D1572" s="35" t="s">
        <v>112</v>
      </c>
      <c r="E1572" s="35">
        <v>85379</v>
      </c>
      <c r="F1572" s="35" t="s">
        <v>4405</v>
      </c>
      <c r="G1572" s="62" t="s">
        <v>4368</v>
      </c>
      <c r="H1572" s="19" t="s">
        <v>27</v>
      </c>
      <c r="I1572" s="19"/>
      <c r="J1572" s="19"/>
      <c r="K1572" s="19"/>
      <c r="L1572" s="19"/>
      <c r="M1572" s="19"/>
      <c r="N1572" s="19"/>
      <c r="O1572" s="19"/>
      <c r="P1572" s="19"/>
      <c r="Q1572" s="19"/>
      <c r="R1572" s="35"/>
      <c r="S1572" s="35"/>
      <c r="T1572" s="35"/>
      <c r="U1572" s="35"/>
      <c r="V1572" s="35"/>
    </row>
    <row r="1573" spans="1:22">
      <c r="A1573" s="61">
        <v>46043</v>
      </c>
      <c r="B1573" s="35" t="s">
        <v>4406</v>
      </c>
      <c r="C1573" s="35" t="s">
        <v>4407</v>
      </c>
      <c r="D1573" s="35" t="s">
        <v>169</v>
      </c>
      <c r="E1573" s="35">
        <v>85338</v>
      </c>
      <c r="F1573" s="35" t="s">
        <v>4373</v>
      </c>
      <c r="G1573" s="62" t="s">
        <v>4368</v>
      </c>
      <c r="H1573" s="19">
        <v>9378625789</v>
      </c>
      <c r="I1573" s="19" t="s">
        <v>196</v>
      </c>
      <c r="J1573" s="19" t="s">
        <v>37</v>
      </c>
      <c r="K1573" s="19" t="s">
        <v>37</v>
      </c>
      <c r="L1573" s="19" t="s">
        <v>38</v>
      </c>
      <c r="M1573" s="19" t="s">
        <v>37</v>
      </c>
      <c r="N1573" s="19" t="s">
        <v>37</v>
      </c>
      <c r="O1573" s="19" t="s">
        <v>38</v>
      </c>
      <c r="P1573" s="19" t="s">
        <v>39</v>
      </c>
      <c r="Q1573" s="34">
        <v>46050</v>
      </c>
      <c r="R1573" s="35"/>
      <c r="S1573" s="35"/>
      <c r="T1573" s="35"/>
      <c r="U1573" s="35"/>
      <c r="V1573" s="35"/>
    </row>
    <row r="1574" spans="1:22">
      <c r="A1574" s="61">
        <v>46043</v>
      </c>
      <c r="B1574" s="35" t="s">
        <v>2348</v>
      </c>
      <c r="C1574" s="35" t="s">
        <v>1876</v>
      </c>
      <c r="D1574" s="35" t="s">
        <v>63</v>
      </c>
      <c r="E1574" s="35">
        <v>85014</v>
      </c>
      <c r="F1574" s="35" t="s">
        <v>4310</v>
      </c>
      <c r="G1574" s="62" t="s">
        <v>4368</v>
      </c>
      <c r="H1574" s="19" t="s">
        <v>90</v>
      </c>
      <c r="I1574" s="19"/>
      <c r="J1574" s="19"/>
      <c r="K1574" s="19"/>
      <c r="L1574" s="19"/>
      <c r="M1574" s="19"/>
      <c r="N1574" s="19"/>
      <c r="O1574" s="19"/>
      <c r="P1574" s="19"/>
      <c r="Q1574" s="19"/>
      <c r="R1574" s="35"/>
      <c r="S1574" s="35"/>
      <c r="T1574" s="35"/>
      <c r="U1574" s="35"/>
      <c r="V1574" s="35"/>
    </row>
    <row r="1575" spans="1:22">
      <c r="A1575" s="61">
        <v>46043</v>
      </c>
      <c r="B1575" s="35" t="s">
        <v>4408</v>
      </c>
      <c r="C1575" s="35" t="s">
        <v>4409</v>
      </c>
      <c r="D1575" s="35" t="s">
        <v>112</v>
      </c>
      <c r="E1575" s="35">
        <v>85387</v>
      </c>
      <c r="F1575" s="35" t="s">
        <v>4410</v>
      </c>
      <c r="G1575" s="62" t="s">
        <v>4368</v>
      </c>
      <c r="H1575" s="19">
        <v>7508640000</v>
      </c>
      <c r="I1575" s="19" t="s">
        <v>196</v>
      </c>
      <c r="J1575" s="19" t="s">
        <v>37</v>
      </c>
      <c r="K1575" s="19" t="s">
        <v>37</v>
      </c>
      <c r="L1575" s="19" t="s">
        <v>4411</v>
      </c>
      <c r="M1575" s="19" t="s">
        <v>37</v>
      </c>
      <c r="N1575" s="19" t="s">
        <v>37</v>
      </c>
      <c r="O1575" s="19" t="s">
        <v>38</v>
      </c>
      <c r="P1575" s="19" t="s">
        <v>39</v>
      </c>
      <c r="Q1575" s="34">
        <v>46050</v>
      </c>
      <c r="R1575" s="35"/>
      <c r="S1575" s="35"/>
      <c r="T1575" s="35"/>
      <c r="U1575" s="35"/>
      <c r="V1575" s="35"/>
    </row>
    <row r="1576" spans="1:22">
      <c r="A1576" s="61">
        <v>46043</v>
      </c>
      <c r="B1576" s="35" t="s">
        <v>4412</v>
      </c>
      <c r="C1576" s="35" t="s">
        <v>4413</v>
      </c>
      <c r="D1576" s="35" t="s">
        <v>202</v>
      </c>
      <c r="E1576" s="35">
        <v>85383</v>
      </c>
      <c r="F1576" s="35" t="s">
        <v>4414</v>
      </c>
      <c r="G1576" s="62" t="s">
        <v>4368</v>
      </c>
      <c r="H1576" s="19" t="s">
        <v>27</v>
      </c>
      <c r="I1576" s="19"/>
      <c r="J1576" s="19"/>
      <c r="K1576" s="19"/>
      <c r="L1576" s="19"/>
      <c r="M1576" s="19"/>
      <c r="N1576" s="19"/>
      <c r="O1576" s="19"/>
      <c r="P1576" s="19"/>
      <c r="Q1576" s="19"/>
      <c r="R1576" s="35"/>
      <c r="S1576" s="35"/>
      <c r="T1576" s="35"/>
      <c r="U1576" s="35"/>
      <c r="V1576" s="35"/>
    </row>
    <row r="1577" spans="1:22">
      <c r="A1577" s="59">
        <v>46043</v>
      </c>
      <c r="B1577" s="33" t="s">
        <v>4412</v>
      </c>
      <c r="C1577" s="33" t="s">
        <v>4415</v>
      </c>
      <c r="D1577" s="33" t="s">
        <v>93</v>
      </c>
      <c r="E1577" s="33">
        <v>85351</v>
      </c>
      <c r="F1577" s="33" t="s">
        <v>4416</v>
      </c>
      <c r="G1577" s="44" t="s">
        <v>4368</v>
      </c>
      <c r="H1577" s="43">
        <v>3985375594</v>
      </c>
      <c r="I1577" s="43" t="s">
        <v>196</v>
      </c>
      <c r="J1577" s="43" t="s">
        <v>38</v>
      </c>
      <c r="K1577" s="43" t="s">
        <v>37</v>
      </c>
      <c r="L1577" s="43" t="s">
        <v>4417</v>
      </c>
      <c r="M1577" s="43" t="s">
        <v>37</v>
      </c>
      <c r="N1577" s="43" t="s">
        <v>37</v>
      </c>
      <c r="O1577" s="43" t="s">
        <v>38</v>
      </c>
      <c r="P1577" s="43"/>
      <c r="Q1577" s="42">
        <v>46050</v>
      </c>
      <c r="R1577" s="33" t="s">
        <v>4313</v>
      </c>
      <c r="S1577" s="33"/>
      <c r="T1577" s="33"/>
      <c r="U1577" s="33"/>
      <c r="V1577" s="33"/>
    </row>
    <row r="1578" spans="1:22">
      <c r="A1578" s="61">
        <v>46043</v>
      </c>
      <c r="B1578" s="35" t="s">
        <v>1765</v>
      </c>
      <c r="C1578" s="35" t="s">
        <v>920</v>
      </c>
      <c r="D1578" s="35" t="s">
        <v>24</v>
      </c>
      <c r="E1578" s="35">
        <v>85308</v>
      </c>
      <c r="F1578" s="35" t="s">
        <v>4418</v>
      </c>
      <c r="G1578" s="62" t="s">
        <v>4368</v>
      </c>
      <c r="H1578" s="19">
        <v>1370585483</v>
      </c>
      <c r="I1578" s="19" t="s">
        <v>126</v>
      </c>
      <c r="J1578" s="19" t="s">
        <v>37</v>
      </c>
      <c r="K1578" s="19" t="s">
        <v>37</v>
      </c>
      <c r="L1578" s="19" t="s">
        <v>4419</v>
      </c>
      <c r="M1578" s="19" t="s">
        <v>37</v>
      </c>
      <c r="N1578" s="19" t="s">
        <v>37</v>
      </c>
      <c r="O1578" s="19" t="s">
        <v>38</v>
      </c>
      <c r="P1578" s="19" t="s">
        <v>39</v>
      </c>
      <c r="Q1578" s="34">
        <v>46050</v>
      </c>
      <c r="R1578" s="35" t="s">
        <v>4420</v>
      </c>
      <c r="S1578" s="35"/>
      <c r="T1578" s="35"/>
      <c r="U1578" s="35"/>
      <c r="V1578" s="35"/>
    </row>
    <row r="1579" spans="1:22">
      <c r="A1579" s="61">
        <v>46043</v>
      </c>
      <c r="B1579" s="35" t="s">
        <v>1165</v>
      </c>
      <c r="C1579" s="35" t="s">
        <v>4421</v>
      </c>
      <c r="D1579" s="35" t="s">
        <v>112</v>
      </c>
      <c r="E1579" s="35">
        <v>85374</v>
      </c>
      <c r="F1579" s="35" t="s">
        <v>4422</v>
      </c>
      <c r="G1579" s="62" t="s">
        <v>4368</v>
      </c>
      <c r="H1579" s="19" t="s">
        <v>27</v>
      </c>
      <c r="I1579" s="19"/>
      <c r="J1579" s="19"/>
      <c r="K1579" s="19"/>
      <c r="L1579" s="19"/>
      <c r="M1579" s="19"/>
      <c r="N1579" s="19"/>
      <c r="O1579" s="19"/>
      <c r="P1579" s="19"/>
      <c r="Q1579" s="19"/>
      <c r="R1579" s="35"/>
      <c r="S1579" s="35"/>
      <c r="T1579" s="35"/>
      <c r="U1579" s="35"/>
      <c r="V1579" s="35"/>
    </row>
    <row r="1580" spans="1:22">
      <c r="A1580" s="61">
        <v>46043</v>
      </c>
      <c r="B1580" s="35" t="s">
        <v>4423</v>
      </c>
      <c r="C1580" s="35" t="s">
        <v>1760</v>
      </c>
      <c r="D1580" s="35" t="s">
        <v>2429</v>
      </c>
      <c r="E1580" s="35">
        <v>85132</v>
      </c>
      <c r="F1580" s="35" t="s">
        <v>4424</v>
      </c>
      <c r="G1580" s="62" t="s">
        <v>4368</v>
      </c>
      <c r="H1580" s="19" t="s">
        <v>27</v>
      </c>
      <c r="I1580" s="19"/>
      <c r="J1580" s="19"/>
      <c r="K1580" s="19"/>
      <c r="L1580" s="19"/>
      <c r="M1580" s="19"/>
      <c r="N1580" s="19"/>
      <c r="O1580" s="19"/>
      <c r="P1580" s="19"/>
      <c r="Q1580" s="19"/>
      <c r="R1580" s="35"/>
      <c r="S1580" s="35"/>
      <c r="T1580" s="35"/>
      <c r="U1580" s="35"/>
      <c r="V1580" s="35"/>
    </row>
    <row r="1581" spans="1:22">
      <c r="A1581" s="59">
        <v>46043</v>
      </c>
      <c r="B1581" s="33" t="s">
        <v>4425</v>
      </c>
      <c r="C1581" s="33" t="s">
        <v>4426</v>
      </c>
      <c r="D1581" s="33" t="s">
        <v>125</v>
      </c>
      <c r="E1581" s="33">
        <v>85254</v>
      </c>
      <c r="F1581" s="33" t="s">
        <v>4427</v>
      </c>
      <c r="G1581" s="33" t="s">
        <v>4368</v>
      </c>
      <c r="H1581" s="43">
        <v>6237080000</v>
      </c>
      <c r="I1581" s="43" t="s">
        <v>196</v>
      </c>
      <c r="J1581" s="43" t="s">
        <v>37</v>
      </c>
      <c r="K1581" s="43" t="s">
        <v>37</v>
      </c>
      <c r="L1581" s="43" t="s">
        <v>4428</v>
      </c>
      <c r="M1581" s="43" t="s">
        <v>37</v>
      </c>
      <c r="N1581" s="43" t="s">
        <v>37</v>
      </c>
      <c r="O1581" s="43" t="s">
        <v>38</v>
      </c>
      <c r="P1581" s="43"/>
      <c r="Q1581" s="42">
        <v>46050</v>
      </c>
      <c r="R1581" s="33" t="s">
        <v>4004</v>
      </c>
      <c r="S1581" s="33"/>
      <c r="T1581" s="33"/>
      <c r="U1581" s="33"/>
      <c r="V1581" s="33"/>
    </row>
    <row r="1582" spans="1:22">
      <c r="A1582" s="59">
        <v>46043</v>
      </c>
      <c r="B1582" s="33" t="s">
        <v>4429</v>
      </c>
      <c r="C1582" s="33" t="s">
        <v>4430</v>
      </c>
      <c r="D1582" s="33" t="s">
        <v>63</v>
      </c>
      <c r="E1582" s="33">
        <v>85013</v>
      </c>
      <c r="F1582" s="33" t="s">
        <v>4431</v>
      </c>
      <c r="G1582" s="33" t="s">
        <v>4368</v>
      </c>
      <c r="H1582" s="43">
        <v>1176780126</v>
      </c>
      <c r="I1582" s="43" t="s">
        <v>196</v>
      </c>
      <c r="J1582" s="43" t="s">
        <v>37</v>
      </c>
      <c r="K1582" s="43" t="s">
        <v>37</v>
      </c>
      <c r="L1582" s="43" t="s">
        <v>4432</v>
      </c>
      <c r="M1582" s="43" t="s">
        <v>37</v>
      </c>
      <c r="N1582" s="43" t="s">
        <v>37</v>
      </c>
      <c r="O1582" s="43" t="s">
        <v>38</v>
      </c>
      <c r="P1582" s="43"/>
      <c r="Q1582" s="42">
        <v>46050</v>
      </c>
      <c r="R1582" s="33" t="s">
        <v>4004</v>
      </c>
      <c r="S1582" s="33"/>
      <c r="T1582" s="33"/>
      <c r="U1582" s="33"/>
      <c r="V1582" s="33"/>
    </row>
    <row r="1583" spans="1:22">
      <c r="A1583" s="61">
        <v>46043</v>
      </c>
      <c r="B1583" s="35" t="s">
        <v>4433</v>
      </c>
      <c r="C1583" s="35" t="s">
        <v>382</v>
      </c>
      <c r="D1583" s="35" t="s">
        <v>63</v>
      </c>
      <c r="E1583" s="35">
        <v>85032</v>
      </c>
      <c r="F1583" s="35" t="s">
        <v>4434</v>
      </c>
      <c r="G1583" s="35" t="s">
        <v>4368</v>
      </c>
      <c r="H1583" s="19">
        <v>4460413461</v>
      </c>
      <c r="I1583" s="19" t="s">
        <v>196</v>
      </c>
      <c r="J1583" s="19" t="s">
        <v>37</v>
      </c>
      <c r="K1583" s="19" t="s">
        <v>37</v>
      </c>
      <c r="L1583" s="19" t="s">
        <v>38</v>
      </c>
      <c r="M1583" s="19" t="s">
        <v>37</v>
      </c>
      <c r="N1583" s="19" t="s">
        <v>37</v>
      </c>
      <c r="O1583" s="19" t="s">
        <v>38</v>
      </c>
      <c r="P1583" s="19" t="s">
        <v>39</v>
      </c>
      <c r="Q1583" s="34">
        <v>46050</v>
      </c>
      <c r="R1583" s="35"/>
      <c r="S1583" s="35"/>
      <c r="T1583" s="35"/>
      <c r="U1583" s="35"/>
      <c r="V1583" s="35"/>
    </row>
    <row r="1584" spans="1:22">
      <c r="A1584" s="59">
        <v>46043</v>
      </c>
      <c r="B1584" s="33" t="s">
        <v>4435</v>
      </c>
      <c r="C1584" s="33" t="s">
        <v>320</v>
      </c>
      <c r="D1584" s="33" t="s">
        <v>125</v>
      </c>
      <c r="E1584" s="33">
        <v>85254</v>
      </c>
      <c r="F1584" s="33" t="s">
        <v>4436</v>
      </c>
      <c r="G1584" s="33" t="s">
        <v>4368</v>
      </c>
      <c r="H1584" s="43">
        <v>7607661000</v>
      </c>
      <c r="I1584" s="43" t="s">
        <v>36</v>
      </c>
      <c r="J1584" s="43" t="s">
        <v>37</v>
      </c>
      <c r="K1584" s="43" t="s">
        <v>37</v>
      </c>
      <c r="L1584" s="43" t="s">
        <v>4437</v>
      </c>
      <c r="M1584" s="43" t="s">
        <v>37</v>
      </c>
      <c r="N1584" s="43" t="s">
        <v>37</v>
      </c>
      <c r="O1584" s="43" t="s">
        <v>38</v>
      </c>
      <c r="P1584" s="43"/>
      <c r="Q1584" s="42">
        <v>46050</v>
      </c>
      <c r="R1584" s="33" t="s">
        <v>4438</v>
      </c>
      <c r="S1584" s="33"/>
      <c r="T1584" s="33"/>
      <c r="U1584" s="33"/>
      <c r="V1584" s="33"/>
    </row>
    <row r="1585" spans="1:22">
      <c r="A1585" s="61">
        <v>46043</v>
      </c>
      <c r="B1585" s="35" t="s">
        <v>4439</v>
      </c>
      <c r="C1585" s="35" t="s">
        <v>131</v>
      </c>
      <c r="D1585" s="35" t="s">
        <v>63</v>
      </c>
      <c r="E1585" s="35">
        <v>85024</v>
      </c>
      <c r="F1585" s="35" t="s">
        <v>4440</v>
      </c>
      <c r="G1585" s="35" t="s">
        <v>4368</v>
      </c>
      <c r="H1585" s="19">
        <v>5403079705</v>
      </c>
      <c r="I1585" s="19" t="s">
        <v>73</v>
      </c>
      <c r="J1585" s="19" t="s">
        <v>37</v>
      </c>
      <c r="K1585" s="19" t="s">
        <v>37</v>
      </c>
      <c r="L1585" s="19" t="s">
        <v>38</v>
      </c>
      <c r="M1585" s="19" t="s">
        <v>37</v>
      </c>
      <c r="N1585" s="19" t="s">
        <v>37</v>
      </c>
      <c r="O1585" s="19" t="s">
        <v>38</v>
      </c>
      <c r="P1585" s="19" t="s">
        <v>39</v>
      </c>
      <c r="Q1585" s="34">
        <v>46050</v>
      </c>
      <c r="R1585" s="35"/>
      <c r="S1585" s="35"/>
      <c r="T1585" s="35"/>
      <c r="U1585" s="35"/>
      <c r="V1585" s="35"/>
    </row>
    <row r="1586" spans="1:22">
      <c r="A1586" s="61">
        <v>46043</v>
      </c>
      <c r="B1586" s="35" t="s">
        <v>4441</v>
      </c>
      <c r="C1586" s="35" t="s">
        <v>4442</v>
      </c>
      <c r="D1586" s="35" t="s">
        <v>63</v>
      </c>
      <c r="E1586" s="35">
        <v>85029</v>
      </c>
      <c r="F1586" s="35" t="s">
        <v>4443</v>
      </c>
      <c r="G1586" s="35" t="s">
        <v>4368</v>
      </c>
      <c r="H1586" s="19">
        <v>8776414251</v>
      </c>
      <c r="I1586" s="19" t="s">
        <v>36</v>
      </c>
      <c r="J1586" s="19" t="s">
        <v>38</v>
      </c>
      <c r="K1586" s="19" t="s">
        <v>37</v>
      </c>
      <c r="L1586" s="19" t="s">
        <v>4444</v>
      </c>
      <c r="M1586" s="19" t="s">
        <v>37</v>
      </c>
      <c r="N1586" s="19" t="s">
        <v>37</v>
      </c>
      <c r="O1586" s="19" t="s">
        <v>38</v>
      </c>
      <c r="P1586" s="19" t="s">
        <v>39</v>
      </c>
      <c r="Q1586" s="34">
        <v>46050</v>
      </c>
      <c r="R1586" s="35"/>
      <c r="S1586" s="35"/>
      <c r="T1586" s="35"/>
      <c r="U1586" s="35"/>
      <c r="V1586" s="35"/>
    </row>
    <row r="1587" spans="1:22">
      <c r="A1587" s="61">
        <v>46043</v>
      </c>
      <c r="B1587" s="35" t="s">
        <v>167</v>
      </c>
      <c r="C1587" s="35" t="s">
        <v>4445</v>
      </c>
      <c r="D1587" s="35" t="s">
        <v>112</v>
      </c>
      <c r="E1587" s="35">
        <v>85388</v>
      </c>
      <c r="F1587" s="35" t="s">
        <v>4446</v>
      </c>
      <c r="G1587" s="35" t="s">
        <v>4368</v>
      </c>
      <c r="H1587" s="19" t="s">
        <v>27</v>
      </c>
      <c r="I1587" s="19"/>
      <c r="J1587" s="19"/>
      <c r="K1587" s="19"/>
      <c r="L1587" s="19"/>
      <c r="M1587" s="19"/>
      <c r="N1587" s="19"/>
      <c r="O1587" s="19"/>
      <c r="P1587" s="19"/>
      <c r="Q1587" s="19"/>
      <c r="R1587" s="35"/>
      <c r="S1587" s="35"/>
      <c r="T1587" s="35"/>
      <c r="U1587" s="35"/>
      <c r="V1587" s="35"/>
    </row>
    <row r="1588" spans="1:22">
      <c r="A1588" s="61">
        <v>46043</v>
      </c>
      <c r="B1588" s="35" t="s">
        <v>4447</v>
      </c>
      <c r="C1588" s="35" t="s">
        <v>4448</v>
      </c>
      <c r="D1588" s="35" t="s">
        <v>63</v>
      </c>
      <c r="E1588" s="35">
        <v>85014</v>
      </c>
      <c r="F1588" s="35" t="s">
        <v>4449</v>
      </c>
      <c r="G1588" s="35" t="s">
        <v>4368</v>
      </c>
      <c r="H1588" s="19">
        <v>1217381119</v>
      </c>
      <c r="I1588" s="19" t="s">
        <v>73</v>
      </c>
      <c r="J1588" s="19" t="s">
        <v>37</v>
      </c>
      <c r="K1588" s="19" t="s">
        <v>37</v>
      </c>
      <c r="L1588" s="19" t="s">
        <v>38</v>
      </c>
      <c r="M1588" s="19" t="s">
        <v>37</v>
      </c>
      <c r="N1588" s="19" t="s">
        <v>37</v>
      </c>
      <c r="O1588" s="19" t="s">
        <v>38</v>
      </c>
      <c r="P1588" s="19" t="s">
        <v>39</v>
      </c>
      <c r="Q1588" s="34">
        <v>46050</v>
      </c>
      <c r="R1588" s="35"/>
      <c r="S1588" s="35"/>
      <c r="T1588" s="35"/>
      <c r="U1588" s="35"/>
      <c r="V1588" s="35"/>
    </row>
    <row r="1589" spans="1:22">
      <c r="A1589" s="61">
        <v>46043</v>
      </c>
      <c r="B1589" s="35" t="s">
        <v>4450</v>
      </c>
      <c r="C1589" s="35" t="s">
        <v>4451</v>
      </c>
      <c r="D1589" s="35" t="s">
        <v>698</v>
      </c>
      <c r="E1589" s="35">
        <v>85375</v>
      </c>
      <c r="F1589" s="35" t="s">
        <v>4452</v>
      </c>
      <c r="G1589" s="35" t="s">
        <v>4368</v>
      </c>
      <c r="H1589" s="19">
        <v>6948703534</v>
      </c>
      <c r="I1589" s="19" t="s">
        <v>73</v>
      </c>
      <c r="J1589" s="19" t="s">
        <v>37</v>
      </c>
      <c r="K1589" s="19" t="s">
        <v>37</v>
      </c>
      <c r="L1589" s="19" t="s">
        <v>38</v>
      </c>
      <c r="M1589" s="19" t="s">
        <v>37</v>
      </c>
      <c r="N1589" s="19" t="s">
        <v>37</v>
      </c>
      <c r="O1589" s="19" t="s">
        <v>38</v>
      </c>
      <c r="P1589" s="19" t="s">
        <v>39</v>
      </c>
      <c r="Q1589" s="34">
        <v>46050</v>
      </c>
      <c r="R1589" s="35"/>
      <c r="S1589" s="35"/>
      <c r="T1589" s="35"/>
      <c r="U1589" s="35"/>
      <c r="V1589" s="35"/>
    </row>
    <row r="1590" spans="1:22">
      <c r="A1590" s="61">
        <v>46043</v>
      </c>
      <c r="B1590" s="35" t="s">
        <v>4453</v>
      </c>
      <c r="C1590" s="35" t="s">
        <v>4454</v>
      </c>
      <c r="D1590" s="35" t="s">
        <v>63</v>
      </c>
      <c r="E1590" s="35">
        <v>85028</v>
      </c>
      <c r="F1590" s="35" t="s">
        <v>4455</v>
      </c>
      <c r="G1590" s="35" t="s">
        <v>4368</v>
      </c>
      <c r="H1590" s="19">
        <v>859906185</v>
      </c>
      <c r="I1590" s="19" t="s">
        <v>196</v>
      </c>
      <c r="J1590" s="19" t="s">
        <v>37</v>
      </c>
      <c r="K1590" s="19" t="s">
        <v>37</v>
      </c>
      <c r="L1590" s="19" t="s">
        <v>38</v>
      </c>
      <c r="M1590" s="19" t="s">
        <v>37</v>
      </c>
      <c r="N1590" s="19" t="s">
        <v>37</v>
      </c>
      <c r="O1590" s="19" t="s">
        <v>38</v>
      </c>
      <c r="P1590" s="19" t="s">
        <v>39</v>
      </c>
      <c r="Q1590" s="34">
        <v>46050</v>
      </c>
      <c r="R1590" s="35"/>
      <c r="S1590" s="35"/>
      <c r="T1590" s="35"/>
      <c r="U1590" s="35"/>
      <c r="V1590" s="35"/>
    </row>
    <row r="1591" spans="1:22">
      <c r="A1591" s="61">
        <v>46043</v>
      </c>
      <c r="B1591" s="35" t="s">
        <v>4456</v>
      </c>
      <c r="C1591" s="35" t="s">
        <v>4457</v>
      </c>
      <c r="D1591" s="35" t="s">
        <v>24</v>
      </c>
      <c r="E1591" s="35">
        <v>85308</v>
      </c>
      <c r="F1591" s="35" t="s">
        <v>4458</v>
      </c>
      <c r="G1591" s="35" t="s">
        <v>4368</v>
      </c>
      <c r="H1591" s="19">
        <v>3042908052</v>
      </c>
      <c r="I1591" s="19" t="s">
        <v>46</v>
      </c>
      <c r="J1591" s="19" t="s">
        <v>37</v>
      </c>
      <c r="K1591" s="19" t="s">
        <v>37</v>
      </c>
      <c r="L1591" s="19" t="s">
        <v>38</v>
      </c>
      <c r="M1591" s="19" t="s">
        <v>37</v>
      </c>
      <c r="N1591" s="19" t="s">
        <v>37</v>
      </c>
      <c r="O1591" s="19" t="s">
        <v>38</v>
      </c>
      <c r="P1591" s="19" t="s">
        <v>39</v>
      </c>
      <c r="Q1591" s="34">
        <v>46050</v>
      </c>
      <c r="R1591" s="35"/>
      <c r="S1591" s="35"/>
      <c r="T1591" s="35"/>
      <c r="U1591" s="35"/>
      <c r="V1591" s="35"/>
    </row>
    <row r="1592" spans="1:22">
      <c r="A1592" s="59">
        <v>46043</v>
      </c>
      <c r="B1592" s="33" t="s">
        <v>4459</v>
      </c>
      <c r="C1592" s="33" t="s">
        <v>2273</v>
      </c>
      <c r="D1592" s="33" t="s">
        <v>93</v>
      </c>
      <c r="E1592" s="33">
        <v>85351</v>
      </c>
      <c r="F1592" s="33" t="s">
        <v>4460</v>
      </c>
      <c r="G1592" s="33" t="s">
        <v>4368</v>
      </c>
      <c r="H1592" s="43">
        <v>7912130000</v>
      </c>
      <c r="I1592" s="43" t="s">
        <v>196</v>
      </c>
      <c r="J1592" s="43" t="s">
        <v>37</v>
      </c>
      <c r="K1592" s="43" t="s">
        <v>37</v>
      </c>
      <c r="L1592" s="43" t="s">
        <v>4461</v>
      </c>
      <c r="M1592" s="43" t="s">
        <v>37</v>
      </c>
      <c r="N1592" s="43" t="s">
        <v>37</v>
      </c>
      <c r="O1592" s="43" t="s">
        <v>38</v>
      </c>
      <c r="P1592" s="43"/>
      <c r="Q1592" s="42">
        <v>46050</v>
      </c>
      <c r="R1592" s="33" t="s">
        <v>4004</v>
      </c>
      <c r="S1592" s="33"/>
      <c r="T1592" s="33"/>
      <c r="U1592" s="33"/>
      <c r="V1592" s="33"/>
    </row>
    <row r="1593" spans="1:22">
      <c r="A1593" s="61">
        <v>46043</v>
      </c>
      <c r="B1593" s="35" t="s">
        <v>4462</v>
      </c>
      <c r="C1593" s="35" t="s">
        <v>733</v>
      </c>
      <c r="D1593" s="35" t="s">
        <v>93</v>
      </c>
      <c r="E1593" s="35">
        <v>85373</v>
      </c>
      <c r="F1593" s="35" t="s">
        <v>4463</v>
      </c>
      <c r="G1593" s="35" t="s">
        <v>4368</v>
      </c>
      <c r="H1593" s="19">
        <v>7836090000</v>
      </c>
      <c r="I1593" s="19" t="s">
        <v>4214</v>
      </c>
      <c r="J1593" s="19" t="s">
        <v>37</v>
      </c>
      <c r="K1593" s="19" t="s">
        <v>37</v>
      </c>
      <c r="L1593" s="19" t="s">
        <v>389</v>
      </c>
      <c r="M1593" s="19" t="s">
        <v>37</v>
      </c>
      <c r="N1593" s="19" t="s">
        <v>37</v>
      </c>
      <c r="O1593" s="19" t="s">
        <v>38</v>
      </c>
      <c r="P1593" s="19" t="s">
        <v>39</v>
      </c>
      <c r="Q1593" s="34">
        <v>46050</v>
      </c>
      <c r="R1593" s="35"/>
      <c r="S1593" s="35"/>
      <c r="T1593" s="35"/>
      <c r="U1593" s="35"/>
      <c r="V1593" s="35"/>
    </row>
    <row r="1594" spans="1:22">
      <c r="A1594" s="61">
        <v>46043</v>
      </c>
      <c r="B1594" s="35" t="s">
        <v>1204</v>
      </c>
      <c r="C1594" s="35" t="s">
        <v>1323</v>
      </c>
      <c r="D1594" s="35" t="s">
        <v>2429</v>
      </c>
      <c r="E1594" s="35">
        <v>85132</v>
      </c>
      <c r="F1594" s="35" t="s">
        <v>4310</v>
      </c>
      <c r="G1594" s="35" t="s">
        <v>4368</v>
      </c>
      <c r="H1594" s="19">
        <v>4812351000</v>
      </c>
      <c r="I1594" s="19" t="s">
        <v>4311</v>
      </c>
      <c r="J1594" s="19" t="s">
        <v>37</v>
      </c>
      <c r="K1594" s="19" t="s">
        <v>37</v>
      </c>
      <c r="L1594" s="19" t="s">
        <v>38</v>
      </c>
      <c r="M1594" s="19" t="s">
        <v>37</v>
      </c>
      <c r="N1594" s="19" t="s">
        <v>37</v>
      </c>
      <c r="O1594" s="19" t="s">
        <v>38</v>
      </c>
      <c r="P1594" s="19" t="s">
        <v>39</v>
      </c>
      <c r="Q1594" s="34">
        <v>46050</v>
      </c>
      <c r="R1594" s="35"/>
      <c r="S1594" s="35"/>
      <c r="T1594" s="35"/>
      <c r="U1594" s="35"/>
      <c r="V1594" s="35"/>
    </row>
    <row r="1595" spans="1:22">
      <c r="A1595" s="61">
        <v>46043</v>
      </c>
      <c r="B1595" s="35" t="s">
        <v>4464</v>
      </c>
      <c r="C1595" s="35" t="s">
        <v>4465</v>
      </c>
      <c r="D1595" s="35" t="s">
        <v>2051</v>
      </c>
      <c r="E1595" s="35">
        <v>86333</v>
      </c>
      <c r="F1595" s="35" t="s">
        <v>4466</v>
      </c>
      <c r="G1595" s="35" t="s">
        <v>4368</v>
      </c>
      <c r="H1595" s="19" t="s">
        <v>27</v>
      </c>
      <c r="I1595" s="19"/>
      <c r="J1595" s="19"/>
      <c r="K1595" s="19"/>
      <c r="L1595" s="19"/>
      <c r="M1595" s="19"/>
      <c r="N1595" s="19"/>
      <c r="O1595" s="19"/>
      <c r="P1595" s="19"/>
      <c r="Q1595" s="19"/>
      <c r="R1595" s="35"/>
      <c r="S1595" s="35"/>
      <c r="T1595" s="35"/>
      <c r="U1595" s="35"/>
      <c r="V1595" s="35"/>
    </row>
    <row r="1596" spans="1:22">
      <c r="A1596" s="61">
        <v>46043</v>
      </c>
      <c r="B1596" s="35" t="s">
        <v>4467</v>
      </c>
      <c r="C1596" s="35" t="s">
        <v>75</v>
      </c>
      <c r="D1596" s="35" t="s">
        <v>93</v>
      </c>
      <c r="E1596" s="35">
        <v>85351</v>
      </c>
      <c r="F1596" s="35" t="s">
        <v>4468</v>
      </c>
      <c r="G1596" s="35" t="s">
        <v>4368</v>
      </c>
      <c r="H1596" s="19" t="s">
        <v>27</v>
      </c>
      <c r="I1596" s="19"/>
      <c r="J1596" s="19"/>
      <c r="K1596" s="19"/>
      <c r="L1596" s="19"/>
      <c r="M1596" s="19"/>
      <c r="N1596" s="19"/>
      <c r="O1596" s="19"/>
      <c r="P1596" s="19"/>
      <c r="Q1596" s="19"/>
      <c r="R1596" s="35"/>
      <c r="S1596" s="35"/>
      <c r="T1596" s="35"/>
      <c r="U1596" s="35"/>
      <c r="V1596" s="35"/>
    </row>
    <row r="1597" spans="1:22">
      <c r="A1597" s="61">
        <v>46043</v>
      </c>
      <c r="B1597" s="35" t="s">
        <v>2108</v>
      </c>
      <c r="C1597" s="35" t="s">
        <v>747</v>
      </c>
      <c r="D1597" s="35" t="s">
        <v>2109</v>
      </c>
      <c r="E1597" s="35">
        <v>86327</v>
      </c>
      <c r="F1597" s="35" t="s">
        <v>4469</v>
      </c>
      <c r="G1597" s="35" t="s">
        <v>4368</v>
      </c>
      <c r="H1597" s="19">
        <v>5377231000</v>
      </c>
      <c r="I1597" s="19" t="s">
        <v>126</v>
      </c>
      <c r="J1597" s="19" t="s">
        <v>37</v>
      </c>
      <c r="K1597" s="19" t="s">
        <v>37</v>
      </c>
      <c r="L1597" s="19" t="s">
        <v>4470</v>
      </c>
      <c r="M1597" s="19" t="s">
        <v>37</v>
      </c>
      <c r="N1597" s="19" t="s">
        <v>37</v>
      </c>
      <c r="O1597" s="19" t="s">
        <v>38</v>
      </c>
      <c r="P1597" s="19" t="s">
        <v>39</v>
      </c>
      <c r="Q1597" s="34">
        <v>46050</v>
      </c>
      <c r="R1597" s="35"/>
      <c r="S1597" s="35"/>
      <c r="T1597" s="35"/>
      <c r="U1597" s="35"/>
      <c r="V1597" s="35"/>
    </row>
    <row r="1598" spans="1:22">
      <c r="A1598" s="61">
        <v>46043</v>
      </c>
      <c r="B1598" s="35" t="s">
        <v>4471</v>
      </c>
      <c r="C1598" s="35" t="s">
        <v>3465</v>
      </c>
      <c r="D1598" s="35" t="s">
        <v>63</v>
      </c>
      <c r="E1598" s="35">
        <v>85014</v>
      </c>
      <c r="F1598" s="35" t="s">
        <v>4472</v>
      </c>
      <c r="G1598" s="35" t="s">
        <v>4368</v>
      </c>
      <c r="H1598" s="19">
        <v>7329530000</v>
      </c>
      <c r="I1598" s="19" t="s">
        <v>3887</v>
      </c>
      <c r="J1598" s="19" t="s">
        <v>37</v>
      </c>
      <c r="K1598" s="19" t="s">
        <v>37</v>
      </c>
      <c r="L1598" s="19" t="s">
        <v>389</v>
      </c>
      <c r="M1598" s="19" t="s">
        <v>37</v>
      </c>
      <c r="N1598" s="19" t="s">
        <v>37</v>
      </c>
      <c r="O1598" s="19" t="s">
        <v>38</v>
      </c>
      <c r="P1598" s="19" t="s">
        <v>39</v>
      </c>
      <c r="Q1598" s="34">
        <v>46050</v>
      </c>
      <c r="R1598" s="35"/>
      <c r="S1598" s="35"/>
      <c r="T1598" s="35"/>
      <c r="U1598" s="35"/>
      <c r="V1598" s="35"/>
    </row>
    <row r="1599" spans="1:22">
      <c r="A1599" s="61">
        <v>46043</v>
      </c>
      <c r="B1599" s="35" t="s">
        <v>4473</v>
      </c>
      <c r="C1599" s="35" t="s">
        <v>328</v>
      </c>
      <c r="D1599" s="35" t="s">
        <v>112</v>
      </c>
      <c r="E1599" s="35">
        <v>85379</v>
      </c>
      <c r="F1599" s="35" t="s">
        <v>4474</v>
      </c>
      <c r="G1599" s="35" t="s">
        <v>4368</v>
      </c>
      <c r="H1599" s="19">
        <v>1264630000</v>
      </c>
      <c r="I1599" s="19" t="s">
        <v>36</v>
      </c>
      <c r="J1599" s="19" t="s">
        <v>38</v>
      </c>
      <c r="K1599" s="19" t="s">
        <v>37</v>
      </c>
      <c r="L1599" s="19" t="s">
        <v>38</v>
      </c>
      <c r="M1599" s="19" t="s">
        <v>37</v>
      </c>
      <c r="N1599" s="19" t="s">
        <v>37</v>
      </c>
      <c r="O1599" s="19" t="s">
        <v>38</v>
      </c>
      <c r="P1599" s="19" t="s">
        <v>39</v>
      </c>
      <c r="Q1599" s="34">
        <v>46050</v>
      </c>
      <c r="R1599" s="35"/>
      <c r="S1599" s="35"/>
      <c r="T1599" s="35"/>
      <c r="U1599" s="35"/>
      <c r="V1599" s="35"/>
    </row>
    <row r="1600" spans="1:22">
      <c r="A1600" s="61">
        <v>46043</v>
      </c>
      <c r="B1600" s="35" t="s">
        <v>4475</v>
      </c>
      <c r="C1600" s="35" t="s">
        <v>471</v>
      </c>
      <c r="D1600" s="35" t="s">
        <v>63</v>
      </c>
      <c r="E1600" s="35">
        <v>85029</v>
      </c>
      <c r="F1600" s="35" t="s">
        <v>4476</v>
      </c>
      <c r="G1600" s="35" t="s">
        <v>4368</v>
      </c>
      <c r="H1600" s="19">
        <v>3540008359</v>
      </c>
      <c r="I1600" s="19" t="s">
        <v>196</v>
      </c>
      <c r="J1600" s="19" t="s">
        <v>38</v>
      </c>
      <c r="K1600" s="19" t="s">
        <v>37</v>
      </c>
      <c r="L1600" s="19" t="s">
        <v>4477</v>
      </c>
      <c r="M1600" s="19" t="s">
        <v>37</v>
      </c>
      <c r="N1600" s="19" t="s">
        <v>37</v>
      </c>
      <c r="O1600" s="19" t="s">
        <v>38</v>
      </c>
      <c r="P1600" s="19" t="s">
        <v>39</v>
      </c>
      <c r="Q1600" s="34">
        <v>46050</v>
      </c>
      <c r="R1600" s="35"/>
      <c r="S1600" s="35"/>
      <c r="T1600" s="35"/>
      <c r="U1600" s="35"/>
      <c r="V1600" s="35"/>
    </row>
    <row r="1601" spans="1:22">
      <c r="A1601" s="61">
        <v>46044</v>
      </c>
      <c r="B1601" s="35" t="s">
        <v>2267</v>
      </c>
      <c r="C1601" s="35" t="s">
        <v>1232</v>
      </c>
      <c r="D1601" s="35" t="s">
        <v>112</v>
      </c>
      <c r="E1601" s="35">
        <v>85387</v>
      </c>
      <c r="F1601" s="35" t="s">
        <v>4478</v>
      </c>
      <c r="G1601" s="62" t="s">
        <v>4479</v>
      </c>
      <c r="H1601" s="19" t="s">
        <v>27</v>
      </c>
      <c r="I1601" s="19"/>
      <c r="J1601" s="19"/>
      <c r="K1601" s="19"/>
      <c r="L1601" s="19"/>
      <c r="M1601" s="19"/>
      <c r="N1601" s="19"/>
      <c r="O1601" s="19"/>
      <c r="P1601" s="19"/>
      <c r="Q1601" s="19"/>
      <c r="R1601" s="35"/>
      <c r="S1601" s="35"/>
      <c r="T1601" s="35"/>
      <c r="U1601" s="35"/>
      <c r="V1601" s="35"/>
    </row>
    <row r="1602" spans="1:22">
      <c r="A1602" s="61">
        <v>46044</v>
      </c>
      <c r="B1602" s="35" t="s">
        <v>4480</v>
      </c>
      <c r="C1602" s="35" t="s">
        <v>1813</v>
      </c>
      <c r="D1602" s="35" t="s">
        <v>635</v>
      </c>
      <c r="E1602" s="35">
        <v>85281</v>
      </c>
      <c r="F1602" s="35" t="s">
        <v>4481</v>
      </c>
      <c r="G1602" s="35" t="s">
        <v>4479</v>
      </c>
      <c r="H1602" s="19">
        <v>8262211000</v>
      </c>
      <c r="I1602" s="19" t="s">
        <v>36</v>
      </c>
      <c r="J1602" s="19" t="s">
        <v>37</v>
      </c>
      <c r="K1602" s="19" t="s">
        <v>37</v>
      </c>
      <c r="L1602" s="19" t="s">
        <v>38</v>
      </c>
      <c r="M1602" s="19" t="s">
        <v>37</v>
      </c>
      <c r="N1602" s="19" t="s">
        <v>37</v>
      </c>
      <c r="O1602" s="19" t="s">
        <v>38</v>
      </c>
      <c r="P1602" s="19" t="s">
        <v>39</v>
      </c>
      <c r="Q1602" s="34">
        <v>46050</v>
      </c>
      <c r="R1602" s="35"/>
      <c r="S1602" s="35"/>
      <c r="T1602" s="35"/>
      <c r="U1602" s="35"/>
      <c r="V1602" s="35"/>
    </row>
    <row r="1603" spans="1:22">
      <c r="A1603" s="61">
        <v>46044</v>
      </c>
      <c r="B1603" s="35" t="s">
        <v>941</v>
      </c>
      <c r="C1603" s="35" t="s">
        <v>312</v>
      </c>
      <c r="D1603" s="35" t="s">
        <v>240</v>
      </c>
      <c r="E1603" s="35">
        <v>85340</v>
      </c>
      <c r="F1603" s="35" t="s">
        <v>4482</v>
      </c>
      <c r="G1603" s="35" t="s">
        <v>4479</v>
      </c>
      <c r="H1603" s="19" t="s">
        <v>27</v>
      </c>
      <c r="I1603" s="19"/>
      <c r="J1603" s="19"/>
      <c r="K1603" s="19"/>
      <c r="L1603" s="19"/>
      <c r="M1603" s="19"/>
      <c r="N1603" s="19"/>
      <c r="O1603" s="19"/>
      <c r="P1603" s="19"/>
      <c r="Q1603" s="19"/>
      <c r="R1603" s="35"/>
      <c r="S1603" s="35"/>
      <c r="T1603" s="35"/>
      <c r="U1603" s="35"/>
      <c r="V1603" s="35"/>
    </row>
    <row r="1604" spans="1:22">
      <c r="A1604" s="61">
        <v>46044</v>
      </c>
      <c r="B1604" s="35" t="s">
        <v>4483</v>
      </c>
      <c r="C1604" s="35" t="s">
        <v>2587</v>
      </c>
      <c r="D1604" s="35" t="s">
        <v>125</v>
      </c>
      <c r="E1604" s="35">
        <v>85254</v>
      </c>
      <c r="F1604" s="35" t="s">
        <v>4484</v>
      </c>
      <c r="G1604" s="35" t="s">
        <v>4479</v>
      </c>
      <c r="H1604" s="19">
        <v>7812541000</v>
      </c>
      <c r="I1604" s="19" t="s">
        <v>4214</v>
      </c>
      <c r="J1604" s="19" t="s">
        <v>37</v>
      </c>
      <c r="K1604" s="19" t="s">
        <v>37</v>
      </c>
      <c r="L1604" s="19" t="s">
        <v>389</v>
      </c>
      <c r="M1604" s="19" t="s">
        <v>37</v>
      </c>
      <c r="N1604" s="19" t="s">
        <v>37</v>
      </c>
      <c r="O1604" s="19" t="s">
        <v>38</v>
      </c>
      <c r="P1604" s="19" t="s">
        <v>39</v>
      </c>
      <c r="Q1604" s="34">
        <v>46050</v>
      </c>
      <c r="R1604" s="35"/>
      <c r="S1604" s="35"/>
      <c r="T1604" s="35"/>
      <c r="U1604" s="35"/>
      <c r="V1604" s="35"/>
    </row>
    <row r="1605" spans="1:22">
      <c r="A1605" s="61">
        <v>46045</v>
      </c>
      <c r="B1605" s="35" t="s">
        <v>4485</v>
      </c>
      <c r="C1605" s="35" t="s">
        <v>440</v>
      </c>
      <c r="D1605" s="35" t="s">
        <v>85</v>
      </c>
      <c r="E1605" s="35">
        <v>86323</v>
      </c>
      <c r="F1605" s="35" t="s">
        <v>4486</v>
      </c>
      <c r="G1605" s="62" t="s">
        <v>4487</v>
      </c>
      <c r="H1605" s="19" t="s">
        <v>27</v>
      </c>
      <c r="I1605" s="19"/>
      <c r="J1605" s="19"/>
      <c r="K1605" s="19"/>
      <c r="L1605" s="19"/>
      <c r="M1605" s="19"/>
      <c r="N1605" s="19"/>
      <c r="O1605" s="19"/>
      <c r="P1605" s="19"/>
      <c r="Q1605" s="19"/>
      <c r="R1605" s="35"/>
      <c r="S1605" s="35"/>
      <c r="T1605" s="35"/>
      <c r="U1605" s="35"/>
      <c r="V1605" s="35"/>
    </row>
    <row r="1606" spans="1:22">
      <c r="A1606" s="61">
        <v>46045</v>
      </c>
      <c r="B1606" s="35" t="s">
        <v>4488</v>
      </c>
      <c r="C1606" s="35" t="s">
        <v>481</v>
      </c>
      <c r="D1606" s="35" t="s">
        <v>2051</v>
      </c>
      <c r="E1606" s="35">
        <v>86333</v>
      </c>
      <c r="F1606" s="35" t="s">
        <v>4489</v>
      </c>
      <c r="G1606" s="35" t="s">
        <v>4487</v>
      </c>
      <c r="H1606" s="19">
        <v>1334820000</v>
      </c>
      <c r="I1606" s="19" t="s">
        <v>73</v>
      </c>
      <c r="J1606" s="19" t="s">
        <v>37</v>
      </c>
      <c r="K1606" s="19" t="s">
        <v>37</v>
      </c>
      <c r="L1606" s="19" t="s">
        <v>38</v>
      </c>
      <c r="M1606" s="19" t="s">
        <v>37</v>
      </c>
      <c r="N1606" s="19" t="s">
        <v>37</v>
      </c>
      <c r="O1606" s="19" t="s">
        <v>38</v>
      </c>
      <c r="P1606" s="19" t="s">
        <v>39</v>
      </c>
      <c r="Q1606" s="34">
        <v>46050</v>
      </c>
      <c r="R1606" s="35"/>
      <c r="S1606" s="35"/>
      <c r="T1606" s="35"/>
      <c r="U1606" s="35"/>
      <c r="V1606" s="35"/>
    </row>
    <row r="1607" spans="1:22">
      <c r="A1607" s="61">
        <v>46045</v>
      </c>
      <c r="B1607" s="35" t="s">
        <v>4490</v>
      </c>
      <c r="C1607" s="35" t="s">
        <v>284</v>
      </c>
      <c r="D1607" s="35" t="s">
        <v>635</v>
      </c>
      <c r="E1607" s="35">
        <v>85282</v>
      </c>
      <c r="F1607" s="35" t="s">
        <v>4491</v>
      </c>
      <c r="G1607" s="35" t="s">
        <v>4487</v>
      </c>
      <c r="H1607" s="19" t="s">
        <v>27</v>
      </c>
      <c r="I1607" s="19"/>
      <c r="J1607" s="19"/>
      <c r="K1607" s="19"/>
      <c r="L1607" s="19"/>
      <c r="M1607" s="19"/>
      <c r="N1607" s="19"/>
      <c r="O1607" s="19"/>
      <c r="P1607" s="19"/>
      <c r="Q1607" s="19"/>
      <c r="R1607" s="35"/>
      <c r="S1607" s="35"/>
      <c r="T1607" s="35"/>
      <c r="U1607" s="35"/>
      <c r="V1607" s="35"/>
    </row>
    <row r="1608" spans="1:22">
      <c r="A1608" s="61">
        <v>46045</v>
      </c>
      <c r="B1608" s="35" t="s">
        <v>4492</v>
      </c>
      <c r="C1608" s="35" t="s">
        <v>1533</v>
      </c>
      <c r="D1608" s="35" t="s">
        <v>2051</v>
      </c>
      <c r="E1608" s="35">
        <v>86333</v>
      </c>
      <c r="F1608" s="35" t="s">
        <v>4489</v>
      </c>
      <c r="G1608" s="35" t="s">
        <v>4487</v>
      </c>
      <c r="H1608" s="19">
        <v>1334820000</v>
      </c>
      <c r="I1608" s="19" t="s">
        <v>73</v>
      </c>
      <c r="J1608" s="19" t="s">
        <v>37</v>
      </c>
      <c r="K1608" s="19" t="s">
        <v>37</v>
      </c>
      <c r="L1608" s="19" t="s">
        <v>38</v>
      </c>
      <c r="M1608" s="19" t="s">
        <v>37</v>
      </c>
      <c r="N1608" s="19" t="s">
        <v>37</v>
      </c>
      <c r="O1608" s="19" t="s">
        <v>38</v>
      </c>
      <c r="P1608" s="19" t="s">
        <v>39</v>
      </c>
      <c r="Q1608" s="34">
        <v>46050</v>
      </c>
      <c r="R1608" s="35"/>
      <c r="S1608" s="35"/>
      <c r="T1608" s="35"/>
      <c r="U1608" s="35"/>
      <c r="V1608" s="35"/>
    </row>
    <row r="1609" spans="1:22">
      <c r="A1609" s="61">
        <v>46045</v>
      </c>
      <c r="B1609" s="35" t="s">
        <v>4493</v>
      </c>
      <c r="C1609" s="35" t="s">
        <v>133</v>
      </c>
      <c r="D1609" s="35" t="s">
        <v>2641</v>
      </c>
      <c r="E1609" s="35">
        <v>85087</v>
      </c>
      <c r="F1609" s="35" t="s">
        <v>4494</v>
      </c>
      <c r="G1609" s="62" t="s">
        <v>4495</v>
      </c>
      <c r="H1609" s="19">
        <v>611347410</v>
      </c>
      <c r="I1609" s="19" t="s">
        <v>541</v>
      </c>
      <c r="J1609" s="19" t="s">
        <v>37</v>
      </c>
      <c r="K1609" s="19" t="s">
        <v>37</v>
      </c>
      <c r="L1609" s="19" t="s">
        <v>389</v>
      </c>
      <c r="M1609" s="19" t="s">
        <v>37</v>
      </c>
      <c r="N1609" s="19" t="s">
        <v>37</v>
      </c>
      <c r="O1609" s="19" t="s">
        <v>38</v>
      </c>
      <c r="P1609" s="19" t="s">
        <v>39</v>
      </c>
      <c r="Q1609" s="34">
        <v>46050</v>
      </c>
      <c r="R1609" s="35"/>
      <c r="S1609" s="35"/>
      <c r="T1609" s="35"/>
      <c r="U1609" s="35"/>
      <c r="V1609" s="35"/>
    </row>
    <row r="1610" spans="1:22">
      <c r="A1610" s="61">
        <v>46045</v>
      </c>
      <c r="B1610" s="35" t="s">
        <v>4496</v>
      </c>
      <c r="C1610" s="35" t="s">
        <v>4497</v>
      </c>
      <c r="D1610" s="35" t="s">
        <v>63</v>
      </c>
      <c r="E1610" s="35">
        <v>85027</v>
      </c>
      <c r="F1610" s="35" t="s">
        <v>4498</v>
      </c>
      <c r="G1610" s="62" t="s">
        <v>4499</v>
      </c>
      <c r="H1610" s="19">
        <v>5213017390</v>
      </c>
      <c r="I1610" s="19" t="s">
        <v>541</v>
      </c>
      <c r="J1610" s="19" t="s">
        <v>38</v>
      </c>
      <c r="K1610" s="19" t="s">
        <v>37</v>
      </c>
      <c r="L1610" s="19" t="s">
        <v>389</v>
      </c>
      <c r="M1610" s="19" t="s">
        <v>37</v>
      </c>
      <c r="N1610" s="19" t="s">
        <v>37</v>
      </c>
      <c r="O1610" s="19" t="s">
        <v>38</v>
      </c>
      <c r="P1610" s="19" t="s">
        <v>39</v>
      </c>
      <c r="Q1610" s="34">
        <v>46050</v>
      </c>
      <c r="R1610" s="35"/>
      <c r="S1610" s="35"/>
      <c r="T1610" s="35"/>
      <c r="U1610" s="35"/>
      <c r="V1610" s="35"/>
    </row>
    <row r="1611" spans="1:22">
      <c r="A1611" s="61">
        <v>46045</v>
      </c>
      <c r="B1611" s="35" t="s">
        <v>4500</v>
      </c>
      <c r="C1611" s="35" t="s">
        <v>291</v>
      </c>
      <c r="D1611" s="35" t="s">
        <v>125</v>
      </c>
      <c r="E1611" s="35">
        <v>85260</v>
      </c>
      <c r="F1611" s="35" t="s">
        <v>4501</v>
      </c>
      <c r="G1611" s="35" t="s">
        <v>4499</v>
      </c>
      <c r="H1611" s="19">
        <v>7489330000</v>
      </c>
      <c r="I1611" s="19" t="s">
        <v>73</v>
      </c>
      <c r="J1611" s="19" t="s">
        <v>37</v>
      </c>
      <c r="K1611" s="19" t="s">
        <v>37</v>
      </c>
      <c r="L1611" s="19" t="s">
        <v>38</v>
      </c>
      <c r="M1611" s="19" t="s">
        <v>37</v>
      </c>
      <c r="N1611" s="19" t="s">
        <v>37</v>
      </c>
      <c r="O1611" s="19" t="s">
        <v>38</v>
      </c>
      <c r="P1611" s="19" t="s">
        <v>39</v>
      </c>
      <c r="Q1611" s="34">
        <v>46050</v>
      </c>
      <c r="R1611" s="35"/>
      <c r="S1611" s="35"/>
      <c r="T1611" s="35"/>
      <c r="U1611" s="35"/>
      <c r="V1611" s="35"/>
    </row>
    <row r="1612" spans="1:22">
      <c r="A1612" s="61">
        <v>46048</v>
      </c>
      <c r="B1612" s="35" t="s">
        <v>4502</v>
      </c>
      <c r="C1612" s="35" t="s">
        <v>491</v>
      </c>
      <c r="D1612" s="35" t="s">
        <v>261</v>
      </c>
      <c r="E1612" s="35">
        <v>86312</v>
      </c>
      <c r="F1612" s="35" t="s">
        <v>4503</v>
      </c>
      <c r="G1612" s="62" t="s">
        <v>4504</v>
      </c>
      <c r="H1612" s="19" t="s">
        <v>27</v>
      </c>
      <c r="I1612" s="19"/>
      <c r="J1612" s="19"/>
      <c r="K1612" s="19"/>
      <c r="L1612" s="19"/>
      <c r="M1612" s="19"/>
      <c r="N1612" s="19"/>
      <c r="O1612" s="19"/>
      <c r="P1612" s="19"/>
      <c r="Q1612" s="19"/>
      <c r="R1612" s="35"/>
      <c r="S1612" s="35"/>
      <c r="T1612" s="35"/>
      <c r="U1612" s="35"/>
      <c r="V1612" s="35"/>
    </row>
    <row r="1613" spans="1:22">
      <c r="A1613" s="61">
        <v>46048</v>
      </c>
      <c r="B1613" s="35" t="s">
        <v>4505</v>
      </c>
      <c r="C1613" s="35" t="s">
        <v>3015</v>
      </c>
      <c r="D1613" s="35" t="s">
        <v>737</v>
      </c>
      <c r="E1613" s="35">
        <v>86326</v>
      </c>
      <c r="F1613" s="35" t="s">
        <v>4506</v>
      </c>
      <c r="G1613" s="35" t="s">
        <v>4504</v>
      </c>
      <c r="H1613" s="19">
        <v>3498941000</v>
      </c>
      <c r="I1613" s="19" t="s">
        <v>126</v>
      </c>
      <c r="J1613" s="19" t="s">
        <v>38</v>
      </c>
      <c r="K1613" s="19" t="s">
        <v>37</v>
      </c>
      <c r="L1613" s="19" t="s">
        <v>4507</v>
      </c>
      <c r="M1613" s="19" t="s">
        <v>37</v>
      </c>
      <c r="N1613" s="19" t="s">
        <v>37</v>
      </c>
      <c r="O1613" s="19" t="s">
        <v>38</v>
      </c>
      <c r="P1613" s="19"/>
      <c r="Q1613" s="19"/>
      <c r="R1613" s="35"/>
      <c r="S1613" s="35"/>
      <c r="T1613" s="35"/>
      <c r="U1613" s="35"/>
      <c r="V1613" s="35"/>
    </row>
    <row r="1614" spans="1:22">
      <c r="A1614" s="61">
        <v>46048</v>
      </c>
      <c r="B1614" s="35" t="s">
        <v>4508</v>
      </c>
      <c r="C1614" s="35" t="s">
        <v>768</v>
      </c>
      <c r="D1614" s="35" t="s">
        <v>370</v>
      </c>
      <c r="E1614" s="35">
        <v>85226</v>
      </c>
      <c r="F1614" s="35" t="s">
        <v>4509</v>
      </c>
      <c r="G1614" s="35" t="s">
        <v>4504</v>
      </c>
      <c r="H1614" s="19" t="s">
        <v>27</v>
      </c>
      <c r="I1614" s="19"/>
      <c r="J1614" s="19"/>
      <c r="K1614" s="19"/>
      <c r="L1614" s="19"/>
      <c r="M1614" s="19"/>
      <c r="N1614" s="19"/>
      <c r="O1614" s="19"/>
      <c r="P1614" s="19"/>
      <c r="Q1614" s="19"/>
      <c r="R1614" s="35"/>
      <c r="S1614" s="35"/>
      <c r="T1614" s="35"/>
      <c r="U1614" s="35"/>
      <c r="V1614" s="35"/>
    </row>
    <row r="1615" spans="1:22">
      <c r="A1615" s="61">
        <v>46048</v>
      </c>
      <c r="B1615" s="35" t="s">
        <v>4510</v>
      </c>
      <c r="C1615" s="35" t="s">
        <v>4511</v>
      </c>
      <c r="D1615" s="35" t="s">
        <v>816</v>
      </c>
      <c r="E1615" s="35">
        <v>86303</v>
      </c>
      <c r="F1615" s="35" t="s">
        <v>4512</v>
      </c>
      <c r="G1615" s="35" t="s">
        <v>4504</v>
      </c>
      <c r="H1615" s="19">
        <v>1022760000</v>
      </c>
      <c r="I1615" s="19" t="s">
        <v>126</v>
      </c>
      <c r="J1615" s="19" t="s">
        <v>37</v>
      </c>
      <c r="K1615" s="19" t="s">
        <v>37</v>
      </c>
      <c r="L1615" s="19" t="s">
        <v>38</v>
      </c>
      <c r="M1615" s="19" t="s">
        <v>37</v>
      </c>
      <c r="N1615" s="19" t="s">
        <v>37</v>
      </c>
      <c r="O1615" s="19" t="s">
        <v>38</v>
      </c>
      <c r="P1615" s="19" t="s">
        <v>39</v>
      </c>
      <c r="Q1615" s="34">
        <v>46050</v>
      </c>
      <c r="R1615" s="35"/>
      <c r="S1615" s="35"/>
      <c r="T1615" s="35"/>
      <c r="U1615" s="35"/>
      <c r="V1615" s="35"/>
    </row>
    <row r="1616" spans="1:22">
      <c r="A1616" s="61">
        <v>46048</v>
      </c>
      <c r="B1616" s="35" t="s">
        <v>1893</v>
      </c>
      <c r="C1616" s="35" t="s">
        <v>1894</v>
      </c>
      <c r="D1616" s="35" t="s">
        <v>63</v>
      </c>
      <c r="E1616" s="35">
        <v>85024</v>
      </c>
      <c r="F1616" s="35" t="s">
        <v>4513</v>
      </c>
      <c r="G1616" s="35" t="s">
        <v>4504</v>
      </c>
      <c r="H1616" s="19">
        <v>9214141000</v>
      </c>
      <c r="I1616" s="19" t="s">
        <v>4311</v>
      </c>
      <c r="J1616" s="19" t="s">
        <v>37</v>
      </c>
      <c r="K1616" s="19" t="s">
        <v>37</v>
      </c>
      <c r="L1616" s="19" t="s">
        <v>38</v>
      </c>
      <c r="M1616" s="19" t="s">
        <v>37</v>
      </c>
      <c r="N1616" s="19" t="s">
        <v>37</v>
      </c>
      <c r="O1616" s="19" t="s">
        <v>38</v>
      </c>
      <c r="P1616" s="19" t="s">
        <v>39</v>
      </c>
      <c r="Q1616" s="34">
        <v>46050</v>
      </c>
      <c r="R1616" s="35"/>
      <c r="S1616" s="35"/>
      <c r="T1616" s="35"/>
      <c r="U1616" s="35"/>
      <c r="V1616" s="35"/>
    </row>
    <row r="1617" spans="1:23">
      <c r="A1617" s="61">
        <v>46048</v>
      </c>
      <c r="B1617" s="35" t="s">
        <v>2742</v>
      </c>
      <c r="C1617" s="35" t="s">
        <v>624</v>
      </c>
      <c r="D1617" s="35" t="s">
        <v>24</v>
      </c>
      <c r="E1617" s="35">
        <v>85310</v>
      </c>
      <c r="F1617" s="35" t="s">
        <v>4514</v>
      </c>
      <c r="G1617" s="35" t="s">
        <v>4504</v>
      </c>
      <c r="H1617" s="19">
        <v>8231151000</v>
      </c>
      <c r="I1617" s="19" t="s">
        <v>36</v>
      </c>
      <c r="J1617" s="19" t="s">
        <v>37</v>
      </c>
      <c r="K1617" s="19" t="s">
        <v>37</v>
      </c>
      <c r="L1617" s="19" t="s">
        <v>38</v>
      </c>
      <c r="M1617" s="19" t="s">
        <v>37</v>
      </c>
      <c r="N1617" s="19" t="s">
        <v>37</v>
      </c>
      <c r="O1617" s="19" t="s">
        <v>38</v>
      </c>
      <c r="P1617" s="19" t="s">
        <v>39</v>
      </c>
      <c r="Q1617" s="34">
        <v>46050</v>
      </c>
      <c r="R1617" s="35"/>
      <c r="S1617" s="35"/>
      <c r="T1617" s="35"/>
      <c r="U1617" s="35"/>
      <c r="V1617" s="35"/>
    </row>
    <row r="1618" spans="1:23">
      <c r="A1618" s="61">
        <v>46048</v>
      </c>
      <c r="B1618" s="35" t="s">
        <v>367</v>
      </c>
      <c r="C1618" s="35" t="s">
        <v>4515</v>
      </c>
      <c r="D1618" s="35" t="s">
        <v>63</v>
      </c>
      <c r="E1618" s="35">
        <v>85043</v>
      </c>
      <c r="F1618" s="35" t="s">
        <v>4516</v>
      </c>
      <c r="G1618" s="62" t="s">
        <v>4517</v>
      </c>
      <c r="H1618" s="19" t="s">
        <v>27</v>
      </c>
      <c r="I1618" s="19"/>
      <c r="J1618" s="19"/>
      <c r="K1618" s="19"/>
      <c r="L1618" s="19"/>
      <c r="M1618" s="19"/>
      <c r="N1618" s="19"/>
      <c r="O1618" s="19"/>
      <c r="P1618" s="19"/>
      <c r="Q1618" s="19"/>
      <c r="R1618" s="35"/>
      <c r="S1618" s="35"/>
      <c r="T1618" s="35"/>
      <c r="U1618" s="35"/>
      <c r="V1618" s="35"/>
    </row>
    <row r="1619" spans="1:23">
      <c r="A1619" s="61">
        <v>46048</v>
      </c>
      <c r="B1619" s="35" t="s">
        <v>4518</v>
      </c>
      <c r="C1619" s="35" t="s">
        <v>991</v>
      </c>
      <c r="D1619" s="35" t="s">
        <v>68</v>
      </c>
      <c r="E1619" s="35">
        <v>85331</v>
      </c>
      <c r="F1619" s="35" t="s">
        <v>4519</v>
      </c>
      <c r="G1619" s="35" t="s">
        <v>4517</v>
      </c>
      <c r="H1619" s="19">
        <v>3266151000</v>
      </c>
      <c r="I1619" s="19" t="s">
        <v>541</v>
      </c>
      <c r="J1619" s="19" t="s">
        <v>37</v>
      </c>
      <c r="K1619" s="19" t="s">
        <v>37</v>
      </c>
      <c r="L1619" s="19" t="s">
        <v>389</v>
      </c>
      <c r="M1619" s="19" t="s">
        <v>37</v>
      </c>
      <c r="N1619" s="19" t="s">
        <v>37</v>
      </c>
      <c r="O1619" s="19" t="s">
        <v>38</v>
      </c>
      <c r="P1619" s="19" t="s">
        <v>39</v>
      </c>
      <c r="Q1619" s="34">
        <v>46050</v>
      </c>
      <c r="R1619" s="35"/>
      <c r="S1619" s="35"/>
      <c r="T1619" s="35"/>
      <c r="U1619" s="35"/>
      <c r="V1619" s="35"/>
    </row>
    <row r="1620" spans="1:23">
      <c r="A1620" s="61">
        <v>46048</v>
      </c>
      <c r="B1620" s="35" t="s">
        <v>4520</v>
      </c>
      <c r="C1620" s="35" t="s">
        <v>270</v>
      </c>
      <c r="D1620" s="35" t="s">
        <v>4164</v>
      </c>
      <c r="E1620" s="35">
        <v>85029</v>
      </c>
      <c r="F1620" s="35" t="s">
        <v>4521</v>
      </c>
      <c r="G1620" s="35" t="s">
        <v>4517</v>
      </c>
      <c r="H1620" s="19">
        <v>5307300000</v>
      </c>
      <c r="I1620" s="19" t="s">
        <v>73</v>
      </c>
      <c r="J1620" s="19" t="s">
        <v>37</v>
      </c>
      <c r="K1620" s="19" t="s">
        <v>37</v>
      </c>
      <c r="L1620" s="19" t="s">
        <v>38</v>
      </c>
      <c r="M1620" s="19" t="s">
        <v>37</v>
      </c>
      <c r="N1620" s="19" t="s">
        <v>37</v>
      </c>
      <c r="O1620" s="19" t="s">
        <v>38</v>
      </c>
      <c r="P1620" s="19" t="s">
        <v>39</v>
      </c>
      <c r="Q1620" s="34">
        <v>46050</v>
      </c>
      <c r="R1620" s="35" t="s">
        <v>4522</v>
      </c>
      <c r="S1620" s="35"/>
      <c r="T1620" s="35"/>
      <c r="U1620" s="35"/>
      <c r="V1620" s="35"/>
    </row>
    <row r="1621" spans="1:23">
      <c r="A1621" s="61">
        <v>46049</v>
      </c>
      <c r="B1621" s="35" t="s">
        <v>4523</v>
      </c>
      <c r="C1621" s="35" t="s">
        <v>548</v>
      </c>
      <c r="D1621" s="35" t="s">
        <v>63</v>
      </c>
      <c r="E1621" s="35">
        <v>85003</v>
      </c>
      <c r="F1621" s="35" t="s">
        <v>4524</v>
      </c>
      <c r="G1621" s="62" t="s">
        <v>4525</v>
      </c>
      <c r="H1621" s="19">
        <v>8807453315</v>
      </c>
      <c r="I1621" s="19" t="s">
        <v>196</v>
      </c>
      <c r="J1621" s="19" t="s">
        <v>37</v>
      </c>
      <c r="K1621" s="19" t="s">
        <v>37</v>
      </c>
      <c r="L1621" s="19" t="s">
        <v>4419</v>
      </c>
      <c r="M1621" s="19" t="s">
        <v>37</v>
      </c>
      <c r="N1621" s="19" t="s">
        <v>37</v>
      </c>
      <c r="O1621" s="19" t="s">
        <v>38</v>
      </c>
      <c r="P1621" s="19" t="s">
        <v>39</v>
      </c>
      <c r="Q1621" s="34">
        <v>46050</v>
      </c>
      <c r="R1621" s="35"/>
      <c r="S1621" s="35"/>
      <c r="T1621" s="35"/>
      <c r="U1621" s="35"/>
      <c r="V1621" s="35"/>
    </row>
    <row r="1622" spans="1:23">
      <c r="A1622" s="61">
        <v>46049</v>
      </c>
      <c r="B1622" s="35" t="s">
        <v>4526</v>
      </c>
      <c r="C1622" s="35" t="s">
        <v>2587</v>
      </c>
      <c r="D1622" s="35" t="s">
        <v>2641</v>
      </c>
      <c r="E1622" s="35">
        <v>85087</v>
      </c>
      <c r="F1622" s="35" t="s">
        <v>4527</v>
      </c>
      <c r="G1622" s="62" t="s">
        <v>4525</v>
      </c>
      <c r="H1622" s="19" t="s">
        <v>4528</v>
      </c>
      <c r="I1622" s="19" t="s">
        <v>73</v>
      </c>
      <c r="J1622" s="19" t="s">
        <v>37</v>
      </c>
      <c r="K1622" s="19" t="s">
        <v>37</v>
      </c>
      <c r="L1622" s="19" t="s">
        <v>38</v>
      </c>
      <c r="M1622" s="19" t="s">
        <v>37</v>
      </c>
      <c r="N1622" s="19" t="s">
        <v>37</v>
      </c>
      <c r="O1622" s="19" t="s">
        <v>38</v>
      </c>
      <c r="P1622" s="19" t="s">
        <v>39</v>
      </c>
      <c r="Q1622" s="34">
        <v>46050</v>
      </c>
      <c r="R1622" s="35"/>
      <c r="S1622" s="35"/>
      <c r="T1622" s="35"/>
      <c r="U1622" s="35"/>
      <c r="V1622" s="35"/>
    </row>
    <row r="1623" spans="1:23">
      <c r="A1623" s="59">
        <v>46049</v>
      </c>
      <c r="B1623" s="33" t="s">
        <v>2043</v>
      </c>
      <c r="C1623" s="33" t="s">
        <v>2169</v>
      </c>
      <c r="D1623" s="33" t="s">
        <v>261</v>
      </c>
      <c r="E1623" s="33">
        <v>86315</v>
      </c>
      <c r="F1623" s="44" t="s">
        <v>4529</v>
      </c>
      <c r="G1623" s="44" t="s">
        <v>4525</v>
      </c>
      <c r="H1623" s="43">
        <v>5578697625</v>
      </c>
      <c r="I1623" s="43" t="s">
        <v>57</v>
      </c>
      <c r="J1623" s="43" t="s">
        <v>37</v>
      </c>
      <c r="K1623" s="43" t="s">
        <v>37</v>
      </c>
      <c r="L1623" s="43" t="s">
        <v>4419</v>
      </c>
      <c r="M1623" s="43" t="s">
        <v>37</v>
      </c>
      <c r="N1623" s="43" t="s">
        <v>37</v>
      </c>
      <c r="O1623" s="43" t="s">
        <v>38</v>
      </c>
      <c r="P1623" s="43" t="s">
        <v>39</v>
      </c>
      <c r="Q1623" s="42">
        <v>46050</v>
      </c>
      <c r="R1623" s="33" t="s">
        <v>4530</v>
      </c>
      <c r="S1623" s="33"/>
      <c r="T1623" s="33"/>
      <c r="U1623" s="33"/>
      <c r="V1623" s="33"/>
    </row>
    <row r="1624" spans="1:23">
      <c r="A1624" s="59">
        <v>46049</v>
      </c>
      <c r="B1624" s="33" t="s">
        <v>4531</v>
      </c>
      <c r="C1624" s="33" t="s">
        <v>1806</v>
      </c>
      <c r="D1624" s="33" t="s">
        <v>63</v>
      </c>
      <c r="E1624" s="33">
        <v>85034</v>
      </c>
      <c r="F1624" s="33" t="s">
        <v>4532</v>
      </c>
      <c r="G1624" s="44" t="s">
        <v>4533</v>
      </c>
      <c r="H1624" s="43">
        <v>2265569362</v>
      </c>
      <c r="I1624" s="43" t="s">
        <v>126</v>
      </c>
      <c r="J1624" s="43" t="s">
        <v>38</v>
      </c>
      <c r="K1624" s="43" t="s">
        <v>37</v>
      </c>
      <c r="L1624" s="43" t="s">
        <v>38</v>
      </c>
      <c r="M1624" s="43" t="s">
        <v>37</v>
      </c>
      <c r="N1624" s="43" t="s">
        <v>37</v>
      </c>
      <c r="O1624" s="43" t="s">
        <v>38</v>
      </c>
      <c r="P1624" s="43"/>
      <c r="Q1624" s="42">
        <v>46050</v>
      </c>
      <c r="R1624" s="33" t="s">
        <v>4534</v>
      </c>
      <c r="S1624" s="33"/>
      <c r="T1624" s="33"/>
      <c r="U1624" s="33"/>
      <c r="V1624" s="33"/>
    </row>
    <row r="1625" spans="1:23">
      <c r="A1625" s="61">
        <v>46049</v>
      </c>
      <c r="B1625" s="35" t="s">
        <v>3786</v>
      </c>
      <c r="C1625" s="35" t="s">
        <v>230</v>
      </c>
      <c r="D1625" s="35" t="s">
        <v>63</v>
      </c>
      <c r="E1625" s="35">
        <v>85029</v>
      </c>
      <c r="F1625" s="35" t="s">
        <v>4535</v>
      </c>
      <c r="G1625" s="35"/>
      <c r="H1625" s="19">
        <v>9452141000</v>
      </c>
      <c r="I1625" s="19" t="s">
        <v>126</v>
      </c>
      <c r="J1625" s="19" t="s">
        <v>37</v>
      </c>
      <c r="K1625" s="19" t="s">
        <v>37</v>
      </c>
      <c r="L1625" s="19" t="s">
        <v>38</v>
      </c>
      <c r="M1625" s="19" t="s">
        <v>37</v>
      </c>
      <c r="N1625" s="19" t="s">
        <v>37</v>
      </c>
      <c r="O1625" s="19" t="s">
        <v>38</v>
      </c>
      <c r="P1625" s="19" t="s">
        <v>39</v>
      </c>
      <c r="Q1625" s="34">
        <v>46050</v>
      </c>
      <c r="R1625" s="35"/>
      <c r="S1625" s="35"/>
      <c r="T1625" s="35"/>
      <c r="U1625" s="35"/>
      <c r="V1625" s="35"/>
    </row>
    <row r="1626" spans="1:23">
      <c r="A1626" s="61">
        <v>46049</v>
      </c>
      <c r="B1626" s="35" t="s">
        <v>1815</v>
      </c>
      <c r="C1626" s="35" t="s">
        <v>156</v>
      </c>
      <c r="D1626" s="35" t="s">
        <v>30</v>
      </c>
      <c r="E1626" s="35" t="s">
        <v>4536</v>
      </c>
      <c r="F1626" s="35" t="s">
        <v>4537</v>
      </c>
      <c r="G1626" s="62" t="s">
        <v>4538</v>
      </c>
      <c r="H1626" s="19" t="s">
        <v>27</v>
      </c>
      <c r="I1626" s="19"/>
      <c r="J1626" s="19"/>
      <c r="K1626" s="19"/>
      <c r="L1626" s="19"/>
      <c r="M1626" s="19"/>
      <c r="N1626" s="19"/>
      <c r="O1626" s="19"/>
      <c r="P1626" s="19"/>
      <c r="Q1626" s="19"/>
      <c r="R1626" s="35" t="s">
        <v>4239</v>
      </c>
      <c r="S1626" s="35"/>
      <c r="T1626" s="35"/>
      <c r="U1626" s="35"/>
      <c r="V1626" s="35"/>
    </row>
    <row r="1627" spans="1:23">
      <c r="A1627" s="61">
        <v>46049</v>
      </c>
      <c r="B1627" s="35" t="s">
        <v>3509</v>
      </c>
      <c r="C1627" s="35" t="s">
        <v>422</v>
      </c>
      <c r="D1627" s="35" t="s">
        <v>30</v>
      </c>
      <c r="E1627" s="35" t="s">
        <v>4536</v>
      </c>
      <c r="F1627" s="35" t="s">
        <v>4537</v>
      </c>
      <c r="G1627" s="62" t="s">
        <v>4538</v>
      </c>
      <c r="H1627" s="19" t="s">
        <v>27</v>
      </c>
      <c r="I1627" s="19"/>
      <c r="J1627" s="19"/>
      <c r="K1627" s="19"/>
      <c r="L1627" s="19"/>
      <c r="M1627" s="19"/>
      <c r="N1627" s="19"/>
      <c r="O1627" s="19"/>
      <c r="P1627" s="19"/>
      <c r="Q1627" s="19"/>
      <c r="R1627" s="35" t="s">
        <v>4239</v>
      </c>
      <c r="S1627" s="35"/>
      <c r="T1627" s="35"/>
      <c r="U1627" s="35"/>
      <c r="V1627" s="35"/>
    </row>
    <row r="1628" spans="1:23">
      <c r="A1628" s="59">
        <v>46050</v>
      </c>
      <c r="B1628" s="33" t="s">
        <v>1134</v>
      </c>
      <c r="C1628" s="33" t="s">
        <v>4539</v>
      </c>
      <c r="D1628" s="33" t="s">
        <v>202</v>
      </c>
      <c r="E1628" s="33">
        <v>85345</v>
      </c>
      <c r="F1628" s="33" t="s">
        <v>4540</v>
      </c>
      <c r="G1628" s="44" t="s">
        <v>4541</v>
      </c>
      <c r="H1628" s="45" t="s">
        <v>4542</v>
      </c>
      <c r="I1628" s="43" t="s">
        <v>196</v>
      </c>
      <c r="J1628" s="43" t="s">
        <v>37</v>
      </c>
      <c r="K1628" s="43" t="s">
        <v>37</v>
      </c>
      <c r="L1628" s="43" t="s">
        <v>4543</v>
      </c>
      <c r="M1628" s="43" t="s">
        <v>37</v>
      </c>
      <c r="N1628" s="43" t="s">
        <v>37</v>
      </c>
      <c r="O1628" s="43" t="s">
        <v>38</v>
      </c>
      <c r="P1628" s="43"/>
      <c r="Q1628" s="42">
        <v>46051</v>
      </c>
      <c r="R1628" s="33" t="s">
        <v>4544</v>
      </c>
      <c r="S1628" s="33"/>
      <c r="T1628" s="33"/>
      <c r="U1628" s="33"/>
      <c r="V1628" s="33"/>
      <c r="W1628" s="33"/>
    </row>
    <row r="1629" spans="1:23">
      <c r="A1629" s="23">
        <v>46050</v>
      </c>
      <c r="B1629" s="1" t="s">
        <v>4545</v>
      </c>
      <c r="C1629" s="1" t="s">
        <v>2931</v>
      </c>
      <c r="D1629" s="1" t="s">
        <v>619</v>
      </c>
      <c r="E1629" s="1">
        <v>85364</v>
      </c>
      <c r="F1629" s="1" t="s">
        <v>3865</v>
      </c>
      <c r="G1629" s="1" t="s">
        <v>4546</v>
      </c>
      <c r="H1629" s="4" t="s">
        <v>4547</v>
      </c>
      <c r="I1629" s="5" t="s">
        <v>196</v>
      </c>
      <c r="J1629" s="5" t="s">
        <v>37</v>
      </c>
      <c r="K1629" s="5" t="s">
        <v>37</v>
      </c>
      <c r="L1629" s="5" t="s">
        <v>4548</v>
      </c>
      <c r="M1629" s="5" t="s">
        <v>37</v>
      </c>
      <c r="N1629" s="5" t="s">
        <v>37</v>
      </c>
      <c r="O1629" s="5" t="s">
        <v>38</v>
      </c>
      <c r="Q1629" s="2">
        <v>46051</v>
      </c>
    </row>
    <row r="1630" spans="1:23">
      <c r="A1630" s="23">
        <v>46050</v>
      </c>
      <c r="B1630" s="1" t="s">
        <v>4267</v>
      </c>
      <c r="C1630" s="1" t="s">
        <v>133</v>
      </c>
      <c r="D1630" s="1" t="s">
        <v>30</v>
      </c>
      <c r="E1630" s="1" t="s">
        <v>30</v>
      </c>
      <c r="F1630" s="1" t="s">
        <v>4549</v>
      </c>
      <c r="G1630" s="40" t="s">
        <v>4546</v>
      </c>
      <c r="H1630" s="4" t="s">
        <v>27</v>
      </c>
    </row>
    <row r="1631" spans="1:23">
      <c r="A1631" s="23">
        <v>46050</v>
      </c>
      <c r="B1631" s="1" t="s">
        <v>4550</v>
      </c>
      <c r="C1631" s="1" t="s">
        <v>3465</v>
      </c>
      <c r="D1631" s="1" t="s">
        <v>816</v>
      </c>
      <c r="E1631" s="1">
        <v>86301</v>
      </c>
      <c r="F1631" s="1" t="s">
        <v>4551</v>
      </c>
      <c r="G1631" s="40" t="s">
        <v>4552</v>
      </c>
      <c r="H1631" s="5">
        <v>1993960000</v>
      </c>
      <c r="I1631" s="5" t="s">
        <v>73</v>
      </c>
      <c r="J1631" s="5" t="s">
        <v>37</v>
      </c>
      <c r="K1631" s="5" t="s">
        <v>37</v>
      </c>
      <c r="L1631" s="5" t="s">
        <v>38</v>
      </c>
      <c r="M1631" s="5" t="s">
        <v>37</v>
      </c>
      <c r="N1631" s="5" t="s">
        <v>37</v>
      </c>
      <c r="O1631" s="5" t="s">
        <v>38</v>
      </c>
      <c r="P1631" s="5" t="s">
        <v>39</v>
      </c>
      <c r="Q1631" s="2">
        <v>46051</v>
      </c>
      <c r="R1631" s="1" t="s">
        <v>4522</v>
      </c>
    </row>
    <row r="1632" spans="1:23">
      <c r="A1632" s="23">
        <v>46050</v>
      </c>
      <c r="B1632" s="1" t="s">
        <v>4553</v>
      </c>
      <c r="C1632" s="1" t="s">
        <v>133</v>
      </c>
      <c r="D1632" s="1" t="s">
        <v>1302</v>
      </c>
      <c r="E1632" s="1">
        <v>85390</v>
      </c>
      <c r="F1632" s="1" t="s">
        <v>4554</v>
      </c>
      <c r="G1632" s="1" t="s">
        <v>4552</v>
      </c>
      <c r="H1632" s="4" t="s">
        <v>4555</v>
      </c>
      <c r="I1632" s="5" t="s">
        <v>73</v>
      </c>
      <c r="J1632" s="5" t="s">
        <v>37</v>
      </c>
      <c r="K1632" s="5" t="s">
        <v>37</v>
      </c>
      <c r="L1632" s="5" t="s">
        <v>38</v>
      </c>
      <c r="M1632" s="5" t="s">
        <v>37</v>
      </c>
      <c r="N1632" s="5" t="s">
        <v>37</v>
      </c>
      <c r="O1632" s="5" t="s">
        <v>38</v>
      </c>
      <c r="P1632" s="5" t="s">
        <v>39</v>
      </c>
      <c r="Q1632" s="2">
        <v>46051</v>
      </c>
    </row>
    <row r="1633" spans="1:23">
      <c r="A1633" s="23">
        <v>46050</v>
      </c>
      <c r="B1633" s="1" t="s">
        <v>4556</v>
      </c>
      <c r="C1633" s="1" t="s">
        <v>225</v>
      </c>
      <c r="D1633" s="1" t="s">
        <v>1302</v>
      </c>
      <c r="E1633" s="1">
        <v>85390</v>
      </c>
      <c r="F1633" s="1" t="s">
        <v>4557</v>
      </c>
      <c r="G1633" s="1" t="s">
        <v>4552</v>
      </c>
      <c r="H1633" s="4" t="s">
        <v>4558</v>
      </c>
      <c r="I1633" s="5" t="s">
        <v>196</v>
      </c>
      <c r="J1633" s="5" t="s">
        <v>37</v>
      </c>
      <c r="K1633" s="5" t="s">
        <v>37</v>
      </c>
      <c r="L1633" s="5" t="s">
        <v>4548</v>
      </c>
      <c r="M1633" s="5" t="s">
        <v>37</v>
      </c>
      <c r="N1633" s="5" t="s">
        <v>37</v>
      </c>
      <c r="O1633" s="5" t="s">
        <v>38</v>
      </c>
      <c r="P1633" s="5" t="s">
        <v>39</v>
      </c>
      <c r="Q1633" s="2">
        <v>46051</v>
      </c>
    </row>
    <row r="1634" spans="1:23">
      <c r="A1634" s="23">
        <v>46050</v>
      </c>
      <c r="B1634" s="1" t="s">
        <v>4559</v>
      </c>
      <c r="C1634" s="1" t="s">
        <v>838</v>
      </c>
      <c r="D1634" s="1" t="s">
        <v>63</v>
      </c>
      <c r="E1634" s="1">
        <v>85040</v>
      </c>
      <c r="F1634" s="1" t="s">
        <v>4560</v>
      </c>
      <c r="G1634" s="1" t="s">
        <v>4552</v>
      </c>
      <c r="H1634" s="4" t="s">
        <v>27</v>
      </c>
    </row>
    <row r="1635" spans="1:23">
      <c r="A1635" s="23">
        <v>46050</v>
      </c>
      <c r="B1635" s="1" t="s">
        <v>930</v>
      </c>
      <c r="C1635" s="1" t="s">
        <v>4561</v>
      </c>
      <c r="D1635" s="1" t="s">
        <v>698</v>
      </c>
      <c r="E1635" s="1">
        <v>85375</v>
      </c>
      <c r="F1635" s="1" t="s">
        <v>4562</v>
      </c>
      <c r="G1635" s="1" t="s">
        <v>4552</v>
      </c>
      <c r="H1635" s="4" t="s">
        <v>27</v>
      </c>
    </row>
    <row r="1636" spans="1:23">
      <c r="A1636" s="23">
        <v>46050</v>
      </c>
      <c r="B1636" s="1" t="s">
        <v>686</v>
      </c>
      <c r="C1636" s="1" t="s">
        <v>4563</v>
      </c>
      <c r="D1636" s="1" t="s">
        <v>1302</v>
      </c>
      <c r="E1636" s="1">
        <v>85390</v>
      </c>
      <c r="F1636" s="1" t="s">
        <v>4564</v>
      </c>
      <c r="G1636" s="1" t="s">
        <v>4552</v>
      </c>
      <c r="H1636" s="4" t="s">
        <v>4565</v>
      </c>
      <c r="I1636" s="5" t="s">
        <v>36</v>
      </c>
      <c r="J1636" s="5" t="s">
        <v>37</v>
      </c>
      <c r="K1636" s="5" t="s">
        <v>37</v>
      </c>
      <c r="L1636" s="5" t="s">
        <v>38</v>
      </c>
      <c r="M1636" s="5" t="s">
        <v>37</v>
      </c>
      <c r="N1636" s="5" t="s">
        <v>37</v>
      </c>
      <c r="O1636" s="5" t="s">
        <v>38</v>
      </c>
      <c r="P1636" s="5" t="s">
        <v>39</v>
      </c>
      <c r="Q1636" s="2">
        <v>46051</v>
      </c>
    </row>
    <row r="1637" spans="1:23">
      <c r="A1637" s="59">
        <v>46050</v>
      </c>
      <c r="B1637" s="33" t="s">
        <v>4566</v>
      </c>
      <c r="C1637" s="33" t="s">
        <v>481</v>
      </c>
      <c r="D1637" s="33" t="s">
        <v>261</v>
      </c>
      <c r="E1637" s="33">
        <v>86314</v>
      </c>
      <c r="F1637" s="33" t="s">
        <v>4567</v>
      </c>
      <c r="G1637" s="33" t="s">
        <v>4552</v>
      </c>
      <c r="H1637" s="45" t="s">
        <v>4568</v>
      </c>
      <c r="I1637" s="43" t="s">
        <v>250</v>
      </c>
      <c r="J1637" s="43" t="s">
        <v>38</v>
      </c>
      <c r="K1637" s="43" t="s">
        <v>37</v>
      </c>
      <c r="L1637" s="43" t="s">
        <v>4569</v>
      </c>
      <c r="M1637" s="43" t="s">
        <v>37</v>
      </c>
      <c r="N1637" s="43" t="s">
        <v>37</v>
      </c>
      <c r="O1637" s="43" t="s">
        <v>38</v>
      </c>
      <c r="P1637" s="43"/>
      <c r="Q1637" s="42">
        <v>46051</v>
      </c>
      <c r="R1637" s="33" t="s">
        <v>4004</v>
      </c>
      <c r="S1637" s="33"/>
      <c r="T1637" s="33"/>
      <c r="U1637" s="33"/>
      <c r="V1637" s="33"/>
      <c r="W1637" s="33"/>
    </row>
    <row r="1638" spans="1:23">
      <c r="A1638" s="59">
        <v>46050</v>
      </c>
      <c r="B1638" s="33" t="s">
        <v>4570</v>
      </c>
      <c r="C1638" s="33" t="s">
        <v>4442</v>
      </c>
      <c r="D1638" s="33" t="s">
        <v>63</v>
      </c>
      <c r="E1638" s="33">
        <v>85020</v>
      </c>
      <c r="F1638" s="33" t="s">
        <v>4571</v>
      </c>
      <c r="G1638" s="33" t="s">
        <v>4552</v>
      </c>
      <c r="H1638" s="45" t="s">
        <v>4572</v>
      </c>
      <c r="I1638" s="43" t="s">
        <v>4573</v>
      </c>
      <c r="J1638" s="43" t="s">
        <v>37</v>
      </c>
      <c r="K1638" s="43" t="s">
        <v>37</v>
      </c>
      <c r="L1638" s="43" t="s">
        <v>4574</v>
      </c>
      <c r="M1638" s="43" t="s">
        <v>37</v>
      </c>
      <c r="N1638" s="43" t="s">
        <v>37</v>
      </c>
      <c r="O1638" s="43" t="s">
        <v>38</v>
      </c>
      <c r="P1638" s="43"/>
      <c r="Q1638" s="42">
        <v>46051</v>
      </c>
      <c r="R1638" s="33" t="s">
        <v>4004</v>
      </c>
      <c r="S1638" s="33"/>
      <c r="T1638" s="33"/>
      <c r="U1638" s="33"/>
      <c r="V1638" s="33"/>
      <c r="W1638" s="33"/>
    </row>
    <row r="1639" spans="1:23">
      <c r="A1639" s="23">
        <v>46051</v>
      </c>
      <c r="B1639" s="1" t="s">
        <v>4575</v>
      </c>
      <c r="C1639" s="1" t="s">
        <v>1953</v>
      </c>
      <c r="D1639" s="1" t="s">
        <v>93</v>
      </c>
      <c r="E1639" s="1">
        <v>85351</v>
      </c>
      <c r="F1639" s="1" t="s">
        <v>4576</v>
      </c>
      <c r="G1639" s="40" t="s">
        <v>4577</v>
      </c>
      <c r="H1639" s="4" t="s">
        <v>4578</v>
      </c>
      <c r="I1639" s="5" t="s">
        <v>36</v>
      </c>
      <c r="J1639" s="5" t="s">
        <v>37</v>
      </c>
      <c r="K1639" s="5" t="s">
        <v>37</v>
      </c>
      <c r="L1639" s="5" t="s">
        <v>38</v>
      </c>
      <c r="M1639" s="5" t="s">
        <v>37</v>
      </c>
      <c r="N1639" s="5" t="s">
        <v>37</v>
      </c>
      <c r="O1639" s="5" t="s">
        <v>38</v>
      </c>
      <c r="P1639" s="5" t="s">
        <v>39</v>
      </c>
      <c r="Q1639" s="2">
        <v>46052</v>
      </c>
    </row>
    <row r="1640" spans="1:23">
      <c r="A1640" s="23">
        <v>46051</v>
      </c>
      <c r="B1640" s="1" t="s">
        <v>4579</v>
      </c>
      <c r="C1640" s="1" t="s">
        <v>4580</v>
      </c>
      <c r="D1640" s="1" t="s">
        <v>261</v>
      </c>
      <c r="E1640" s="1">
        <v>86314</v>
      </c>
      <c r="F1640" s="1" t="s">
        <v>4581</v>
      </c>
      <c r="G1640" s="1" t="s">
        <v>4577</v>
      </c>
      <c r="H1640" s="4" t="s">
        <v>4582</v>
      </c>
      <c r="I1640" s="5" t="s">
        <v>4311</v>
      </c>
      <c r="J1640" s="5" t="s">
        <v>37</v>
      </c>
      <c r="K1640" s="5" t="s">
        <v>37</v>
      </c>
      <c r="L1640" s="5" t="s">
        <v>38</v>
      </c>
      <c r="M1640" s="5" t="s">
        <v>37</v>
      </c>
      <c r="N1640" s="5" t="s">
        <v>37</v>
      </c>
      <c r="O1640" s="5" t="s">
        <v>38</v>
      </c>
      <c r="P1640" s="5" t="s">
        <v>39</v>
      </c>
      <c r="Q1640" s="2">
        <v>46052</v>
      </c>
    </row>
    <row r="1641" spans="1:23">
      <c r="A1641" s="59">
        <v>46051</v>
      </c>
      <c r="B1641" s="33" t="s">
        <v>227</v>
      </c>
      <c r="C1641" s="33" t="s">
        <v>4583</v>
      </c>
      <c r="D1641" s="33" t="s">
        <v>202</v>
      </c>
      <c r="E1641" s="33">
        <v>85383</v>
      </c>
      <c r="F1641" s="33" t="s">
        <v>4584</v>
      </c>
      <c r="G1641" s="33" t="s">
        <v>4577</v>
      </c>
      <c r="H1641" s="45" t="s">
        <v>4585</v>
      </c>
      <c r="I1641" s="43" t="s">
        <v>36</v>
      </c>
      <c r="J1641" s="43" t="s">
        <v>37</v>
      </c>
      <c r="K1641" s="43" t="s">
        <v>37</v>
      </c>
      <c r="L1641" s="43" t="s">
        <v>38</v>
      </c>
      <c r="M1641" s="43" t="s">
        <v>37</v>
      </c>
      <c r="N1641" s="43" t="s">
        <v>37</v>
      </c>
      <c r="O1641" s="43" t="s">
        <v>38</v>
      </c>
      <c r="P1641" s="43"/>
      <c r="Q1641" s="42">
        <v>46052</v>
      </c>
      <c r="R1641" s="33" t="s">
        <v>4534</v>
      </c>
      <c r="S1641" s="33"/>
      <c r="T1641" s="33"/>
      <c r="U1641" s="33"/>
      <c r="V1641" s="33"/>
      <c r="W1641" s="33"/>
    </row>
    <row r="1642" spans="1:23">
      <c r="A1642" s="59">
        <v>46051</v>
      </c>
      <c r="B1642" s="33" t="s">
        <v>4586</v>
      </c>
      <c r="C1642" s="33" t="s">
        <v>4587</v>
      </c>
      <c r="D1642" s="33" t="s">
        <v>63</v>
      </c>
      <c r="E1642" s="33">
        <v>85053</v>
      </c>
      <c r="F1642" s="33" t="s">
        <v>4588</v>
      </c>
      <c r="G1642" s="33" t="s">
        <v>4577</v>
      </c>
      <c r="H1642" s="45" t="s">
        <v>4589</v>
      </c>
      <c r="I1642" s="43" t="s">
        <v>36</v>
      </c>
      <c r="J1642" s="43" t="s">
        <v>38</v>
      </c>
      <c r="K1642" s="43" t="s">
        <v>37</v>
      </c>
      <c r="L1642" s="43" t="s">
        <v>38</v>
      </c>
      <c r="M1642" s="43" t="s">
        <v>38</v>
      </c>
      <c r="N1642" s="65">
        <v>2316.81</v>
      </c>
      <c r="O1642" s="43" t="s">
        <v>38</v>
      </c>
      <c r="P1642" s="43"/>
      <c r="Q1642" s="42">
        <v>46052</v>
      </c>
      <c r="R1642" s="33" t="s">
        <v>4534</v>
      </c>
      <c r="S1642" s="33"/>
      <c r="T1642" s="33"/>
      <c r="U1642" s="33"/>
      <c r="V1642" s="33"/>
      <c r="W1642" s="33"/>
    </row>
    <row r="1643" spans="1:23">
      <c r="A1643" s="23">
        <v>46051</v>
      </c>
      <c r="B1643" s="1" t="s">
        <v>4590</v>
      </c>
      <c r="C1643" s="1" t="s">
        <v>1953</v>
      </c>
      <c r="D1643" s="1" t="s">
        <v>125</v>
      </c>
      <c r="E1643" s="1">
        <v>85254</v>
      </c>
      <c r="F1643" s="1" t="s">
        <v>4591</v>
      </c>
      <c r="G1643" s="40" t="s">
        <v>4592</v>
      </c>
      <c r="H1643" s="4" t="s">
        <v>4593</v>
      </c>
      <c r="I1643" s="5" t="s">
        <v>36</v>
      </c>
      <c r="J1643" s="5" t="s">
        <v>37</v>
      </c>
      <c r="K1643" s="5" t="s">
        <v>37</v>
      </c>
      <c r="L1643" s="5" t="s">
        <v>38</v>
      </c>
      <c r="M1643" s="5" t="s">
        <v>37</v>
      </c>
      <c r="N1643" s="5" t="s">
        <v>37</v>
      </c>
      <c r="O1643" s="5" t="s">
        <v>38</v>
      </c>
      <c r="P1643" s="5" t="s">
        <v>39</v>
      </c>
      <c r="Q1643" s="2">
        <v>46052</v>
      </c>
    </row>
    <row r="1644" spans="1:23">
      <c r="A1644" s="23">
        <v>46051</v>
      </c>
      <c r="B1644" s="1" t="s">
        <v>4594</v>
      </c>
      <c r="C1644" s="1" t="s">
        <v>1227</v>
      </c>
      <c r="D1644" s="1" t="s">
        <v>63</v>
      </c>
      <c r="E1644" s="1">
        <v>85032</v>
      </c>
      <c r="F1644" s="1" t="s">
        <v>4595</v>
      </c>
      <c r="G1644" s="40" t="s">
        <v>4592</v>
      </c>
      <c r="H1644" s="4">
        <v>2225101000</v>
      </c>
      <c r="I1644" s="5" t="s">
        <v>126</v>
      </c>
      <c r="J1644" s="5" t="s">
        <v>37</v>
      </c>
      <c r="K1644" s="5" t="s">
        <v>37</v>
      </c>
      <c r="L1644" s="5" t="s">
        <v>4548</v>
      </c>
      <c r="M1644" s="5" t="s">
        <v>37</v>
      </c>
      <c r="N1644" s="5" t="s">
        <v>37</v>
      </c>
      <c r="O1644" s="5" t="s">
        <v>38</v>
      </c>
      <c r="Q1644" s="2">
        <v>46052</v>
      </c>
      <c r="R1644" s="1" t="s">
        <v>4596</v>
      </c>
    </row>
    <row r="1645" spans="1:23">
      <c r="A1645" s="23">
        <v>46051</v>
      </c>
      <c r="B1645" s="1" t="s">
        <v>4597</v>
      </c>
      <c r="C1645" s="1" t="s">
        <v>2302</v>
      </c>
      <c r="D1645" s="1" t="s">
        <v>24</v>
      </c>
      <c r="E1645" s="1">
        <v>85308</v>
      </c>
      <c r="F1645" s="1" t="s">
        <v>4598</v>
      </c>
      <c r="G1645" s="40" t="s">
        <v>4592</v>
      </c>
      <c r="H1645" s="4" t="s">
        <v>90</v>
      </c>
    </row>
    <row r="1646" spans="1:23">
      <c r="A1646" s="23">
        <v>46052</v>
      </c>
      <c r="B1646" s="1" t="s">
        <v>4599</v>
      </c>
      <c r="C1646" s="1" t="s">
        <v>4600</v>
      </c>
      <c r="D1646" s="1" t="s">
        <v>125</v>
      </c>
      <c r="E1646" s="1">
        <v>85254</v>
      </c>
      <c r="F1646" s="1" t="s">
        <v>4601</v>
      </c>
      <c r="G1646" s="40" t="s">
        <v>4602</v>
      </c>
      <c r="H1646" s="4" t="s">
        <v>4603</v>
      </c>
      <c r="I1646" s="5" t="s">
        <v>36</v>
      </c>
      <c r="J1646" s="5" t="s">
        <v>37</v>
      </c>
      <c r="K1646" s="5" t="s">
        <v>37</v>
      </c>
      <c r="L1646" s="5" t="s">
        <v>38</v>
      </c>
      <c r="M1646" s="5" t="s">
        <v>37</v>
      </c>
      <c r="N1646" s="5" t="s">
        <v>37</v>
      </c>
      <c r="O1646" s="5" t="s">
        <v>38</v>
      </c>
      <c r="P1646" s="5" t="s">
        <v>39</v>
      </c>
      <c r="Q1646" s="2">
        <v>46057</v>
      </c>
    </row>
    <row r="1647" spans="1:23">
      <c r="A1647" s="23">
        <v>46052</v>
      </c>
      <c r="B1647" s="1" t="s">
        <v>4604</v>
      </c>
      <c r="C1647" s="1" t="s">
        <v>2135</v>
      </c>
      <c r="D1647" s="1" t="s">
        <v>698</v>
      </c>
      <c r="E1647" s="1">
        <v>85375</v>
      </c>
      <c r="F1647" s="1" t="s">
        <v>4605</v>
      </c>
      <c r="G1647" s="40" t="s">
        <v>4602</v>
      </c>
      <c r="H1647" s="4" t="s">
        <v>4606</v>
      </c>
      <c r="I1647" s="5" t="s">
        <v>46</v>
      </c>
      <c r="J1647" s="5" t="s">
        <v>37</v>
      </c>
      <c r="K1647" s="5" t="s">
        <v>37</v>
      </c>
      <c r="L1647" s="5" t="s">
        <v>38</v>
      </c>
      <c r="M1647" s="5" t="s">
        <v>38</v>
      </c>
      <c r="N1647" s="13">
        <v>72.2</v>
      </c>
      <c r="O1647" s="5" t="s">
        <v>38</v>
      </c>
      <c r="P1647" s="5" t="s">
        <v>39</v>
      </c>
      <c r="Q1647" s="2">
        <v>46057</v>
      </c>
    </row>
    <row r="1648" spans="1:23">
      <c r="A1648" s="23">
        <v>46049</v>
      </c>
      <c r="B1648" s="1" t="s">
        <v>567</v>
      </c>
      <c r="C1648" s="1" t="s">
        <v>4607</v>
      </c>
      <c r="D1648" s="1" t="s">
        <v>448</v>
      </c>
      <c r="E1648" s="1">
        <v>85361</v>
      </c>
      <c r="F1648" s="1" t="s">
        <v>4608</v>
      </c>
      <c r="G1648" s="40" t="s">
        <v>4609</v>
      </c>
      <c r="H1648" s="4" t="s">
        <v>27</v>
      </c>
    </row>
    <row r="1649" spans="1:23">
      <c r="A1649" s="23">
        <v>46049</v>
      </c>
      <c r="B1649" s="1" t="s">
        <v>4610</v>
      </c>
      <c r="C1649" s="1" t="s">
        <v>4611</v>
      </c>
      <c r="D1649" s="1" t="s">
        <v>63</v>
      </c>
      <c r="E1649" s="1">
        <v>85083</v>
      </c>
      <c r="F1649" s="1" t="s">
        <v>4612</v>
      </c>
      <c r="G1649" s="1" t="s">
        <v>4609</v>
      </c>
      <c r="H1649" s="4" t="s">
        <v>4613</v>
      </c>
      <c r="I1649" s="5" t="s">
        <v>36</v>
      </c>
      <c r="J1649" s="5" t="s">
        <v>37</v>
      </c>
      <c r="K1649" s="5" t="s">
        <v>37</v>
      </c>
      <c r="L1649" s="5" t="s">
        <v>38</v>
      </c>
      <c r="M1649" s="5" t="s">
        <v>37</v>
      </c>
      <c r="N1649" s="5" t="s">
        <v>37</v>
      </c>
      <c r="O1649" s="5" t="s">
        <v>38</v>
      </c>
      <c r="P1649" s="5" t="s">
        <v>39</v>
      </c>
      <c r="Q1649" s="2">
        <v>46057</v>
      </c>
    </row>
    <row r="1650" spans="1:23">
      <c r="A1650" s="23">
        <v>46049</v>
      </c>
      <c r="B1650" s="1" t="s">
        <v>4614</v>
      </c>
      <c r="C1650" s="1" t="s">
        <v>471</v>
      </c>
      <c r="D1650" s="1" t="s">
        <v>261</v>
      </c>
      <c r="E1650" s="1">
        <v>86314</v>
      </c>
      <c r="F1650" s="1" t="s">
        <v>4615</v>
      </c>
      <c r="G1650" s="1" t="s">
        <v>4609</v>
      </c>
      <c r="H1650" s="4" t="s">
        <v>4616</v>
      </c>
      <c r="I1650" s="5" t="s">
        <v>126</v>
      </c>
      <c r="J1650" s="5" t="s">
        <v>37</v>
      </c>
      <c r="K1650" s="5" t="s">
        <v>37</v>
      </c>
      <c r="L1650" s="5" t="s">
        <v>38</v>
      </c>
      <c r="M1650" s="5" t="s">
        <v>37</v>
      </c>
      <c r="N1650" s="5" t="s">
        <v>37</v>
      </c>
      <c r="O1650" s="5" t="s">
        <v>38</v>
      </c>
      <c r="P1650" s="5" t="s">
        <v>39</v>
      </c>
      <c r="Q1650" s="2">
        <v>46057</v>
      </c>
    </row>
    <row r="1651" spans="1:23">
      <c r="A1651" s="23">
        <v>46049</v>
      </c>
      <c r="B1651" s="1" t="s">
        <v>4617</v>
      </c>
      <c r="C1651" s="1" t="s">
        <v>4618</v>
      </c>
      <c r="D1651" s="1" t="s">
        <v>619</v>
      </c>
      <c r="E1651" s="1">
        <v>85364</v>
      </c>
      <c r="F1651" s="1" t="s">
        <v>4619</v>
      </c>
      <c r="G1651" s="1" t="s">
        <v>4609</v>
      </c>
      <c r="H1651" s="4" t="s">
        <v>27</v>
      </c>
    </row>
    <row r="1652" spans="1:23">
      <c r="A1652" s="59">
        <v>46049</v>
      </c>
      <c r="B1652" s="33" t="s">
        <v>4620</v>
      </c>
      <c r="C1652" s="33" t="s">
        <v>312</v>
      </c>
      <c r="D1652" s="33" t="s">
        <v>412</v>
      </c>
      <c r="E1652" s="33">
        <v>85123</v>
      </c>
      <c r="F1652" s="33" t="s">
        <v>4621</v>
      </c>
      <c r="G1652" s="33" t="s">
        <v>4609</v>
      </c>
      <c r="H1652" s="45" t="s">
        <v>4622</v>
      </c>
      <c r="I1652" s="43" t="s">
        <v>36</v>
      </c>
      <c r="J1652" s="43" t="s">
        <v>37</v>
      </c>
      <c r="K1652" s="43" t="s">
        <v>37</v>
      </c>
      <c r="L1652" s="43" t="s">
        <v>38</v>
      </c>
      <c r="M1652" s="43" t="s">
        <v>38</v>
      </c>
      <c r="N1652" s="48">
        <v>309.8</v>
      </c>
      <c r="O1652" s="43" t="s">
        <v>38</v>
      </c>
      <c r="P1652" s="43"/>
      <c r="Q1652" s="42">
        <v>46057</v>
      </c>
      <c r="R1652" s="33" t="s">
        <v>4534</v>
      </c>
      <c r="S1652" s="33"/>
      <c r="T1652" s="33"/>
      <c r="U1652" s="33"/>
      <c r="V1652" s="33"/>
      <c r="W1652" s="33"/>
    </row>
    <row r="1653" spans="1:23">
      <c r="A1653" s="59">
        <v>46049</v>
      </c>
      <c r="B1653" s="33" t="s">
        <v>3852</v>
      </c>
      <c r="C1653" s="33" t="s">
        <v>4623</v>
      </c>
      <c r="D1653" s="33" t="s">
        <v>63</v>
      </c>
      <c r="E1653" s="33">
        <v>85023</v>
      </c>
      <c r="F1653" s="33" t="s">
        <v>4624</v>
      </c>
      <c r="G1653" s="33" t="s">
        <v>4609</v>
      </c>
      <c r="H1653" s="45" t="s">
        <v>4625</v>
      </c>
      <c r="I1653" s="43" t="s">
        <v>73</v>
      </c>
      <c r="J1653" s="43" t="s">
        <v>37</v>
      </c>
      <c r="K1653" s="43" t="s">
        <v>37</v>
      </c>
      <c r="L1653" s="43" t="s">
        <v>38</v>
      </c>
      <c r="M1653" s="43" t="s">
        <v>38</v>
      </c>
      <c r="N1653" s="48">
        <v>202.33</v>
      </c>
      <c r="O1653" s="43" t="s">
        <v>38</v>
      </c>
      <c r="P1653" s="43"/>
      <c r="Q1653" s="42">
        <v>46057</v>
      </c>
      <c r="R1653" s="33" t="s">
        <v>4534</v>
      </c>
      <c r="S1653" s="33"/>
      <c r="T1653" s="33"/>
      <c r="U1653" s="33"/>
      <c r="V1653" s="33"/>
      <c r="W1653" s="33"/>
    </row>
    <row r="1654" spans="1:23">
      <c r="A1654" s="23">
        <v>46049</v>
      </c>
      <c r="B1654" s="1" t="s">
        <v>4626</v>
      </c>
      <c r="C1654" s="1" t="s">
        <v>4627</v>
      </c>
      <c r="D1654" s="1" t="s">
        <v>63</v>
      </c>
      <c r="E1654" s="1">
        <v>85023</v>
      </c>
      <c r="F1654" s="1" t="s">
        <v>4628</v>
      </c>
      <c r="G1654" s="1" t="s">
        <v>4609</v>
      </c>
      <c r="H1654" s="4" t="s">
        <v>4629</v>
      </c>
      <c r="I1654" s="5" t="s">
        <v>46</v>
      </c>
      <c r="J1654" s="5" t="s">
        <v>37</v>
      </c>
      <c r="K1654" s="5" t="s">
        <v>37</v>
      </c>
      <c r="L1654" s="5" t="s">
        <v>38</v>
      </c>
      <c r="M1654" s="5" t="s">
        <v>37</v>
      </c>
      <c r="N1654" s="5" t="s">
        <v>37</v>
      </c>
      <c r="O1654" s="5" t="s">
        <v>38</v>
      </c>
      <c r="P1654" s="5" t="s">
        <v>39</v>
      </c>
      <c r="Q1654" s="2">
        <v>46057</v>
      </c>
      <c r="R1654" s="1" t="s">
        <v>4630</v>
      </c>
    </row>
    <row r="1655" spans="1:23">
      <c r="A1655" s="23">
        <v>46049</v>
      </c>
      <c r="B1655" s="1" t="s">
        <v>333</v>
      </c>
      <c r="C1655" s="1" t="s">
        <v>4234</v>
      </c>
      <c r="D1655" s="1" t="s">
        <v>112</v>
      </c>
      <c r="E1655" s="1">
        <v>85374</v>
      </c>
      <c r="F1655" s="1" t="s">
        <v>4631</v>
      </c>
      <c r="G1655" s="1" t="s">
        <v>4609</v>
      </c>
      <c r="H1655" s="4" t="s">
        <v>4632</v>
      </c>
      <c r="I1655" s="5" t="s">
        <v>73</v>
      </c>
      <c r="J1655" s="5" t="s">
        <v>38</v>
      </c>
      <c r="K1655" s="5" t="s">
        <v>37</v>
      </c>
      <c r="L1655" s="5" t="s">
        <v>38</v>
      </c>
      <c r="M1655" s="5" t="s">
        <v>37</v>
      </c>
      <c r="N1655" s="5" t="s">
        <v>37</v>
      </c>
      <c r="O1655" s="5" t="s">
        <v>38</v>
      </c>
      <c r="P1655" s="5" t="s">
        <v>39</v>
      </c>
      <c r="Q1655" s="2">
        <v>46057</v>
      </c>
    </row>
    <row r="1656" spans="1:23">
      <c r="A1656" s="23">
        <v>46049</v>
      </c>
      <c r="B1656" s="1" t="s">
        <v>4633</v>
      </c>
      <c r="C1656" s="1" t="s">
        <v>4634</v>
      </c>
      <c r="D1656" s="1" t="s">
        <v>619</v>
      </c>
      <c r="E1656" s="1">
        <v>85364</v>
      </c>
      <c r="F1656" s="1" t="s">
        <v>4635</v>
      </c>
      <c r="G1656" s="1" t="s">
        <v>4609</v>
      </c>
      <c r="H1656" s="4" t="s">
        <v>27</v>
      </c>
    </row>
    <row r="1657" spans="1:23">
      <c r="A1657" s="23">
        <v>46049</v>
      </c>
      <c r="B1657" s="1" t="s">
        <v>167</v>
      </c>
      <c r="C1657" s="1" t="s">
        <v>4636</v>
      </c>
      <c r="D1657" s="1" t="s">
        <v>202</v>
      </c>
      <c r="E1657" s="1">
        <v>85345</v>
      </c>
      <c r="F1657" s="1" t="s">
        <v>4637</v>
      </c>
      <c r="G1657" s="1" t="s">
        <v>4609</v>
      </c>
      <c r="H1657" s="4" t="s">
        <v>4638</v>
      </c>
      <c r="I1657" s="5" t="s">
        <v>126</v>
      </c>
      <c r="J1657" s="5" t="s">
        <v>37</v>
      </c>
      <c r="K1657" s="5" t="s">
        <v>37</v>
      </c>
      <c r="L1657" s="5" t="s">
        <v>38</v>
      </c>
      <c r="M1657" s="5" t="s">
        <v>37</v>
      </c>
      <c r="N1657" s="5" t="s">
        <v>37</v>
      </c>
      <c r="O1657" s="5" t="s">
        <v>38</v>
      </c>
      <c r="P1657" s="5" t="s">
        <v>39</v>
      </c>
      <c r="Q1657" s="2">
        <v>46057</v>
      </c>
    </row>
    <row r="1658" spans="1:23">
      <c r="A1658" s="23">
        <v>46049</v>
      </c>
      <c r="B1658" s="1" t="s">
        <v>4639</v>
      </c>
      <c r="C1658" s="1" t="s">
        <v>4640</v>
      </c>
      <c r="D1658" s="1" t="s">
        <v>412</v>
      </c>
      <c r="E1658" s="1">
        <v>85123</v>
      </c>
      <c r="F1658" s="1" t="s">
        <v>4641</v>
      </c>
      <c r="G1658" s="1" t="s">
        <v>4609</v>
      </c>
      <c r="H1658" s="4" t="s">
        <v>4642</v>
      </c>
      <c r="I1658" s="5" t="s">
        <v>4311</v>
      </c>
      <c r="J1658" s="5" t="s">
        <v>37</v>
      </c>
      <c r="K1658" s="5" t="s">
        <v>37</v>
      </c>
      <c r="L1658" s="5" t="s">
        <v>38</v>
      </c>
      <c r="M1658" s="5" t="s">
        <v>37</v>
      </c>
      <c r="N1658" s="5" t="s">
        <v>37</v>
      </c>
      <c r="O1658" s="5" t="s">
        <v>38</v>
      </c>
      <c r="P1658" s="5" t="s">
        <v>39</v>
      </c>
      <c r="Q1658" s="2">
        <v>46057</v>
      </c>
    </row>
    <row r="1659" spans="1:23">
      <c r="A1659" s="23">
        <v>46049</v>
      </c>
      <c r="B1659" s="1" t="s">
        <v>4643</v>
      </c>
      <c r="C1659" s="1" t="s">
        <v>4644</v>
      </c>
      <c r="D1659" s="1" t="s">
        <v>240</v>
      </c>
      <c r="E1659" s="1">
        <v>85340</v>
      </c>
      <c r="F1659" s="1" t="s">
        <v>4645</v>
      </c>
      <c r="G1659" s="1" t="s">
        <v>4609</v>
      </c>
      <c r="H1659" s="4" t="s">
        <v>4646</v>
      </c>
      <c r="I1659" s="5" t="s">
        <v>4647</v>
      </c>
      <c r="J1659" s="5" t="s">
        <v>37</v>
      </c>
      <c r="K1659" s="5" t="s">
        <v>37</v>
      </c>
      <c r="L1659" s="5" t="s">
        <v>4079</v>
      </c>
      <c r="M1659" s="5" t="s">
        <v>37</v>
      </c>
      <c r="N1659" s="5" t="s">
        <v>37</v>
      </c>
      <c r="O1659" s="5" t="s">
        <v>38</v>
      </c>
      <c r="P1659" s="5" t="s">
        <v>39</v>
      </c>
      <c r="Q1659" s="2">
        <v>46057</v>
      </c>
    </row>
    <row r="1660" spans="1:23">
      <c r="A1660" s="23">
        <v>46049</v>
      </c>
      <c r="B1660" s="1" t="s">
        <v>4648</v>
      </c>
      <c r="C1660" s="1" t="s">
        <v>2360</v>
      </c>
      <c r="D1660" s="1" t="s">
        <v>63</v>
      </c>
      <c r="E1660" s="1">
        <v>85029</v>
      </c>
      <c r="F1660" s="1" t="s">
        <v>4649</v>
      </c>
      <c r="G1660" s="1" t="s">
        <v>4609</v>
      </c>
      <c r="H1660" s="4" t="s">
        <v>4650</v>
      </c>
      <c r="I1660" s="5" t="s">
        <v>541</v>
      </c>
      <c r="J1660" s="5" t="s">
        <v>37</v>
      </c>
      <c r="K1660" s="5" t="s">
        <v>37</v>
      </c>
      <c r="L1660" s="5" t="s">
        <v>4079</v>
      </c>
      <c r="M1660" s="5" t="s">
        <v>38</v>
      </c>
      <c r="N1660" s="13">
        <v>125.36</v>
      </c>
      <c r="O1660" s="5" t="s">
        <v>38</v>
      </c>
      <c r="P1660" s="5" t="s">
        <v>39</v>
      </c>
      <c r="Q1660" s="2">
        <v>46057</v>
      </c>
    </row>
    <row r="1661" spans="1:23">
      <c r="A1661" s="23">
        <v>46049</v>
      </c>
      <c r="B1661" s="1" t="s">
        <v>4651</v>
      </c>
      <c r="C1661" s="1" t="s">
        <v>312</v>
      </c>
      <c r="D1661" s="1" t="s">
        <v>112</v>
      </c>
      <c r="E1661" s="1">
        <v>85379</v>
      </c>
      <c r="F1661" s="1" t="s">
        <v>4652</v>
      </c>
      <c r="G1661" s="1" t="s">
        <v>4609</v>
      </c>
      <c r="H1661" s="4" t="s">
        <v>4653</v>
      </c>
      <c r="I1661" s="5" t="s">
        <v>196</v>
      </c>
      <c r="J1661" s="5" t="s">
        <v>38</v>
      </c>
      <c r="K1661" s="5" t="s">
        <v>37</v>
      </c>
      <c r="L1661" s="5" t="s">
        <v>38</v>
      </c>
      <c r="M1661" s="5" t="s">
        <v>37</v>
      </c>
      <c r="N1661" s="5" t="s">
        <v>37</v>
      </c>
      <c r="O1661" s="5" t="s">
        <v>38</v>
      </c>
      <c r="P1661" s="5" t="s">
        <v>39</v>
      </c>
      <c r="Q1661" s="2">
        <v>46057</v>
      </c>
    </row>
    <row r="1662" spans="1:23">
      <c r="A1662" s="23">
        <v>46049</v>
      </c>
      <c r="B1662" s="1" t="s">
        <v>4654</v>
      </c>
      <c r="C1662" s="1" t="s">
        <v>4655</v>
      </c>
      <c r="D1662" s="1" t="s">
        <v>63</v>
      </c>
      <c r="E1662" s="1">
        <v>85006</v>
      </c>
      <c r="F1662" s="1" t="s">
        <v>4656</v>
      </c>
      <c r="G1662" s="1" t="s">
        <v>4609</v>
      </c>
      <c r="H1662" s="4" t="s">
        <v>4657</v>
      </c>
      <c r="I1662" s="5" t="s">
        <v>196</v>
      </c>
      <c r="J1662" s="5" t="s">
        <v>37</v>
      </c>
      <c r="K1662" s="5" t="s">
        <v>37</v>
      </c>
      <c r="L1662" s="5" t="s">
        <v>38</v>
      </c>
      <c r="M1662" s="5" t="s">
        <v>37</v>
      </c>
      <c r="N1662" s="5" t="s">
        <v>37</v>
      </c>
      <c r="O1662" s="5" t="s">
        <v>38</v>
      </c>
      <c r="P1662" s="5" t="s">
        <v>39</v>
      </c>
      <c r="Q1662" s="2">
        <v>46057</v>
      </c>
    </row>
    <row r="1663" spans="1:23">
      <c r="A1663" s="23">
        <v>46049</v>
      </c>
      <c r="B1663" s="1" t="s">
        <v>528</v>
      </c>
      <c r="C1663" s="1" t="s">
        <v>4658</v>
      </c>
      <c r="D1663" s="1" t="s">
        <v>4659</v>
      </c>
      <c r="E1663" s="1">
        <v>85339</v>
      </c>
      <c r="F1663" s="1" t="s">
        <v>4660</v>
      </c>
      <c r="G1663" s="1" t="s">
        <v>4609</v>
      </c>
      <c r="H1663" s="4" t="s">
        <v>27</v>
      </c>
    </row>
    <row r="1664" spans="1:23">
      <c r="A1664" s="23">
        <v>46049</v>
      </c>
      <c r="B1664" s="1" t="s">
        <v>3867</v>
      </c>
      <c r="C1664" s="1" t="s">
        <v>4661</v>
      </c>
      <c r="D1664" s="1" t="s">
        <v>2109</v>
      </c>
      <c r="E1664" s="1">
        <v>86327</v>
      </c>
      <c r="F1664" s="1" t="s">
        <v>4662</v>
      </c>
      <c r="G1664" s="1" t="s">
        <v>4609</v>
      </c>
      <c r="H1664" s="4" t="s">
        <v>27</v>
      </c>
    </row>
    <row r="1665" spans="1:23">
      <c r="A1665" s="23">
        <v>46049</v>
      </c>
      <c r="B1665" s="1" t="s">
        <v>4663</v>
      </c>
      <c r="C1665" s="1" t="s">
        <v>4664</v>
      </c>
      <c r="D1665" s="1" t="s">
        <v>1204</v>
      </c>
      <c r="E1665" s="1">
        <v>85355</v>
      </c>
      <c r="F1665" s="1" t="s">
        <v>4665</v>
      </c>
      <c r="G1665" s="1" t="s">
        <v>4609</v>
      </c>
      <c r="H1665" s="4" t="s">
        <v>4666</v>
      </c>
      <c r="I1665" s="5" t="s">
        <v>36</v>
      </c>
      <c r="J1665" s="5" t="s">
        <v>37</v>
      </c>
      <c r="K1665" s="5" t="s">
        <v>37</v>
      </c>
      <c r="L1665" s="5" t="s">
        <v>38</v>
      </c>
      <c r="M1665" s="5" t="s">
        <v>37</v>
      </c>
      <c r="N1665" s="5" t="s">
        <v>37</v>
      </c>
      <c r="O1665" s="5" t="s">
        <v>38</v>
      </c>
      <c r="P1665" s="5" t="s">
        <v>39</v>
      </c>
      <c r="Q1665" s="2">
        <v>46057</v>
      </c>
    </row>
    <row r="1666" spans="1:23">
      <c r="A1666" s="23">
        <v>46049</v>
      </c>
      <c r="B1666" s="1" t="s">
        <v>1116</v>
      </c>
      <c r="C1666" s="1" t="s">
        <v>4667</v>
      </c>
      <c r="D1666" s="1" t="s">
        <v>63</v>
      </c>
      <c r="E1666" s="1">
        <v>85023</v>
      </c>
      <c r="F1666" s="1" t="s">
        <v>4668</v>
      </c>
      <c r="G1666" s="1" t="s">
        <v>4609</v>
      </c>
      <c r="H1666" s="4" t="s">
        <v>4669</v>
      </c>
      <c r="I1666" s="5" t="s">
        <v>73</v>
      </c>
      <c r="J1666" s="5" t="s">
        <v>37</v>
      </c>
      <c r="K1666" s="5" t="s">
        <v>37</v>
      </c>
      <c r="L1666" s="5" t="s">
        <v>38</v>
      </c>
    </row>
    <row r="1667" spans="1:23">
      <c r="A1667" s="23">
        <v>46049</v>
      </c>
      <c r="B1667" s="1" t="s">
        <v>4670</v>
      </c>
      <c r="C1667" s="1" t="s">
        <v>2658</v>
      </c>
      <c r="D1667" s="1" t="s">
        <v>63</v>
      </c>
      <c r="E1667" s="1">
        <v>85013</v>
      </c>
      <c r="F1667" s="1" t="s">
        <v>4671</v>
      </c>
      <c r="G1667" s="1" t="s">
        <v>4609</v>
      </c>
      <c r="H1667" s="4" t="s">
        <v>4672</v>
      </c>
      <c r="I1667" s="5" t="s">
        <v>36</v>
      </c>
      <c r="J1667" s="5" t="s">
        <v>38</v>
      </c>
      <c r="K1667" s="5" t="s">
        <v>37</v>
      </c>
      <c r="L1667" s="5" t="s">
        <v>38</v>
      </c>
      <c r="M1667" s="5" t="s">
        <v>37</v>
      </c>
      <c r="N1667" s="5" t="s">
        <v>37</v>
      </c>
      <c r="O1667" s="5" t="s">
        <v>38</v>
      </c>
      <c r="P1667" s="5" t="s">
        <v>39</v>
      </c>
      <c r="Q1667" s="2">
        <v>46057</v>
      </c>
    </row>
    <row r="1668" spans="1:23">
      <c r="A1668" s="23">
        <v>46049</v>
      </c>
      <c r="B1668" s="1" t="s">
        <v>4673</v>
      </c>
      <c r="C1668" s="1" t="s">
        <v>307</v>
      </c>
      <c r="D1668" s="1" t="s">
        <v>202</v>
      </c>
      <c r="E1668" s="1">
        <v>85345</v>
      </c>
      <c r="F1668" s="1" t="s">
        <v>4674</v>
      </c>
      <c r="G1668" s="1" t="s">
        <v>4609</v>
      </c>
      <c r="H1668" s="4" t="s">
        <v>4675</v>
      </c>
      <c r="I1668" s="5" t="s">
        <v>36</v>
      </c>
      <c r="J1668" s="5" t="s">
        <v>37</v>
      </c>
      <c r="K1668" s="5" t="s">
        <v>37</v>
      </c>
      <c r="L1668" s="5" t="s">
        <v>38</v>
      </c>
      <c r="M1668" s="5" t="s">
        <v>37</v>
      </c>
      <c r="N1668" s="5" t="s">
        <v>37</v>
      </c>
      <c r="O1668" s="5" t="s">
        <v>38</v>
      </c>
      <c r="P1668" s="5" t="s">
        <v>39</v>
      </c>
      <c r="Q1668" s="2">
        <v>46057</v>
      </c>
    </row>
    <row r="1669" spans="1:23">
      <c r="A1669" s="23">
        <v>46049</v>
      </c>
      <c r="B1669" s="1" t="s">
        <v>4676</v>
      </c>
      <c r="C1669" s="1" t="s">
        <v>4677</v>
      </c>
      <c r="D1669" s="1" t="s">
        <v>63</v>
      </c>
      <c r="E1669" s="1">
        <v>85053</v>
      </c>
      <c r="F1669" s="1" t="s">
        <v>4678</v>
      </c>
      <c r="G1669" s="1" t="s">
        <v>4609</v>
      </c>
      <c r="H1669" s="4" t="s">
        <v>4679</v>
      </c>
      <c r="I1669" s="5" t="s">
        <v>36</v>
      </c>
      <c r="J1669" s="5" t="s">
        <v>37</v>
      </c>
      <c r="K1669" s="5" t="s">
        <v>37</v>
      </c>
      <c r="L1669" s="5" t="s">
        <v>38</v>
      </c>
      <c r="M1669" s="5" t="s">
        <v>37</v>
      </c>
      <c r="N1669" s="5" t="s">
        <v>37</v>
      </c>
      <c r="O1669" s="5" t="s">
        <v>38</v>
      </c>
      <c r="P1669" s="5" t="s">
        <v>39</v>
      </c>
      <c r="Q1669" s="2">
        <v>46057</v>
      </c>
    </row>
    <row r="1670" spans="1:23">
      <c r="A1670" s="23">
        <v>46049</v>
      </c>
      <c r="B1670" s="1" t="s">
        <v>4680</v>
      </c>
      <c r="C1670" s="1" t="s">
        <v>1463</v>
      </c>
      <c r="D1670" s="1" t="s">
        <v>24</v>
      </c>
      <c r="E1670" s="1">
        <v>85307</v>
      </c>
      <c r="F1670" s="66" t="s">
        <v>4681</v>
      </c>
      <c r="G1670" s="1" t="s">
        <v>4609</v>
      </c>
      <c r="H1670" s="4" t="s">
        <v>27</v>
      </c>
      <c r="R1670" s="1" t="s">
        <v>4682</v>
      </c>
    </row>
    <row r="1671" spans="1:23">
      <c r="A1671" s="23">
        <v>46049</v>
      </c>
      <c r="B1671" s="1" t="s">
        <v>4683</v>
      </c>
      <c r="C1671" s="1" t="s">
        <v>4684</v>
      </c>
      <c r="D1671" s="1" t="s">
        <v>63</v>
      </c>
      <c r="E1671" s="1">
        <v>85050</v>
      </c>
      <c r="F1671" s="1" t="s">
        <v>4685</v>
      </c>
      <c r="G1671" s="1" t="s">
        <v>4609</v>
      </c>
      <c r="H1671" s="4" t="s">
        <v>27</v>
      </c>
    </row>
    <row r="1672" spans="1:23">
      <c r="A1672" s="59">
        <v>46049</v>
      </c>
      <c r="B1672" s="33" t="s">
        <v>4686</v>
      </c>
      <c r="C1672" s="33" t="s">
        <v>4150</v>
      </c>
      <c r="D1672" s="33" t="s">
        <v>698</v>
      </c>
      <c r="E1672" s="33">
        <v>85375</v>
      </c>
      <c r="F1672" s="33" t="s">
        <v>4687</v>
      </c>
      <c r="G1672" s="33" t="s">
        <v>4609</v>
      </c>
      <c r="H1672" s="45" t="s">
        <v>4688</v>
      </c>
      <c r="I1672" s="43" t="s">
        <v>57</v>
      </c>
      <c r="J1672" s="43" t="s">
        <v>37</v>
      </c>
      <c r="K1672" s="43" t="s">
        <v>37</v>
      </c>
      <c r="L1672" s="43" t="s">
        <v>4689</v>
      </c>
      <c r="M1672" s="43" t="s">
        <v>37</v>
      </c>
      <c r="N1672" s="43" t="s">
        <v>37</v>
      </c>
      <c r="O1672" s="43" t="s">
        <v>38</v>
      </c>
      <c r="P1672" s="43"/>
      <c r="Q1672" s="42">
        <v>46057</v>
      </c>
      <c r="R1672" s="33" t="s">
        <v>4004</v>
      </c>
      <c r="S1672" s="33"/>
      <c r="T1672" s="33"/>
      <c r="U1672" s="33"/>
      <c r="V1672" s="33"/>
      <c r="W1672" s="33"/>
    </row>
    <row r="1673" spans="1:23">
      <c r="A1673" s="23">
        <v>46049</v>
      </c>
      <c r="B1673" s="1" t="s">
        <v>4690</v>
      </c>
      <c r="C1673" s="1" t="s">
        <v>3006</v>
      </c>
      <c r="D1673" s="1" t="s">
        <v>202</v>
      </c>
      <c r="E1673" s="1">
        <v>85345</v>
      </c>
      <c r="F1673" s="1" t="s">
        <v>4691</v>
      </c>
      <c r="G1673" s="1" t="s">
        <v>4609</v>
      </c>
      <c r="H1673" s="4" t="s">
        <v>4692</v>
      </c>
      <c r="I1673" s="5" t="s">
        <v>73</v>
      </c>
      <c r="J1673" s="5" t="s">
        <v>38</v>
      </c>
      <c r="K1673" s="5" t="s">
        <v>37</v>
      </c>
      <c r="L1673" s="5" t="s">
        <v>38</v>
      </c>
      <c r="M1673" s="5" t="s">
        <v>37</v>
      </c>
      <c r="N1673" s="5" t="s">
        <v>37</v>
      </c>
      <c r="O1673" s="5" t="s">
        <v>38</v>
      </c>
      <c r="P1673" s="5" t="s">
        <v>39</v>
      </c>
      <c r="Q1673" s="2">
        <v>46057</v>
      </c>
    </row>
    <row r="1674" spans="1:23">
      <c r="A1674" s="23">
        <v>46049</v>
      </c>
      <c r="B1674" s="1" t="s">
        <v>4693</v>
      </c>
      <c r="C1674" s="1" t="s">
        <v>4694</v>
      </c>
      <c r="D1674" s="1" t="s">
        <v>2429</v>
      </c>
      <c r="E1674" s="1">
        <v>85132</v>
      </c>
      <c r="F1674" s="1" t="s">
        <v>4695</v>
      </c>
      <c r="G1674" s="1" t="s">
        <v>4609</v>
      </c>
      <c r="H1674" s="4" t="s">
        <v>27</v>
      </c>
    </row>
    <row r="1675" spans="1:23">
      <c r="A1675" s="59">
        <v>46049</v>
      </c>
      <c r="B1675" s="33" t="s">
        <v>4696</v>
      </c>
      <c r="C1675" s="33" t="s">
        <v>382</v>
      </c>
      <c r="D1675" s="33" t="s">
        <v>4697</v>
      </c>
      <c r="E1675" s="33">
        <v>85332</v>
      </c>
      <c r="F1675" s="33" t="s">
        <v>4698</v>
      </c>
      <c r="G1675" s="33" t="s">
        <v>4609</v>
      </c>
      <c r="H1675" s="45" t="s">
        <v>4699</v>
      </c>
      <c r="I1675" s="43" t="s">
        <v>46</v>
      </c>
      <c r="J1675" s="43" t="s">
        <v>37</v>
      </c>
      <c r="K1675" s="43" t="s">
        <v>37</v>
      </c>
      <c r="L1675" s="43" t="s">
        <v>38</v>
      </c>
      <c r="M1675" s="43" t="s">
        <v>38</v>
      </c>
      <c r="N1675" s="48">
        <v>472.66</v>
      </c>
      <c r="O1675" s="43" t="s">
        <v>38</v>
      </c>
      <c r="P1675" s="43"/>
      <c r="Q1675" s="42">
        <v>46057</v>
      </c>
      <c r="R1675" s="33" t="s">
        <v>4534</v>
      </c>
      <c r="S1675" s="33"/>
      <c r="T1675" s="33"/>
      <c r="U1675" s="33"/>
      <c r="V1675" s="33"/>
      <c r="W1675" s="33"/>
    </row>
    <row r="1676" spans="1:23">
      <c r="A1676" s="23">
        <v>46049</v>
      </c>
      <c r="B1676" s="1" t="s">
        <v>49</v>
      </c>
      <c r="C1676" s="1" t="s">
        <v>312</v>
      </c>
      <c r="D1676" s="1" t="s">
        <v>63</v>
      </c>
      <c r="E1676" s="1">
        <v>85086</v>
      </c>
      <c r="F1676" s="1" t="s">
        <v>4700</v>
      </c>
      <c r="G1676" s="1" t="s">
        <v>4609</v>
      </c>
      <c r="H1676" s="4" t="s">
        <v>27</v>
      </c>
    </row>
    <row r="1677" spans="1:23">
      <c r="A1677" s="23">
        <v>46049</v>
      </c>
      <c r="B1677" s="1" t="s">
        <v>4701</v>
      </c>
      <c r="C1677" s="1" t="s">
        <v>225</v>
      </c>
      <c r="D1677" s="1" t="s">
        <v>93</v>
      </c>
      <c r="E1677" s="1">
        <v>85373</v>
      </c>
      <c r="F1677" s="1" t="s">
        <v>4702</v>
      </c>
      <c r="G1677" s="1" t="s">
        <v>4609</v>
      </c>
      <c r="H1677" s="4" t="s">
        <v>4703</v>
      </c>
      <c r="I1677" s="5" t="s">
        <v>126</v>
      </c>
      <c r="J1677" s="5" t="s">
        <v>38</v>
      </c>
      <c r="K1677" s="5" t="s">
        <v>37</v>
      </c>
      <c r="L1677" s="5" t="s">
        <v>4548</v>
      </c>
      <c r="M1677" s="5" t="s">
        <v>37</v>
      </c>
      <c r="N1677" s="5" t="s">
        <v>37</v>
      </c>
      <c r="O1677" s="5" t="s">
        <v>38</v>
      </c>
      <c r="Q1677" s="2">
        <v>46057</v>
      </c>
    </row>
    <row r="1678" spans="1:23">
      <c r="A1678" s="23">
        <v>46049</v>
      </c>
      <c r="B1678" s="1" t="s">
        <v>3012</v>
      </c>
      <c r="C1678" s="1" t="s">
        <v>4704</v>
      </c>
      <c r="D1678" s="1" t="s">
        <v>3361</v>
      </c>
      <c r="E1678" s="1">
        <v>86322</v>
      </c>
      <c r="F1678" s="1" t="s">
        <v>4705</v>
      </c>
      <c r="G1678" s="1" t="s">
        <v>4609</v>
      </c>
      <c r="H1678" s="4" t="s">
        <v>4706</v>
      </c>
      <c r="I1678" s="5" t="s">
        <v>46</v>
      </c>
      <c r="J1678" s="5" t="s">
        <v>38</v>
      </c>
      <c r="K1678" s="5" t="s">
        <v>37</v>
      </c>
      <c r="L1678" s="5" t="s">
        <v>38</v>
      </c>
      <c r="M1678" s="5" t="s">
        <v>37</v>
      </c>
      <c r="N1678" s="5" t="s">
        <v>37</v>
      </c>
      <c r="O1678" s="5" t="s">
        <v>38</v>
      </c>
      <c r="P1678" s="5" t="s">
        <v>39</v>
      </c>
      <c r="Q1678" s="2">
        <v>46057</v>
      </c>
    </row>
    <row r="1679" spans="1:23">
      <c r="A1679" s="23">
        <v>46049</v>
      </c>
      <c r="B1679" s="1" t="s">
        <v>4707</v>
      </c>
      <c r="C1679" s="1" t="s">
        <v>4708</v>
      </c>
      <c r="D1679" s="1" t="s">
        <v>412</v>
      </c>
      <c r="E1679" s="1">
        <v>85124</v>
      </c>
      <c r="F1679" s="1" t="s">
        <v>4709</v>
      </c>
      <c r="G1679" s="1" t="s">
        <v>4609</v>
      </c>
      <c r="H1679" s="4" t="s">
        <v>27</v>
      </c>
    </row>
    <row r="1680" spans="1:23">
      <c r="A1680" s="59">
        <v>46049</v>
      </c>
      <c r="B1680" s="33" t="s">
        <v>4710</v>
      </c>
      <c r="C1680" s="33" t="s">
        <v>920</v>
      </c>
      <c r="D1680" s="33" t="s">
        <v>63</v>
      </c>
      <c r="E1680" s="33">
        <v>85020</v>
      </c>
      <c r="F1680" s="33" t="s">
        <v>4711</v>
      </c>
      <c r="G1680" s="33" t="s">
        <v>4609</v>
      </c>
      <c r="H1680" s="45" t="s">
        <v>4712</v>
      </c>
      <c r="I1680" s="43" t="s">
        <v>36</v>
      </c>
      <c r="J1680" s="43" t="s">
        <v>37</v>
      </c>
      <c r="K1680" s="43" t="s">
        <v>37</v>
      </c>
      <c r="L1680" s="43" t="s">
        <v>38</v>
      </c>
      <c r="M1680" s="43" t="s">
        <v>38</v>
      </c>
      <c r="N1680" s="48">
        <v>178.5</v>
      </c>
      <c r="O1680" s="43" t="s">
        <v>38</v>
      </c>
      <c r="P1680" s="43"/>
      <c r="Q1680" s="42">
        <v>46057</v>
      </c>
      <c r="R1680" s="33" t="s">
        <v>4534</v>
      </c>
      <c r="S1680" s="33"/>
      <c r="T1680" s="33"/>
      <c r="U1680" s="33"/>
      <c r="V1680" s="33"/>
      <c r="W1680" s="33"/>
    </row>
    <row r="1681" spans="1:23">
      <c r="A1681" s="23">
        <v>46049</v>
      </c>
      <c r="B1681" s="1" t="s">
        <v>4713</v>
      </c>
      <c r="C1681" s="1" t="s">
        <v>479</v>
      </c>
      <c r="D1681" s="1" t="s">
        <v>63</v>
      </c>
      <c r="E1681" s="1">
        <v>85032</v>
      </c>
      <c r="F1681" s="1" t="s">
        <v>4714</v>
      </c>
      <c r="G1681" s="1" t="s">
        <v>4609</v>
      </c>
      <c r="H1681" s="4" t="s">
        <v>4715</v>
      </c>
      <c r="I1681" s="5" t="s">
        <v>4214</v>
      </c>
      <c r="J1681" s="5" t="s">
        <v>37</v>
      </c>
      <c r="K1681" s="5" t="s">
        <v>37</v>
      </c>
      <c r="L1681" s="5" t="s">
        <v>4079</v>
      </c>
      <c r="M1681" s="5" t="s">
        <v>37</v>
      </c>
      <c r="N1681" s="5" t="s">
        <v>37</v>
      </c>
      <c r="O1681" s="5" t="s">
        <v>38</v>
      </c>
      <c r="P1681" s="5" t="s">
        <v>39</v>
      </c>
      <c r="Q1681" s="2">
        <v>46057</v>
      </c>
    </row>
    <row r="1682" spans="1:23">
      <c r="A1682" s="23">
        <v>46049</v>
      </c>
      <c r="B1682" s="1" t="s">
        <v>1134</v>
      </c>
      <c r="C1682" s="1" t="s">
        <v>4716</v>
      </c>
      <c r="D1682" s="1" t="s">
        <v>93</v>
      </c>
      <c r="E1682" s="1">
        <v>85351</v>
      </c>
      <c r="F1682" s="1" t="s">
        <v>4717</v>
      </c>
      <c r="G1682" s="1" t="s">
        <v>4609</v>
      </c>
      <c r="H1682" s="4" t="s">
        <v>4718</v>
      </c>
      <c r="I1682" s="5" t="s">
        <v>46</v>
      </c>
      <c r="J1682" s="5" t="s">
        <v>38</v>
      </c>
      <c r="K1682" s="5" t="s">
        <v>37</v>
      </c>
      <c r="L1682" s="5" t="s">
        <v>4719</v>
      </c>
      <c r="M1682" s="5" t="s">
        <v>37</v>
      </c>
      <c r="N1682" s="5" t="s">
        <v>37</v>
      </c>
      <c r="O1682" s="5" t="s">
        <v>38</v>
      </c>
      <c r="P1682" s="5" t="s">
        <v>39</v>
      </c>
      <c r="Q1682" s="2">
        <v>46057</v>
      </c>
    </row>
    <row r="1683" spans="1:23">
      <c r="A1683" s="23">
        <v>46049</v>
      </c>
      <c r="B1683" s="1" t="s">
        <v>4720</v>
      </c>
      <c r="C1683" s="1" t="s">
        <v>481</v>
      </c>
      <c r="D1683" s="1" t="s">
        <v>63</v>
      </c>
      <c r="E1683" s="1">
        <v>85027</v>
      </c>
      <c r="F1683" s="1" t="s">
        <v>4721</v>
      </c>
      <c r="G1683" s="1" t="s">
        <v>4609</v>
      </c>
      <c r="H1683" s="4" t="s">
        <v>90</v>
      </c>
    </row>
    <row r="1684" spans="1:23">
      <c r="A1684" s="23">
        <v>46049</v>
      </c>
      <c r="B1684" s="1" t="s">
        <v>4722</v>
      </c>
      <c r="C1684" s="1" t="s">
        <v>3250</v>
      </c>
      <c r="D1684" s="1" t="s">
        <v>698</v>
      </c>
      <c r="E1684" s="1">
        <v>85375</v>
      </c>
      <c r="F1684" s="1" t="s">
        <v>4723</v>
      </c>
      <c r="G1684" s="1" t="s">
        <v>4609</v>
      </c>
      <c r="H1684" s="4" t="s">
        <v>27</v>
      </c>
    </row>
    <row r="1685" spans="1:23">
      <c r="A1685" s="23">
        <v>46049</v>
      </c>
      <c r="B1685" s="1" t="s">
        <v>4724</v>
      </c>
      <c r="C1685" s="1" t="s">
        <v>4116</v>
      </c>
      <c r="D1685" s="1" t="s">
        <v>63</v>
      </c>
      <c r="E1685" s="1">
        <v>85015</v>
      </c>
      <c r="F1685" s="1" t="s">
        <v>4725</v>
      </c>
      <c r="G1685" s="1" t="s">
        <v>4609</v>
      </c>
      <c r="H1685" s="4" t="s">
        <v>27</v>
      </c>
    </row>
    <row r="1686" spans="1:23">
      <c r="A1686" s="23">
        <v>46049</v>
      </c>
      <c r="B1686" s="1" t="s">
        <v>4726</v>
      </c>
      <c r="C1686" s="1" t="s">
        <v>911</v>
      </c>
      <c r="D1686" s="1" t="s">
        <v>63</v>
      </c>
      <c r="E1686" s="1">
        <v>85009</v>
      </c>
      <c r="F1686" s="1" t="s">
        <v>4727</v>
      </c>
      <c r="G1686" s="1" t="s">
        <v>4609</v>
      </c>
      <c r="H1686" s="4" t="s">
        <v>4728</v>
      </c>
      <c r="I1686" s="5" t="s">
        <v>36</v>
      </c>
      <c r="J1686" s="5" t="s">
        <v>37</v>
      </c>
      <c r="K1686" s="5" t="s">
        <v>37</v>
      </c>
      <c r="L1686" s="5" t="s">
        <v>38</v>
      </c>
      <c r="M1686" s="5" t="s">
        <v>37</v>
      </c>
      <c r="N1686" s="5" t="s">
        <v>37</v>
      </c>
      <c r="O1686" s="5" t="s">
        <v>38</v>
      </c>
      <c r="P1686" s="5" t="s">
        <v>39</v>
      </c>
      <c r="Q1686" s="2">
        <v>46057</v>
      </c>
    </row>
    <row r="1687" spans="1:23">
      <c r="A1687" s="23">
        <v>46049</v>
      </c>
      <c r="B1687" s="1" t="s">
        <v>4729</v>
      </c>
      <c r="C1687" s="1" t="s">
        <v>4730</v>
      </c>
      <c r="D1687" s="1" t="s">
        <v>63</v>
      </c>
      <c r="E1687" s="1">
        <v>85022</v>
      </c>
      <c r="F1687" s="1" t="s">
        <v>4731</v>
      </c>
      <c r="G1687" s="1" t="s">
        <v>4609</v>
      </c>
      <c r="H1687" s="4" t="s">
        <v>27</v>
      </c>
    </row>
    <row r="1688" spans="1:23">
      <c r="A1688" s="23">
        <v>46049</v>
      </c>
      <c r="B1688" s="1" t="s">
        <v>2482</v>
      </c>
      <c r="C1688" s="1" t="s">
        <v>145</v>
      </c>
      <c r="D1688" s="1" t="s">
        <v>112</v>
      </c>
      <c r="E1688" s="1">
        <v>85374</v>
      </c>
      <c r="F1688" s="1" t="s">
        <v>4732</v>
      </c>
      <c r="G1688" s="1" t="s">
        <v>4609</v>
      </c>
      <c r="H1688" s="4" t="s">
        <v>4733</v>
      </c>
      <c r="I1688" s="5" t="s">
        <v>73</v>
      </c>
      <c r="J1688" s="5" t="s">
        <v>38</v>
      </c>
      <c r="K1688" s="5" t="s">
        <v>37</v>
      </c>
      <c r="L1688" s="5" t="s">
        <v>38</v>
      </c>
      <c r="M1688" s="5" t="s">
        <v>37</v>
      </c>
      <c r="N1688" s="5" t="s">
        <v>37</v>
      </c>
      <c r="O1688" s="5" t="s">
        <v>38</v>
      </c>
      <c r="P1688" s="5" t="s">
        <v>39</v>
      </c>
      <c r="Q1688" s="2">
        <v>46057</v>
      </c>
    </row>
    <row r="1689" spans="1:23">
      <c r="A1689" s="23">
        <v>46049</v>
      </c>
      <c r="B1689" s="1" t="s">
        <v>815</v>
      </c>
      <c r="C1689" s="1" t="s">
        <v>1092</v>
      </c>
      <c r="D1689" s="1" t="s">
        <v>112</v>
      </c>
      <c r="E1689" s="1">
        <v>85379</v>
      </c>
      <c r="F1689" s="1" t="s">
        <v>4734</v>
      </c>
      <c r="G1689" s="1" t="s">
        <v>4609</v>
      </c>
      <c r="H1689" s="4" t="s">
        <v>27</v>
      </c>
    </row>
    <row r="1690" spans="1:23">
      <c r="A1690" s="23">
        <v>46049</v>
      </c>
      <c r="B1690" s="1" t="s">
        <v>1361</v>
      </c>
      <c r="C1690" s="1" t="s">
        <v>363</v>
      </c>
      <c r="D1690" s="1" t="s">
        <v>63</v>
      </c>
      <c r="E1690" s="1">
        <v>85044</v>
      </c>
      <c r="F1690" s="1" t="s">
        <v>4735</v>
      </c>
      <c r="G1690" s="1" t="s">
        <v>4609</v>
      </c>
      <c r="H1690" s="4" t="s">
        <v>27</v>
      </c>
    </row>
    <row r="1691" spans="1:23">
      <c r="A1691" s="23">
        <v>46049</v>
      </c>
      <c r="B1691" s="1" t="s">
        <v>4736</v>
      </c>
      <c r="C1691" s="1" t="s">
        <v>4737</v>
      </c>
      <c r="D1691" s="1" t="s">
        <v>3602</v>
      </c>
      <c r="E1691" s="1">
        <v>86337</v>
      </c>
      <c r="F1691" s="1" t="s">
        <v>4738</v>
      </c>
      <c r="G1691" s="1" t="s">
        <v>4609</v>
      </c>
      <c r="H1691" s="4" t="s">
        <v>4739</v>
      </c>
      <c r="I1691" s="5" t="s">
        <v>36</v>
      </c>
      <c r="J1691" s="5" t="s">
        <v>37</v>
      </c>
      <c r="K1691" s="5" t="s">
        <v>37</v>
      </c>
      <c r="L1691" s="5" t="s">
        <v>38</v>
      </c>
      <c r="M1691" s="5" t="s">
        <v>37</v>
      </c>
      <c r="N1691" s="5" t="s">
        <v>37</v>
      </c>
      <c r="O1691" s="5" t="s">
        <v>38</v>
      </c>
      <c r="P1691" s="5" t="s">
        <v>39</v>
      </c>
      <c r="Q1691" s="2">
        <v>46057</v>
      </c>
    </row>
    <row r="1692" spans="1:23">
      <c r="A1692" s="59">
        <v>46049</v>
      </c>
      <c r="B1692" s="33" t="s">
        <v>4740</v>
      </c>
      <c r="C1692" s="33" t="s">
        <v>307</v>
      </c>
      <c r="D1692" s="33" t="s">
        <v>2361</v>
      </c>
      <c r="E1692" s="33">
        <v>86335</v>
      </c>
      <c r="F1692" s="33" t="s">
        <v>4741</v>
      </c>
      <c r="G1692" s="33" t="s">
        <v>4609</v>
      </c>
      <c r="H1692" s="45" t="s">
        <v>4742</v>
      </c>
      <c r="I1692" s="43" t="s">
        <v>73</v>
      </c>
      <c r="J1692" s="43" t="s">
        <v>37</v>
      </c>
      <c r="K1692" s="43" t="s">
        <v>37</v>
      </c>
      <c r="L1692" s="43" t="s">
        <v>38</v>
      </c>
      <c r="M1692" s="43" t="s">
        <v>37</v>
      </c>
      <c r="N1692" s="43" t="s">
        <v>37</v>
      </c>
      <c r="O1692" s="43" t="s">
        <v>38</v>
      </c>
      <c r="P1692" s="43" t="s">
        <v>39</v>
      </c>
      <c r="Q1692" s="42">
        <v>46057</v>
      </c>
      <c r="R1692" s="33"/>
      <c r="S1692" s="33"/>
      <c r="T1692" s="33"/>
      <c r="U1692" s="33"/>
      <c r="V1692" s="33"/>
      <c r="W1692" s="33"/>
    </row>
    <row r="1693" spans="1:23">
      <c r="A1693" s="59">
        <v>46049</v>
      </c>
      <c r="B1693" s="33" t="s">
        <v>4743</v>
      </c>
      <c r="C1693" s="33" t="s">
        <v>4744</v>
      </c>
      <c r="D1693" s="33" t="s">
        <v>2109</v>
      </c>
      <c r="E1693" s="33">
        <v>86327</v>
      </c>
      <c r="F1693" s="33" t="s">
        <v>4745</v>
      </c>
      <c r="G1693" s="33" t="s">
        <v>4609</v>
      </c>
      <c r="H1693" s="45" t="s">
        <v>4746</v>
      </c>
      <c r="I1693" s="43" t="s">
        <v>36</v>
      </c>
      <c r="J1693" s="43" t="s">
        <v>37</v>
      </c>
      <c r="K1693" s="43" t="s">
        <v>37</v>
      </c>
      <c r="L1693" s="43" t="s">
        <v>4747</v>
      </c>
      <c r="M1693" s="43" t="s">
        <v>37</v>
      </c>
      <c r="N1693" s="43" t="s">
        <v>37</v>
      </c>
      <c r="O1693" s="43" t="s">
        <v>38</v>
      </c>
      <c r="P1693" s="43"/>
      <c r="Q1693" s="42">
        <v>46057</v>
      </c>
      <c r="R1693" s="33" t="s">
        <v>4004</v>
      </c>
      <c r="S1693" s="33"/>
      <c r="T1693" s="33"/>
      <c r="U1693" s="33"/>
      <c r="V1693" s="33"/>
      <c r="W1693" s="33"/>
    </row>
    <row r="1694" spans="1:23">
      <c r="A1694" s="23">
        <v>46049</v>
      </c>
      <c r="B1694" s="1" t="s">
        <v>4748</v>
      </c>
      <c r="C1694" s="1" t="s">
        <v>575</v>
      </c>
      <c r="D1694" s="1" t="s">
        <v>2361</v>
      </c>
      <c r="E1694" s="1">
        <v>86335</v>
      </c>
      <c r="F1694" s="1" t="s">
        <v>4749</v>
      </c>
      <c r="G1694" s="1" t="s">
        <v>4609</v>
      </c>
      <c r="H1694" s="4" t="s">
        <v>90</v>
      </c>
    </row>
    <row r="1695" spans="1:23">
      <c r="A1695" s="23">
        <v>46049</v>
      </c>
      <c r="B1695" s="1" t="s">
        <v>4750</v>
      </c>
      <c r="C1695" s="1" t="s">
        <v>4751</v>
      </c>
      <c r="D1695" s="1" t="s">
        <v>63</v>
      </c>
      <c r="E1695" s="1">
        <v>85006</v>
      </c>
      <c r="F1695" s="1" t="s">
        <v>4752</v>
      </c>
      <c r="G1695" s="1" t="s">
        <v>4609</v>
      </c>
      <c r="H1695" s="4" t="s">
        <v>27</v>
      </c>
    </row>
    <row r="1696" spans="1:23">
      <c r="A1696" s="23">
        <v>46049</v>
      </c>
      <c r="B1696" s="1" t="s">
        <v>4753</v>
      </c>
      <c r="C1696" s="1" t="s">
        <v>1293</v>
      </c>
      <c r="D1696" s="1" t="s">
        <v>169</v>
      </c>
      <c r="E1696" s="1">
        <v>85338</v>
      </c>
      <c r="F1696" s="1" t="s">
        <v>4754</v>
      </c>
      <c r="G1696" s="1" t="s">
        <v>4609</v>
      </c>
      <c r="H1696" s="4" t="s">
        <v>4755</v>
      </c>
      <c r="I1696" s="5" t="s">
        <v>4756</v>
      </c>
      <c r="J1696" s="5" t="s">
        <v>37</v>
      </c>
      <c r="K1696" s="5" t="s">
        <v>37</v>
      </c>
      <c r="L1696" s="5" t="s">
        <v>4079</v>
      </c>
      <c r="M1696" s="5" t="s">
        <v>37</v>
      </c>
      <c r="N1696" s="5" t="s">
        <v>37</v>
      </c>
      <c r="O1696" s="5" t="s">
        <v>38</v>
      </c>
      <c r="P1696" s="5" t="s">
        <v>39</v>
      </c>
      <c r="Q1696" s="2">
        <v>46057</v>
      </c>
    </row>
    <row r="1697" spans="1:23">
      <c r="A1697" s="23">
        <v>46049</v>
      </c>
      <c r="B1697" s="1" t="s">
        <v>3561</v>
      </c>
      <c r="C1697" s="1" t="s">
        <v>4757</v>
      </c>
      <c r="D1697" s="1" t="s">
        <v>63</v>
      </c>
      <c r="E1697" s="1">
        <v>85027</v>
      </c>
      <c r="F1697" s="1" t="s">
        <v>4758</v>
      </c>
      <c r="G1697" s="1" t="s">
        <v>4609</v>
      </c>
      <c r="H1697" s="4" t="s">
        <v>90</v>
      </c>
      <c r="R1697" s="1" t="s">
        <v>4759</v>
      </c>
    </row>
    <row r="1698" spans="1:23">
      <c r="A1698" s="23">
        <v>46049</v>
      </c>
      <c r="B1698" s="1" t="s">
        <v>652</v>
      </c>
      <c r="C1698" s="1" t="s">
        <v>4760</v>
      </c>
      <c r="D1698" s="1" t="s">
        <v>112</v>
      </c>
      <c r="E1698" s="1">
        <v>85379</v>
      </c>
      <c r="F1698" s="1" t="s">
        <v>4761</v>
      </c>
      <c r="G1698" s="1" t="s">
        <v>4609</v>
      </c>
      <c r="H1698" s="4" t="s">
        <v>4762</v>
      </c>
      <c r="I1698" s="5" t="s">
        <v>4756</v>
      </c>
      <c r="J1698" s="5" t="s">
        <v>37</v>
      </c>
      <c r="K1698" s="5" t="s">
        <v>37</v>
      </c>
      <c r="L1698" s="5" t="s">
        <v>4079</v>
      </c>
      <c r="M1698" s="5" t="s">
        <v>37</v>
      </c>
      <c r="N1698" s="5" t="s">
        <v>37</v>
      </c>
      <c r="O1698" s="5" t="s">
        <v>38</v>
      </c>
      <c r="P1698" s="5" t="s">
        <v>39</v>
      </c>
      <c r="Q1698" s="2">
        <v>46057</v>
      </c>
    </row>
    <row r="1699" spans="1:23">
      <c r="A1699" s="59">
        <v>46049</v>
      </c>
      <c r="B1699" s="33" t="s">
        <v>4763</v>
      </c>
      <c r="C1699" s="33" t="s">
        <v>777</v>
      </c>
      <c r="D1699" s="33" t="s">
        <v>63</v>
      </c>
      <c r="E1699" s="33">
        <v>85032</v>
      </c>
      <c r="F1699" s="33" t="s">
        <v>4764</v>
      </c>
      <c r="G1699" s="33" t="s">
        <v>4609</v>
      </c>
      <c r="H1699" s="45" t="s">
        <v>4765</v>
      </c>
      <c r="I1699" s="43" t="s">
        <v>36</v>
      </c>
      <c r="J1699" s="43" t="s">
        <v>38</v>
      </c>
      <c r="K1699" s="43" t="s">
        <v>37</v>
      </c>
      <c r="L1699" s="43" t="s">
        <v>4766</v>
      </c>
      <c r="M1699" s="43" t="s">
        <v>38</v>
      </c>
      <c r="N1699" s="48">
        <v>1183.6600000000001</v>
      </c>
      <c r="O1699" s="43" t="s">
        <v>38</v>
      </c>
      <c r="P1699" s="43"/>
      <c r="Q1699" s="42">
        <v>46057</v>
      </c>
      <c r="R1699" s="33" t="s">
        <v>4534</v>
      </c>
      <c r="S1699" s="33"/>
      <c r="T1699" s="33"/>
      <c r="U1699" s="33"/>
      <c r="V1699" s="33"/>
      <c r="W1699" s="33"/>
    </row>
    <row r="1700" spans="1:23">
      <c r="A1700" s="23">
        <v>46049</v>
      </c>
      <c r="B1700" s="1" t="s">
        <v>4767</v>
      </c>
      <c r="C1700" s="1" t="s">
        <v>4768</v>
      </c>
      <c r="D1700" s="1" t="s">
        <v>619</v>
      </c>
      <c r="E1700" s="1">
        <v>85365</v>
      </c>
      <c r="F1700" s="1" t="s">
        <v>4769</v>
      </c>
      <c r="G1700" s="1" t="s">
        <v>4609</v>
      </c>
      <c r="H1700" s="4" t="s">
        <v>4770</v>
      </c>
      <c r="I1700" s="5" t="s">
        <v>250</v>
      </c>
      <c r="J1700" s="5" t="s">
        <v>37</v>
      </c>
      <c r="K1700" s="5" t="s">
        <v>37</v>
      </c>
      <c r="L1700" s="5" t="s">
        <v>38</v>
      </c>
      <c r="M1700" s="5" t="s">
        <v>37</v>
      </c>
      <c r="N1700" s="5" t="s">
        <v>37</v>
      </c>
      <c r="O1700" s="5" t="s">
        <v>38</v>
      </c>
      <c r="P1700" s="5" t="s">
        <v>39</v>
      </c>
      <c r="Q1700" s="2">
        <v>46057</v>
      </c>
    </row>
    <row r="1701" spans="1:23">
      <c r="A1701" s="59">
        <v>46049</v>
      </c>
      <c r="B1701" s="33" t="s">
        <v>4771</v>
      </c>
      <c r="C1701" s="33" t="s">
        <v>4772</v>
      </c>
      <c r="D1701" s="33" t="s">
        <v>112</v>
      </c>
      <c r="E1701" s="33">
        <v>85387</v>
      </c>
      <c r="F1701" s="33" t="s">
        <v>4773</v>
      </c>
      <c r="G1701" s="33" t="s">
        <v>4609</v>
      </c>
      <c r="H1701" s="45" t="s">
        <v>4774</v>
      </c>
      <c r="I1701" s="43" t="s">
        <v>36</v>
      </c>
      <c r="J1701" s="43" t="s">
        <v>37</v>
      </c>
      <c r="K1701" s="43" t="s">
        <v>37</v>
      </c>
      <c r="L1701" s="43" t="s">
        <v>4419</v>
      </c>
      <c r="M1701" s="43" t="s">
        <v>38</v>
      </c>
      <c r="N1701" s="48">
        <v>361.81</v>
      </c>
      <c r="O1701" s="43" t="s">
        <v>38</v>
      </c>
      <c r="P1701" s="43"/>
      <c r="Q1701" s="42">
        <v>46057</v>
      </c>
      <c r="R1701" s="33" t="s">
        <v>4534</v>
      </c>
      <c r="S1701" s="33"/>
      <c r="T1701" s="33"/>
      <c r="U1701" s="33"/>
      <c r="V1701" s="33"/>
      <c r="W1701" s="33"/>
    </row>
    <row r="1702" spans="1:23">
      <c r="A1702" s="23">
        <v>46049</v>
      </c>
      <c r="B1702" s="1" t="s">
        <v>2727</v>
      </c>
      <c r="C1702" s="1" t="s">
        <v>1628</v>
      </c>
      <c r="D1702" s="1" t="s">
        <v>63</v>
      </c>
      <c r="E1702" s="1">
        <v>85022</v>
      </c>
      <c r="F1702" s="1" t="s">
        <v>4775</v>
      </c>
      <c r="G1702" s="1" t="s">
        <v>4609</v>
      </c>
      <c r="H1702" s="4" t="s">
        <v>4776</v>
      </c>
      <c r="I1702" s="5" t="s">
        <v>36</v>
      </c>
      <c r="J1702" s="5" t="s">
        <v>38</v>
      </c>
      <c r="K1702" s="5" t="s">
        <v>37</v>
      </c>
      <c r="L1702" s="5" t="s">
        <v>4777</v>
      </c>
      <c r="M1702" s="5" t="s">
        <v>37</v>
      </c>
      <c r="N1702" s="5" t="s">
        <v>37</v>
      </c>
      <c r="O1702" s="5" t="s">
        <v>38</v>
      </c>
      <c r="P1702" s="5" t="s">
        <v>39</v>
      </c>
      <c r="Q1702" s="2">
        <v>46057</v>
      </c>
    </row>
    <row r="1703" spans="1:23">
      <c r="A1703" s="59">
        <v>46049</v>
      </c>
      <c r="B1703" s="33" t="s">
        <v>4778</v>
      </c>
      <c r="C1703" s="33" t="s">
        <v>4737</v>
      </c>
      <c r="D1703" s="33" t="s">
        <v>112</v>
      </c>
      <c r="E1703" s="33">
        <v>85387</v>
      </c>
      <c r="F1703" s="33" t="s">
        <v>4779</v>
      </c>
      <c r="G1703" s="33" t="s">
        <v>4609</v>
      </c>
      <c r="H1703" s="45" t="s">
        <v>4780</v>
      </c>
      <c r="I1703" s="43" t="s">
        <v>36</v>
      </c>
      <c r="J1703" s="43" t="s">
        <v>38</v>
      </c>
      <c r="K1703" s="43" t="s">
        <v>37</v>
      </c>
      <c r="L1703" s="43" t="s">
        <v>38</v>
      </c>
      <c r="M1703" s="43" t="s">
        <v>38</v>
      </c>
      <c r="N1703" s="48">
        <v>563.04</v>
      </c>
      <c r="O1703" s="43" t="s">
        <v>38</v>
      </c>
      <c r="P1703" s="43"/>
      <c r="Q1703" s="42">
        <v>46057</v>
      </c>
      <c r="R1703" s="33" t="s">
        <v>4534</v>
      </c>
      <c r="S1703" s="33"/>
      <c r="T1703" s="33"/>
      <c r="U1703" s="33"/>
      <c r="V1703" s="33"/>
      <c r="W1703" s="33"/>
    </row>
    <row r="1704" spans="1:23">
      <c r="A1704" s="23">
        <v>46049</v>
      </c>
      <c r="B1704" s="1" t="s">
        <v>4781</v>
      </c>
      <c r="C1704" s="1" t="s">
        <v>4782</v>
      </c>
      <c r="D1704" s="1" t="s">
        <v>112</v>
      </c>
      <c r="E1704" s="1">
        <v>85387</v>
      </c>
      <c r="F1704" s="1" t="s">
        <v>4783</v>
      </c>
      <c r="G1704" s="1" t="s">
        <v>4609</v>
      </c>
      <c r="H1704" s="4" t="s">
        <v>4784</v>
      </c>
      <c r="I1704" s="5" t="s">
        <v>36</v>
      </c>
      <c r="J1704" s="5" t="s">
        <v>37</v>
      </c>
      <c r="K1704" s="5" t="s">
        <v>37</v>
      </c>
      <c r="L1704" s="5" t="s">
        <v>38</v>
      </c>
      <c r="M1704" s="5" t="s">
        <v>37</v>
      </c>
      <c r="N1704" s="5" t="s">
        <v>37</v>
      </c>
      <c r="O1704" s="5" t="s">
        <v>38</v>
      </c>
      <c r="P1704" s="5" t="s">
        <v>39</v>
      </c>
      <c r="Q1704" s="2">
        <v>46057</v>
      </c>
    </row>
    <row r="1705" spans="1:23">
      <c r="A1705" s="23">
        <v>46049</v>
      </c>
      <c r="B1705" s="1" t="s">
        <v>3383</v>
      </c>
      <c r="C1705" s="1" t="s">
        <v>307</v>
      </c>
      <c r="D1705" s="1" t="s">
        <v>24</v>
      </c>
      <c r="E1705" s="1">
        <v>85304</v>
      </c>
      <c r="F1705" s="1" t="s">
        <v>4785</v>
      </c>
      <c r="G1705" s="1" t="s">
        <v>4609</v>
      </c>
      <c r="H1705" s="4" t="s">
        <v>4786</v>
      </c>
      <c r="I1705" s="5" t="s">
        <v>4787</v>
      </c>
      <c r="J1705" s="5" t="s">
        <v>37</v>
      </c>
      <c r="K1705" s="5" t="s">
        <v>37</v>
      </c>
      <c r="L1705" s="5" t="s">
        <v>38</v>
      </c>
      <c r="M1705" s="5" t="s">
        <v>37</v>
      </c>
      <c r="N1705" s="5" t="s">
        <v>37</v>
      </c>
      <c r="O1705" s="5" t="s">
        <v>38</v>
      </c>
      <c r="P1705" s="5" t="s">
        <v>39</v>
      </c>
      <c r="Q1705" s="2">
        <v>46057</v>
      </c>
    </row>
    <row r="1706" spans="1:23">
      <c r="A1706" s="23">
        <v>46049</v>
      </c>
      <c r="B1706" s="1" t="s">
        <v>4788</v>
      </c>
      <c r="C1706" s="1" t="s">
        <v>230</v>
      </c>
      <c r="D1706" s="1" t="s">
        <v>3111</v>
      </c>
      <c r="E1706" s="1">
        <v>85901</v>
      </c>
      <c r="F1706" s="1" t="s">
        <v>4789</v>
      </c>
      <c r="G1706" s="1" t="s">
        <v>4609</v>
      </c>
      <c r="H1706" s="4" t="s">
        <v>4790</v>
      </c>
      <c r="I1706" s="5" t="s">
        <v>36</v>
      </c>
      <c r="J1706" s="5" t="s">
        <v>37</v>
      </c>
      <c r="K1706" s="5" t="s">
        <v>37</v>
      </c>
      <c r="L1706" s="5" t="s">
        <v>38</v>
      </c>
      <c r="M1706" s="5" t="s">
        <v>37</v>
      </c>
      <c r="N1706" s="5" t="s">
        <v>37</v>
      </c>
      <c r="O1706" s="5" t="s">
        <v>38</v>
      </c>
      <c r="P1706" s="5" t="s">
        <v>39</v>
      </c>
      <c r="Q1706" s="2">
        <v>46057</v>
      </c>
    </row>
    <row r="1707" spans="1:23">
      <c r="A1707" s="23">
        <v>46049</v>
      </c>
      <c r="B1707" s="1" t="s">
        <v>558</v>
      </c>
      <c r="C1707" s="1" t="s">
        <v>4791</v>
      </c>
      <c r="D1707" s="1" t="s">
        <v>112</v>
      </c>
      <c r="E1707" s="1">
        <v>85388</v>
      </c>
      <c r="F1707" s="1" t="s">
        <v>4792</v>
      </c>
      <c r="G1707" s="1" t="s">
        <v>4609</v>
      </c>
      <c r="H1707" s="4" t="s">
        <v>4793</v>
      </c>
      <c r="I1707" s="5" t="s">
        <v>36</v>
      </c>
      <c r="J1707" s="5" t="s">
        <v>37</v>
      </c>
      <c r="K1707" s="5" t="s">
        <v>37</v>
      </c>
      <c r="L1707" s="5" t="s">
        <v>38</v>
      </c>
      <c r="M1707" s="5" t="s">
        <v>37</v>
      </c>
      <c r="N1707" s="5" t="s">
        <v>37</v>
      </c>
      <c r="O1707" s="5" t="s">
        <v>38</v>
      </c>
      <c r="P1707" s="5" t="s">
        <v>39</v>
      </c>
      <c r="Q1707" s="2">
        <v>46057</v>
      </c>
    </row>
    <row r="1708" spans="1:23">
      <c r="A1708" s="23">
        <v>46049</v>
      </c>
      <c r="B1708" s="1" t="s">
        <v>4794</v>
      </c>
      <c r="C1708" s="1" t="s">
        <v>4457</v>
      </c>
      <c r="D1708" s="1" t="s">
        <v>523</v>
      </c>
      <c r="E1708" s="1">
        <v>85323</v>
      </c>
      <c r="F1708" s="1" t="s">
        <v>4795</v>
      </c>
      <c r="G1708" s="1" t="s">
        <v>4609</v>
      </c>
      <c r="H1708" s="4" t="s">
        <v>27</v>
      </c>
    </row>
    <row r="1709" spans="1:23">
      <c r="A1709" s="23">
        <v>46049</v>
      </c>
      <c r="B1709" s="1" t="s">
        <v>4796</v>
      </c>
      <c r="C1709" s="1" t="s">
        <v>575</v>
      </c>
      <c r="D1709" s="1" t="s">
        <v>89</v>
      </c>
      <c r="E1709" s="1">
        <v>86336</v>
      </c>
      <c r="F1709" s="1" t="s">
        <v>4797</v>
      </c>
      <c r="G1709" s="1" t="s">
        <v>4609</v>
      </c>
      <c r="H1709" s="4" t="s">
        <v>27</v>
      </c>
    </row>
    <row r="1710" spans="1:23">
      <c r="A1710" s="23">
        <v>46049</v>
      </c>
      <c r="B1710" s="1" t="s">
        <v>4798</v>
      </c>
      <c r="C1710" s="1" t="s">
        <v>75</v>
      </c>
      <c r="D1710" s="1" t="s">
        <v>24</v>
      </c>
      <c r="E1710" s="1">
        <v>85308</v>
      </c>
      <c r="F1710" s="1" t="s">
        <v>4799</v>
      </c>
      <c r="G1710" s="1" t="s">
        <v>4609</v>
      </c>
      <c r="H1710" s="4" t="s">
        <v>4800</v>
      </c>
      <c r="I1710" s="5" t="s">
        <v>36</v>
      </c>
      <c r="J1710" s="5" t="s">
        <v>37</v>
      </c>
      <c r="K1710" s="5" t="s">
        <v>37</v>
      </c>
      <c r="L1710" s="5" t="s">
        <v>38</v>
      </c>
      <c r="M1710" s="5" t="s">
        <v>37</v>
      </c>
      <c r="N1710" s="5" t="s">
        <v>37</v>
      </c>
      <c r="O1710" s="5" t="s">
        <v>38</v>
      </c>
      <c r="P1710" s="5" t="s">
        <v>39</v>
      </c>
      <c r="Q1710" s="2">
        <v>46057</v>
      </c>
    </row>
    <row r="1711" spans="1:23">
      <c r="A1711" s="23">
        <v>46049</v>
      </c>
      <c r="B1711" s="1" t="s">
        <v>1776</v>
      </c>
      <c r="C1711" s="1" t="s">
        <v>307</v>
      </c>
      <c r="D1711" s="1" t="s">
        <v>4801</v>
      </c>
      <c r="E1711" s="1">
        <v>85363</v>
      </c>
      <c r="F1711" s="1" t="s">
        <v>4802</v>
      </c>
      <c r="G1711" s="1" t="s">
        <v>4609</v>
      </c>
      <c r="H1711" s="4" t="s">
        <v>27</v>
      </c>
    </row>
    <row r="1712" spans="1:23">
      <c r="A1712" s="23">
        <v>46049</v>
      </c>
      <c r="B1712" s="1" t="s">
        <v>4803</v>
      </c>
      <c r="C1712" s="1" t="s">
        <v>2675</v>
      </c>
      <c r="D1712" s="1" t="s">
        <v>261</v>
      </c>
      <c r="E1712" s="1">
        <v>86315</v>
      </c>
      <c r="F1712" s="1" t="s">
        <v>4804</v>
      </c>
      <c r="G1712" s="1" t="s">
        <v>4609</v>
      </c>
      <c r="H1712" s="4" t="s">
        <v>27</v>
      </c>
    </row>
    <row r="1713" spans="1:23">
      <c r="A1713" s="59">
        <v>46049</v>
      </c>
      <c r="B1713" s="33" t="s">
        <v>4805</v>
      </c>
      <c r="C1713" s="33" t="s">
        <v>225</v>
      </c>
      <c r="D1713" s="33" t="s">
        <v>63</v>
      </c>
      <c r="E1713" s="33">
        <v>85053</v>
      </c>
      <c r="F1713" s="33" t="s">
        <v>4806</v>
      </c>
      <c r="G1713" s="33" t="s">
        <v>4609</v>
      </c>
      <c r="H1713" s="45" t="s">
        <v>4807</v>
      </c>
      <c r="I1713" s="43" t="s">
        <v>196</v>
      </c>
      <c r="J1713" s="43" t="s">
        <v>38</v>
      </c>
      <c r="K1713" s="43" t="s">
        <v>37</v>
      </c>
      <c r="L1713" s="43" t="s">
        <v>38</v>
      </c>
      <c r="M1713" s="43" t="s">
        <v>38</v>
      </c>
      <c r="N1713" s="48">
        <v>4114.0200000000004</v>
      </c>
      <c r="O1713" s="43" t="s">
        <v>38</v>
      </c>
      <c r="P1713" s="43"/>
      <c r="Q1713" s="42">
        <v>46057</v>
      </c>
      <c r="R1713" s="33" t="s">
        <v>4534</v>
      </c>
      <c r="S1713" s="33"/>
      <c r="T1713" s="33"/>
      <c r="U1713" s="33"/>
      <c r="V1713" s="33"/>
      <c r="W1713" s="33"/>
    </row>
    <row r="1714" spans="1:23">
      <c r="A1714" s="23">
        <v>46049</v>
      </c>
      <c r="B1714" s="1" t="s">
        <v>4644</v>
      </c>
      <c r="C1714" s="1" t="s">
        <v>153</v>
      </c>
      <c r="D1714" s="1" t="s">
        <v>93</v>
      </c>
      <c r="E1714" s="1">
        <v>85351</v>
      </c>
      <c r="F1714" s="1" t="s">
        <v>4808</v>
      </c>
      <c r="G1714" s="1" t="s">
        <v>4609</v>
      </c>
      <c r="H1714" s="4" t="s">
        <v>4809</v>
      </c>
      <c r="I1714" s="5" t="s">
        <v>541</v>
      </c>
      <c r="J1714" s="5" t="s">
        <v>37</v>
      </c>
      <c r="K1714" s="5" t="s">
        <v>37</v>
      </c>
      <c r="L1714" s="5" t="s">
        <v>4079</v>
      </c>
      <c r="M1714" s="5" t="s">
        <v>37</v>
      </c>
      <c r="N1714" s="5" t="s">
        <v>37</v>
      </c>
      <c r="O1714" s="5" t="s">
        <v>38</v>
      </c>
      <c r="P1714" s="5" t="s">
        <v>39</v>
      </c>
      <c r="Q1714" s="2">
        <v>46057</v>
      </c>
    </row>
    <row r="1715" spans="1:23">
      <c r="A1715" s="23">
        <v>46049</v>
      </c>
      <c r="B1715" s="1" t="s">
        <v>4810</v>
      </c>
      <c r="C1715" s="1" t="s">
        <v>131</v>
      </c>
      <c r="D1715" s="1" t="s">
        <v>63</v>
      </c>
      <c r="E1715" s="1">
        <v>85029</v>
      </c>
      <c r="F1715" s="1" t="s">
        <v>4811</v>
      </c>
      <c r="G1715" s="1" t="s">
        <v>4609</v>
      </c>
      <c r="H1715" s="4" t="s">
        <v>27</v>
      </c>
    </row>
    <row r="1716" spans="1:23">
      <c r="A1716" s="59">
        <v>46049</v>
      </c>
      <c r="B1716" s="33" t="s">
        <v>4812</v>
      </c>
      <c r="C1716" s="33" t="s">
        <v>320</v>
      </c>
      <c r="D1716" s="33" t="s">
        <v>504</v>
      </c>
      <c r="E1716" s="33">
        <v>86004</v>
      </c>
      <c r="F1716" s="67" t="s">
        <v>4813</v>
      </c>
      <c r="G1716" s="33" t="s">
        <v>4609</v>
      </c>
      <c r="H1716" s="45" t="s">
        <v>4814</v>
      </c>
      <c r="I1716" s="43" t="s">
        <v>196</v>
      </c>
      <c r="J1716" s="43" t="s">
        <v>38</v>
      </c>
      <c r="K1716" s="43" t="s">
        <v>37</v>
      </c>
      <c r="L1716" s="43" t="s">
        <v>4548</v>
      </c>
      <c r="M1716" s="43" t="s">
        <v>38</v>
      </c>
      <c r="N1716" s="48">
        <v>325</v>
      </c>
      <c r="O1716" s="43" t="s">
        <v>38</v>
      </c>
      <c r="P1716" s="43"/>
      <c r="Q1716" s="42">
        <v>46057</v>
      </c>
      <c r="R1716" s="33" t="s">
        <v>4534</v>
      </c>
      <c r="S1716" s="33"/>
      <c r="T1716" s="33"/>
      <c r="U1716" s="33"/>
      <c r="V1716" s="33"/>
      <c r="W1716" s="33"/>
    </row>
    <row r="1717" spans="1:23">
      <c r="A1717" s="23">
        <v>46049</v>
      </c>
      <c r="B1717" s="1" t="s">
        <v>3020</v>
      </c>
      <c r="C1717" s="1" t="s">
        <v>887</v>
      </c>
      <c r="D1717" s="1" t="s">
        <v>659</v>
      </c>
      <c r="E1717" s="1">
        <v>85350</v>
      </c>
      <c r="F1717" s="1" t="s">
        <v>4815</v>
      </c>
      <c r="G1717" s="1" t="s">
        <v>4609</v>
      </c>
      <c r="H1717" s="4" t="s">
        <v>27</v>
      </c>
    </row>
    <row r="1718" spans="1:23">
      <c r="A1718" s="23">
        <v>46049</v>
      </c>
      <c r="B1718" s="1" t="s">
        <v>4816</v>
      </c>
      <c r="C1718" s="1" t="s">
        <v>575</v>
      </c>
      <c r="D1718" s="1" t="s">
        <v>816</v>
      </c>
      <c r="E1718" s="1">
        <v>86303</v>
      </c>
      <c r="F1718" s="1" t="s">
        <v>4817</v>
      </c>
      <c r="G1718" s="1" t="s">
        <v>4609</v>
      </c>
      <c r="H1718" s="4" t="s">
        <v>4818</v>
      </c>
      <c r="I1718" s="5" t="s">
        <v>73</v>
      </c>
      <c r="J1718" s="5" t="s">
        <v>37</v>
      </c>
      <c r="K1718" s="5" t="s">
        <v>37</v>
      </c>
      <c r="L1718" s="5" t="s">
        <v>38</v>
      </c>
      <c r="M1718" s="5" t="s">
        <v>37</v>
      </c>
      <c r="N1718" s="5" t="s">
        <v>37</v>
      </c>
      <c r="O1718" s="5" t="s">
        <v>38</v>
      </c>
      <c r="P1718" s="5" t="s">
        <v>39</v>
      </c>
      <c r="Q1718" s="2">
        <v>46057</v>
      </c>
    </row>
    <row r="1719" spans="1:23">
      <c r="A1719" s="23">
        <v>46049</v>
      </c>
      <c r="B1719" s="1" t="s">
        <v>3561</v>
      </c>
      <c r="C1719" s="1" t="s">
        <v>4819</v>
      </c>
      <c r="D1719" s="1" t="s">
        <v>63</v>
      </c>
      <c r="E1719" s="1">
        <v>85032</v>
      </c>
      <c r="F1719" s="1" t="s">
        <v>4820</v>
      </c>
      <c r="G1719" s="1" t="s">
        <v>4609</v>
      </c>
      <c r="H1719" s="4" t="s">
        <v>4821</v>
      </c>
      <c r="I1719" s="5" t="s">
        <v>36</v>
      </c>
      <c r="J1719" s="5" t="s">
        <v>38</v>
      </c>
      <c r="K1719" s="5" t="s">
        <v>37</v>
      </c>
      <c r="L1719" s="5" t="s">
        <v>38</v>
      </c>
      <c r="M1719" s="5" t="s">
        <v>37</v>
      </c>
      <c r="N1719" s="5" t="s">
        <v>37</v>
      </c>
      <c r="O1719" s="5" t="s">
        <v>38</v>
      </c>
      <c r="P1719" s="5" t="s">
        <v>39</v>
      </c>
      <c r="Q1719" s="2">
        <v>46057</v>
      </c>
      <c r="R1719" s="1" t="s">
        <v>4759</v>
      </c>
    </row>
    <row r="1720" spans="1:23">
      <c r="A1720" s="23">
        <v>46049</v>
      </c>
      <c r="B1720" s="1" t="s">
        <v>4822</v>
      </c>
      <c r="C1720" s="1" t="s">
        <v>4823</v>
      </c>
      <c r="D1720" s="1" t="s">
        <v>169</v>
      </c>
      <c r="E1720" s="1">
        <v>85338</v>
      </c>
      <c r="F1720" s="1" t="s">
        <v>4824</v>
      </c>
      <c r="G1720" s="1" t="s">
        <v>4609</v>
      </c>
      <c r="H1720" s="4" t="s">
        <v>90</v>
      </c>
    </row>
    <row r="1721" spans="1:23">
      <c r="A1721" s="23">
        <v>46049</v>
      </c>
      <c r="B1721" s="1" t="s">
        <v>4825</v>
      </c>
      <c r="C1721" s="1" t="s">
        <v>4826</v>
      </c>
      <c r="D1721" s="1" t="s">
        <v>63</v>
      </c>
      <c r="E1721" s="1">
        <v>85029</v>
      </c>
      <c r="F1721" s="1" t="s">
        <v>4827</v>
      </c>
      <c r="G1721" s="1" t="s">
        <v>4609</v>
      </c>
      <c r="H1721" s="4" t="s">
        <v>4828</v>
      </c>
      <c r="I1721" s="5" t="s">
        <v>73</v>
      </c>
      <c r="J1721" s="5" t="s">
        <v>37</v>
      </c>
      <c r="K1721" s="5" t="s">
        <v>37</v>
      </c>
      <c r="L1721" s="5" t="s">
        <v>38</v>
      </c>
      <c r="M1721" s="5" t="s">
        <v>37</v>
      </c>
      <c r="N1721" s="5" t="s">
        <v>37</v>
      </c>
      <c r="O1721" s="5" t="s">
        <v>38</v>
      </c>
      <c r="P1721" s="5" t="s">
        <v>39</v>
      </c>
      <c r="Q1721" s="2">
        <v>46057</v>
      </c>
    </row>
    <row r="1722" spans="1:23">
      <c r="A1722" s="23">
        <v>46049</v>
      </c>
      <c r="B1722" s="1" t="s">
        <v>3765</v>
      </c>
      <c r="C1722" s="1" t="s">
        <v>4829</v>
      </c>
      <c r="D1722" s="1" t="s">
        <v>63</v>
      </c>
      <c r="E1722" s="1">
        <v>85050</v>
      </c>
      <c r="F1722" s="1" t="s">
        <v>4830</v>
      </c>
      <c r="G1722" s="1" t="s">
        <v>4609</v>
      </c>
      <c r="H1722" s="4" t="s">
        <v>27</v>
      </c>
    </row>
    <row r="1723" spans="1:23">
      <c r="A1723" s="23">
        <v>46049</v>
      </c>
      <c r="B1723" s="1" t="s">
        <v>4831</v>
      </c>
      <c r="C1723" s="1" t="s">
        <v>556</v>
      </c>
      <c r="D1723" s="1" t="s">
        <v>169</v>
      </c>
      <c r="E1723" s="1">
        <v>85395</v>
      </c>
      <c r="F1723" s="1" t="s">
        <v>4832</v>
      </c>
      <c r="G1723" s="1" t="s">
        <v>4609</v>
      </c>
      <c r="H1723" s="4" t="s">
        <v>4833</v>
      </c>
      <c r="I1723" s="5" t="s">
        <v>541</v>
      </c>
      <c r="J1723" s="5" t="s">
        <v>37</v>
      </c>
      <c r="K1723" s="5" t="s">
        <v>37</v>
      </c>
      <c r="L1723" s="5" t="s">
        <v>4079</v>
      </c>
      <c r="M1723" s="5" t="s">
        <v>4834</v>
      </c>
      <c r="N1723" s="5" t="s">
        <v>37</v>
      </c>
      <c r="O1723" s="5" t="s">
        <v>38</v>
      </c>
      <c r="P1723" s="5" t="s">
        <v>39</v>
      </c>
      <c r="Q1723" s="2">
        <v>45692</v>
      </c>
    </row>
    <row r="1724" spans="1:23">
      <c r="A1724" s="23">
        <v>46049</v>
      </c>
      <c r="B1724" s="1" t="s">
        <v>3012</v>
      </c>
      <c r="C1724" s="1" t="s">
        <v>4835</v>
      </c>
      <c r="D1724" s="1" t="s">
        <v>169</v>
      </c>
      <c r="E1724" s="1">
        <v>85395</v>
      </c>
      <c r="F1724" s="1" t="s">
        <v>4836</v>
      </c>
      <c r="G1724" s="1" t="s">
        <v>4609</v>
      </c>
      <c r="H1724" s="4" t="s">
        <v>4837</v>
      </c>
      <c r="I1724" s="5" t="s">
        <v>196</v>
      </c>
      <c r="J1724" s="5" t="s">
        <v>37</v>
      </c>
      <c r="K1724" s="5" t="s">
        <v>37</v>
      </c>
      <c r="L1724" s="5" t="s">
        <v>38</v>
      </c>
      <c r="M1724" s="5" t="s">
        <v>37</v>
      </c>
      <c r="N1724" s="5" t="s">
        <v>37</v>
      </c>
      <c r="O1724" s="5" t="s">
        <v>38</v>
      </c>
      <c r="P1724" s="5" t="s">
        <v>39</v>
      </c>
      <c r="Q1724" s="2">
        <v>46057</v>
      </c>
    </row>
    <row r="1725" spans="1:23">
      <c r="A1725" s="23">
        <v>46049</v>
      </c>
      <c r="B1725" s="1" t="s">
        <v>4838</v>
      </c>
      <c r="C1725" s="1" t="s">
        <v>486</v>
      </c>
      <c r="D1725" s="1" t="s">
        <v>923</v>
      </c>
      <c r="E1725" s="1">
        <v>85501</v>
      </c>
      <c r="F1725" s="1" t="s">
        <v>4839</v>
      </c>
      <c r="G1725" s="1" t="s">
        <v>4609</v>
      </c>
      <c r="H1725" s="4" t="s">
        <v>4840</v>
      </c>
      <c r="I1725" s="5" t="s">
        <v>73</v>
      </c>
      <c r="J1725" s="5" t="s">
        <v>37</v>
      </c>
      <c r="K1725" s="5" t="s">
        <v>37</v>
      </c>
      <c r="L1725" s="5" t="s">
        <v>38</v>
      </c>
      <c r="M1725" s="5" t="s">
        <v>37</v>
      </c>
      <c r="N1725" s="5" t="s">
        <v>37</v>
      </c>
      <c r="O1725" s="5" t="s">
        <v>38</v>
      </c>
      <c r="P1725" s="5" t="s">
        <v>39</v>
      </c>
      <c r="Q1725" s="2">
        <v>46057</v>
      </c>
    </row>
    <row r="1726" spans="1:23">
      <c r="A1726" s="23">
        <v>46049</v>
      </c>
      <c r="B1726" s="1" t="s">
        <v>3002</v>
      </c>
      <c r="C1726" s="1" t="s">
        <v>225</v>
      </c>
      <c r="D1726" s="1" t="s">
        <v>24</v>
      </c>
      <c r="E1726" s="1">
        <v>85304</v>
      </c>
      <c r="F1726" s="1" t="s">
        <v>4841</v>
      </c>
      <c r="G1726" s="1" t="s">
        <v>4609</v>
      </c>
      <c r="H1726" s="4" t="s">
        <v>4842</v>
      </c>
      <c r="I1726" s="5" t="s">
        <v>4214</v>
      </c>
      <c r="J1726" s="5" t="s">
        <v>38</v>
      </c>
      <c r="K1726" s="5" t="s">
        <v>37</v>
      </c>
      <c r="L1726" s="5" t="s">
        <v>4079</v>
      </c>
      <c r="M1726" s="5" t="s">
        <v>37</v>
      </c>
      <c r="N1726" s="5" t="s">
        <v>37</v>
      </c>
      <c r="O1726" s="5" t="s">
        <v>38</v>
      </c>
      <c r="P1726" s="5" t="s">
        <v>39</v>
      </c>
      <c r="Q1726" s="2">
        <v>46057</v>
      </c>
    </row>
    <row r="1727" spans="1:23">
      <c r="A1727" s="23">
        <v>46049</v>
      </c>
      <c r="B1727" s="1" t="s">
        <v>3012</v>
      </c>
      <c r="C1727" s="1" t="s">
        <v>4843</v>
      </c>
      <c r="D1727" s="1" t="s">
        <v>63</v>
      </c>
      <c r="E1727" s="1">
        <v>85032</v>
      </c>
      <c r="F1727" s="1" t="s">
        <v>4844</v>
      </c>
      <c r="G1727" s="1" t="s">
        <v>4609</v>
      </c>
      <c r="H1727" s="4" t="s">
        <v>90</v>
      </c>
      <c r="R1727" s="1" t="s">
        <v>4759</v>
      </c>
    </row>
    <row r="1728" spans="1:23">
      <c r="A1728" s="59">
        <v>46049</v>
      </c>
      <c r="B1728" s="33" t="s">
        <v>4845</v>
      </c>
      <c r="C1728" s="33" t="s">
        <v>184</v>
      </c>
      <c r="D1728" s="33" t="s">
        <v>125</v>
      </c>
      <c r="E1728" s="33">
        <v>85254</v>
      </c>
      <c r="F1728" s="33" t="s">
        <v>4846</v>
      </c>
      <c r="G1728" s="33" t="s">
        <v>4609</v>
      </c>
      <c r="H1728" s="45" t="s">
        <v>4847</v>
      </c>
      <c r="I1728" s="43" t="s">
        <v>196</v>
      </c>
      <c r="J1728" s="43" t="s">
        <v>37</v>
      </c>
      <c r="K1728" s="43" t="s">
        <v>37</v>
      </c>
      <c r="L1728" s="43" t="s">
        <v>4848</v>
      </c>
      <c r="M1728" s="43" t="s">
        <v>37</v>
      </c>
      <c r="N1728" s="43" t="s">
        <v>37</v>
      </c>
      <c r="O1728" s="43" t="s">
        <v>38</v>
      </c>
      <c r="P1728" s="43"/>
      <c r="Q1728" s="42">
        <v>46057</v>
      </c>
      <c r="R1728" s="33" t="s">
        <v>4004</v>
      </c>
      <c r="S1728" s="33"/>
      <c r="T1728" s="33"/>
      <c r="U1728" s="33"/>
      <c r="V1728" s="33"/>
      <c r="W1728" s="33"/>
    </row>
    <row r="1729" spans="1:23">
      <c r="A1729" s="23">
        <v>46049</v>
      </c>
      <c r="B1729" s="1" t="s">
        <v>4849</v>
      </c>
      <c r="C1729" s="1" t="s">
        <v>4850</v>
      </c>
      <c r="D1729" s="1" t="s">
        <v>202</v>
      </c>
      <c r="E1729" s="1">
        <v>85345</v>
      </c>
      <c r="F1729" s="1" t="s">
        <v>4851</v>
      </c>
      <c r="G1729" s="1" t="s">
        <v>4609</v>
      </c>
      <c r="H1729" s="4" t="s">
        <v>4852</v>
      </c>
      <c r="I1729" s="5" t="s">
        <v>541</v>
      </c>
      <c r="J1729" s="5" t="s">
        <v>37</v>
      </c>
      <c r="K1729" s="5" t="s">
        <v>37</v>
      </c>
      <c r="L1729" s="5" t="s">
        <v>4079</v>
      </c>
      <c r="M1729" s="5" t="s">
        <v>37</v>
      </c>
      <c r="N1729" s="5" t="s">
        <v>37</v>
      </c>
      <c r="O1729" s="5" t="s">
        <v>38</v>
      </c>
      <c r="P1729" s="5" t="s">
        <v>39</v>
      </c>
      <c r="Q1729" s="2">
        <v>46057</v>
      </c>
    </row>
    <row r="1730" spans="1:23">
      <c r="A1730" s="23">
        <v>46049</v>
      </c>
      <c r="B1730" s="1" t="s">
        <v>4853</v>
      </c>
      <c r="C1730" s="1" t="s">
        <v>4854</v>
      </c>
      <c r="D1730" s="1" t="s">
        <v>63</v>
      </c>
      <c r="E1730" s="1">
        <v>85029</v>
      </c>
      <c r="F1730" s="1" t="s">
        <v>4855</v>
      </c>
      <c r="G1730" s="1" t="s">
        <v>4609</v>
      </c>
      <c r="H1730" s="4" t="s">
        <v>27</v>
      </c>
    </row>
    <row r="1731" spans="1:23">
      <c r="A1731" s="23">
        <v>46049</v>
      </c>
      <c r="B1731" s="1" t="s">
        <v>4856</v>
      </c>
      <c r="C1731" s="1" t="s">
        <v>4857</v>
      </c>
      <c r="D1731" s="1" t="s">
        <v>2361</v>
      </c>
      <c r="E1731" s="1">
        <v>86335</v>
      </c>
      <c r="F1731" s="1" t="s">
        <v>4858</v>
      </c>
      <c r="G1731" s="1" t="s">
        <v>4609</v>
      </c>
      <c r="H1731" s="4" t="s">
        <v>4859</v>
      </c>
      <c r="I1731" s="5" t="s">
        <v>196</v>
      </c>
      <c r="J1731" s="5" t="s">
        <v>37</v>
      </c>
      <c r="K1731" s="5" t="s">
        <v>37</v>
      </c>
      <c r="L1731" s="5" t="s">
        <v>4860</v>
      </c>
      <c r="M1731" s="5" t="s">
        <v>37</v>
      </c>
      <c r="N1731" s="5" t="s">
        <v>37</v>
      </c>
      <c r="O1731" s="5" t="s">
        <v>38</v>
      </c>
      <c r="P1731" s="5" t="s">
        <v>39</v>
      </c>
      <c r="Q1731" s="2">
        <v>46057</v>
      </c>
    </row>
    <row r="1732" spans="1:23">
      <c r="A1732" s="23">
        <v>46049</v>
      </c>
      <c r="B1732" s="1" t="s">
        <v>4861</v>
      </c>
      <c r="C1732" s="1" t="s">
        <v>2380</v>
      </c>
      <c r="D1732" s="1" t="s">
        <v>63</v>
      </c>
      <c r="E1732" s="1">
        <v>85022</v>
      </c>
      <c r="F1732" s="1" t="s">
        <v>4862</v>
      </c>
      <c r="G1732" s="1" t="s">
        <v>4609</v>
      </c>
      <c r="H1732" s="4" t="s">
        <v>4863</v>
      </c>
      <c r="I1732" s="5" t="s">
        <v>4214</v>
      </c>
      <c r="J1732" s="5" t="s">
        <v>37</v>
      </c>
      <c r="K1732" s="5" t="s">
        <v>37</v>
      </c>
      <c r="L1732" s="5" t="s">
        <v>4079</v>
      </c>
      <c r="M1732" s="5" t="s">
        <v>37</v>
      </c>
      <c r="N1732" s="5" t="s">
        <v>37</v>
      </c>
      <c r="O1732" s="5" t="s">
        <v>38</v>
      </c>
      <c r="P1732" s="5" t="s">
        <v>39</v>
      </c>
      <c r="Q1732" s="2">
        <v>46057</v>
      </c>
    </row>
    <row r="1733" spans="1:23">
      <c r="A1733" s="59">
        <v>46049</v>
      </c>
      <c r="B1733" s="33" t="s">
        <v>3124</v>
      </c>
      <c r="C1733" s="33" t="s">
        <v>399</v>
      </c>
      <c r="D1733" s="33" t="s">
        <v>264</v>
      </c>
      <c r="E1733" s="33">
        <v>85541</v>
      </c>
      <c r="F1733" s="33" t="s">
        <v>4864</v>
      </c>
      <c r="G1733" s="33" t="s">
        <v>4609</v>
      </c>
      <c r="H1733" s="45" t="s">
        <v>4865</v>
      </c>
      <c r="I1733" s="43" t="s">
        <v>196</v>
      </c>
      <c r="J1733" s="43" t="s">
        <v>37</v>
      </c>
      <c r="K1733" s="43" t="s">
        <v>37</v>
      </c>
      <c r="L1733" s="43" t="s">
        <v>4866</v>
      </c>
      <c r="M1733" s="43" t="s">
        <v>37</v>
      </c>
      <c r="N1733" s="43" t="s">
        <v>37</v>
      </c>
      <c r="O1733" s="43" t="s">
        <v>38</v>
      </c>
      <c r="P1733" s="43"/>
      <c r="Q1733" s="42">
        <v>46057</v>
      </c>
      <c r="R1733" s="33" t="s">
        <v>4004</v>
      </c>
      <c r="S1733" s="33"/>
      <c r="T1733" s="33"/>
      <c r="U1733" s="33"/>
      <c r="V1733" s="33"/>
      <c r="W1733" s="33"/>
    </row>
    <row r="1734" spans="1:23">
      <c r="A1734" s="23">
        <v>46049</v>
      </c>
      <c r="B1734" s="1" t="s">
        <v>4867</v>
      </c>
      <c r="C1734" s="1" t="s">
        <v>2454</v>
      </c>
      <c r="D1734" s="1" t="s">
        <v>63</v>
      </c>
      <c r="E1734" s="1">
        <v>85053</v>
      </c>
      <c r="F1734" s="1" t="s">
        <v>4868</v>
      </c>
      <c r="G1734" s="1" t="s">
        <v>4609</v>
      </c>
      <c r="H1734" s="4" t="s">
        <v>4869</v>
      </c>
      <c r="I1734" s="5" t="s">
        <v>46</v>
      </c>
      <c r="J1734" s="5" t="s">
        <v>37</v>
      </c>
      <c r="K1734" s="5" t="s">
        <v>37</v>
      </c>
      <c r="L1734" s="5" t="s">
        <v>38</v>
      </c>
      <c r="M1734" s="5" t="s">
        <v>37</v>
      </c>
      <c r="N1734" s="5" t="s">
        <v>37</v>
      </c>
      <c r="O1734" s="5" t="s">
        <v>38</v>
      </c>
      <c r="P1734" s="5" t="s">
        <v>39</v>
      </c>
      <c r="Q1734" s="2">
        <v>46057</v>
      </c>
    </row>
    <row r="1735" spans="1:23">
      <c r="A1735" s="23">
        <v>46049</v>
      </c>
      <c r="B1735" s="1" t="s">
        <v>4870</v>
      </c>
      <c r="C1735" s="1" t="s">
        <v>4871</v>
      </c>
      <c r="D1735" s="1" t="s">
        <v>202</v>
      </c>
      <c r="E1735" s="1">
        <v>85345</v>
      </c>
      <c r="F1735" s="1" t="s">
        <v>4872</v>
      </c>
      <c r="G1735" s="1" t="s">
        <v>4609</v>
      </c>
      <c r="H1735" s="4" t="s">
        <v>4873</v>
      </c>
      <c r="I1735" s="5" t="s">
        <v>4214</v>
      </c>
      <c r="J1735" s="5" t="s">
        <v>37</v>
      </c>
      <c r="K1735" s="5" t="s">
        <v>37</v>
      </c>
      <c r="L1735" s="5" t="s">
        <v>4079</v>
      </c>
      <c r="M1735" s="5" t="s">
        <v>37</v>
      </c>
      <c r="N1735" s="5" t="s">
        <v>37</v>
      </c>
      <c r="O1735" s="5" t="s">
        <v>38</v>
      </c>
      <c r="P1735" s="5" t="s">
        <v>39</v>
      </c>
      <c r="Q1735" s="2">
        <v>46057</v>
      </c>
    </row>
    <row r="1736" spans="1:23">
      <c r="A1736" s="23">
        <v>46049</v>
      </c>
      <c r="B1736" s="1" t="s">
        <v>4874</v>
      </c>
      <c r="C1736" s="1" t="s">
        <v>117</v>
      </c>
      <c r="D1736" s="1" t="s">
        <v>63</v>
      </c>
      <c r="E1736" s="1">
        <v>85032</v>
      </c>
      <c r="F1736" s="1" t="s">
        <v>4875</v>
      </c>
      <c r="G1736" s="1" t="s">
        <v>4609</v>
      </c>
      <c r="H1736" s="4" t="s">
        <v>4876</v>
      </c>
      <c r="I1736" s="5" t="s">
        <v>36</v>
      </c>
      <c r="J1736" s="5" t="s">
        <v>37</v>
      </c>
      <c r="K1736" s="5" t="s">
        <v>37</v>
      </c>
      <c r="L1736" s="5" t="s">
        <v>38</v>
      </c>
      <c r="M1736" s="5" t="s">
        <v>37</v>
      </c>
      <c r="N1736" s="5" t="s">
        <v>37</v>
      </c>
      <c r="O1736" s="5" t="s">
        <v>38</v>
      </c>
      <c r="P1736" s="5" t="s">
        <v>39</v>
      </c>
      <c r="Q1736" s="2">
        <v>46057</v>
      </c>
    </row>
    <row r="1737" spans="1:23">
      <c r="A1737" s="23">
        <v>46049</v>
      </c>
      <c r="B1737" s="1" t="s">
        <v>4877</v>
      </c>
      <c r="C1737" s="1" t="s">
        <v>4757</v>
      </c>
      <c r="D1737" s="1" t="s">
        <v>428</v>
      </c>
      <c r="E1737" s="1">
        <v>85335</v>
      </c>
      <c r="F1737" s="1" t="s">
        <v>4878</v>
      </c>
      <c r="G1737" s="1" t="s">
        <v>4609</v>
      </c>
      <c r="H1737" s="4" t="s">
        <v>4879</v>
      </c>
      <c r="I1737" s="5" t="s">
        <v>4787</v>
      </c>
      <c r="J1737" s="5" t="s">
        <v>38</v>
      </c>
      <c r="K1737" s="5" t="s">
        <v>37</v>
      </c>
      <c r="L1737" s="5" t="s">
        <v>38</v>
      </c>
      <c r="M1737" s="5" t="s">
        <v>37</v>
      </c>
      <c r="N1737" s="5" t="s">
        <v>37</v>
      </c>
      <c r="O1737" s="5" t="s">
        <v>38</v>
      </c>
      <c r="P1737" s="5" t="s">
        <v>39</v>
      </c>
      <c r="Q1737" s="2">
        <v>46057</v>
      </c>
    </row>
    <row r="1738" spans="1:23">
      <c r="A1738" s="23">
        <v>46049</v>
      </c>
      <c r="B1738" s="1" t="s">
        <v>419</v>
      </c>
      <c r="C1738" s="1" t="s">
        <v>4880</v>
      </c>
      <c r="D1738" s="1" t="s">
        <v>63</v>
      </c>
      <c r="E1738" s="1">
        <v>85050</v>
      </c>
      <c r="F1738" s="1" t="s">
        <v>4881</v>
      </c>
      <c r="G1738" s="1" t="s">
        <v>4609</v>
      </c>
      <c r="H1738" s="4" t="s">
        <v>27</v>
      </c>
    </row>
    <row r="1739" spans="1:23">
      <c r="A1739" s="23">
        <v>46049</v>
      </c>
      <c r="B1739" s="1" t="s">
        <v>1893</v>
      </c>
      <c r="C1739" s="1" t="s">
        <v>173</v>
      </c>
      <c r="D1739" s="1" t="s">
        <v>619</v>
      </c>
      <c r="E1739" s="1">
        <v>85367</v>
      </c>
      <c r="F1739" s="1" t="s">
        <v>4882</v>
      </c>
      <c r="G1739" s="1" t="s">
        <v>4609</v>
      </c>
      <c r="H1739" s="4" t="s">
        <v>4883</v>
      </c>
      <c r="I1739" s="5" t="s">
        <v>46</v>
      </c>
      <c r="J1739" s="5" t="s">
        <v>37</v>
      </c>
      <c r="K1739" s="5" t="s">
        <v>37</v>
      </c>
      <c r="L1739" s="5" t="s">
        <v>38</v>
      </c>
      <c r="M1739" s="5" t="s">
        <v>37</v>
      </c>
      <c r="N1739" s="5" t="s">
        <v>37</v>
      </c>
      <c r="O1739" s="5" t="s">
        <v>38</v>
      </c>
      <c r="P1739" s="5" t="s">
        <v>39</v>
      </c>
      <c r="Q1739" s="2">
        <v>46057</v>
      </c>
    </row>
    <row r="1740" spans="1:23">
      <c r="A1740" s="23">
        <v>46049</v>
      </c>
      <c r="B1740" s="1" t="s">
        <v>4884</v>
      </c>
      <c r="C1740" s="1" t="s">
        <v>3121</v>
      </c>
      <c r="D1740" s="1" t="s">
        <v>698</v>
      </c>
      <c r="E1740" s="1">
        <v>85375</v>
      </c>
      <c r="F1740" s="1" t="s">
        <v>4885</v>
      </c>
      <c r="G1740" s="1" t="s">
        <v>4609</v>
      </c>
      <c r="H1740" s="4" t="s">
        <v>4886</v>
      </c>
      <c r="I1740" s="5" t="s">
        <v>46</v>
      </c>
      <c r="J1740" s="5" t="s">
        <v>37</v>
      </c>
      <c r="K1740" s="5" t="s">
        <v>37</v>
      </c>
      <c r="L1740" s="5" t="s">
        <v>38</v>
      </c>
      <c r="M1740" s="5" t="s">
        <v>37</v>
      </c>
      <c r="N1740" s="5" t="s">
        <v>37</v>
      </c>
      <c r="O1740" s="5" t="s">
        <v>38</v>
      </c>
      <c r="P1740" s="5" t="s">
        <v>39</v>
      </c>
      <c r="Q1740" s="2">
        <v>46057</v>
      </c>
    </row>
    <row r="1741" spans="1:23">
      <c r="A1741" s="23">
        <v>46049</v>
      </c>
      <c r="B1741" s="1" t="s">
        <v>4887</v>
      </c>
      <c r="C1741" s="1" t="s">
        <v>3015</v>
      </c>
      <c r="D1741" s="1" t="s">
        <v>4888</v>
      </c>
      <c r="E1741" s="1">
        <v>85379</v>
      </c>
      <c r="F1741" s="1" t="s">
        <v>4889</v>
      </c>
      <c r="G1741" s="1" t="s">
        <v>4609</v>
      </c>
      <c r="H1741" s="4" t="s">
        <v>4890</v>
      </c>
      <c r="I1741" s="5" t="s">
        <v>36</v>
      </c>
      <c r="J1741" s="5" t="s">
        <v>37</v>
      </c>
      <c r="K1741" s="5" t="s">
        <v>37</v>
      </c>
      <c r="L1741" s="5" t="s">
        <v>38</v>
      </c>
      <c r="M1741" s="5" t="s">
        <v>37</v>
      </c>
      <c r="N1741" s="5" t="s">
        <v>37</v>
      </c>
      <c r="O1741" s="5" t="s">
        <v>38</v>
      </c>
      <c r="P1741" s="5" t="s">
        <v>39</v>
      </c>
      <c r="Q1741" s="2">
        <v>46057</v>
      </c>
    </row>
    <row r="1742" spans="1:23">
      <c r="A1742" s="59">
        <v>46049</v>
      </c>
      <c r="B1742" s="33" t="s">
        <v>4891</v>
      </c>
      <c r="C1742" s="33" t="s">
        <v>208</v>
      </c>
      <c r="D1742" s="33" t="s">
        <v>264</v>
      </c>
      <c r="E1742" s="33">
        <v>85541</v>
      </c>
      <c r="F1742" s="33" t="s">
        <v>4892</v>
      </c>
      <c r="G1742" s="33" t="s">
        <v>4609</v>
      </c>
      <c r="H1742" s="45" t="s">
        <v>4893</v>
      </c>
      <c r="I1742" s="43" t="s">
        <v>36</v>
      </c>
      <c r="J1742" s="43" t="s">
        <v>38</v>
      </c>
      <c r="K1742" s="43" t="s">
        <v>37</v>
      </c>
      <c r="L1742" s="43" t="s">
        <v>38</v>
      </c>
      <c r="M1742" s="43" t="s">
        <v>38</v>
      </c>
      <c r="N1742" s="48">
        <v>502.83</v>
      </c>
      <c r="O1742" s="43" t="s">
        <v>38</v>
      </c>
      <c r="P1742" s="43"/>
      <c r="Q1742" s="42">
        <v>46057</v>
      </c>
      <c r="R1742" s="33" t="s">
        <v>4534</v>
      </c>
      <c r="S1742" s="33"/>
      <c r="T1742" s="33"/>
      <c r="U1742" s="33"/>
      <c r="V1742" s="33"/>
      <c r="W1742" s="33"/>
    </row>
    <row r="1743" spans="1:23">
      <c r="A1743" s="23">
        <v>46049</v>
      </c>
      <c r="B1743" s="1" t="s">
        <v>4894</v>
      </c>
      <c r="C1743" s="1" t="s">
        <v>1423</v>
      </c>
      <c r="D1743" s="1" t="s">
        <v>112</v>
      </c>
      <c r="E1743" s="1">
        <v>85374</v>
      </c>
      <c r="F1743" s="1" t="s">
        <v>4895</v>
      </c>
      <c r="G1743" s="1" t="s">
        <v>4609</v>
      </c>
      <c r="H1743" s="4" t="s">
        <v>4896</v>
      </c>
      <c r="I1743" s="5" t="s">
        <v>36</v>
      </c>
      <c r="J1743" s="5" t="s">
        <v>38</v>
      </c>
      <c r="K1743" s="5" t="s">
        <v>37</v>
      </c>
      <c r="L1743" s="5" t="s">
        <v>38</v>
      </c>
      <c r="M1743" s="5" t="s">
        <v>38</v>
      </c>
      <c r="N1743" s="13">
        <v>2005.59</v>
      </c>
      <c r="O1743" s="5" t="s">
        <v>38</v>
      </c>
      <c r="Q1743" s="2">
        <v>46057</v>
      </c>
      <c r="R1743" s="33" t="s">
        <v>4534</v>
      </c>
    </row>
    <row r="1744" spans="1:23">
      <c r="A1744" s="23">
        <v>46049</v>
      </c>
      <c r="B1744" s="1" t="s">
        <v>3416</v>
      </c>
      <c r="C1744" s="1" t="s">
        <v>4561</v>
      </c>
      <c r="D1744" s="1" t="s">
        <v>1198</v>
      </c>
      <c r="E1744" s="1">
        <v>85607</v>
      </c>
      <c r="F1744" s="1" t="s">
        <v>4897</v>
      </c>
      <c r="G1744" s="1" t="s">
        <v>4609</v>
      </c>
      <c r="H1744" s="4" t="s">
        <v>27</v>
      </c>
    </row>
    <row r="1745" spans="1:23">
      <c r="A1745" s="23">
        <v>46049</v>
      </c>
      <c r="B1745" s="1" t="s">
        <v>133</v>
      </c>
      <c r="C1745" s="1" t="s">
        <v>363</v>
      </c>
      <c r="D1745" s="1" t="s">
        <v>428</v>
      </c>
      <c r="E1745" s="1">
        <v>85335</v>
      </c>
      <c r="F1745" s="1" t="s">
        <v>4898</v>
      </c>
      <c r="G1745" s="1" t="s">
        <v>4609</v>
      </c>
      <c r="H1745" s="4" t="s">
        <v>4899</v>
      </c>
      <c r="I1745" s="5" t="s">
        <v>46</v>
      </c>
      <c r="J1745" s="5" t="s">
        <v>38</v>
      </c>
      <c r="K1745" s="5" t="s">
        <v>37</v>
      </c>
      <c r="L1745" s="5" t="s">
        <v>38</v>
      </c>
      <c r="M1745" s="5" t="s">
        <v>37</v>
      </c>
      <c r="N1745" s="5" t="s">
        <v>37</v>
      </c>
      <c r="O1745" s="5" t="s">
        <v>38</v>
      </c>
      <c r="P1745" s="5" t="s">
        <v>39</v>
      </c>
      <c r="Q1745" s="2">
        <v>46057</v>
      </c>
    </row>
    <row r="1746" spans="1:23">
      <c r="A1746" s="23">
        <v>46049</v>
      </c>
      <c r="B1746" s="1" t="s">
        <v>367</v>
      </c>
      <c r="C1746" s="1" t="s">
        <v>367</v>
      </c>
      <c r="D1746" s="1" t="s">
        <v>112</v>
      </c>
      <c r="E1746" s="1">
        <v>85378</v>
      </c>
      <c r="F1746" s="1" t="s">
        <v>4900</v>
      </c>
      <c r="G1746" s="1" t="s">
        <v>4609</v>
      </c>
      <c r="H1746" s="4" t="s">
        <v>27</v>
      </c>
    </row>
    <row r="1747" spans="1:23">
      <c r="A1747" s="23">
        <v>46049</v>
      </c>
      <c r="B1747" s="1" t="s">
        <v>3561</v>
      </c>
      <c r="C1747" s="1" t="s">
        <v>4901</v>
      </c>
      <c r="D1747" s="1" t="s">
        <v>2361</v>
      </c>
      <c r="E1747" s="1">
        <v>86335</v>
      </c>
      <c r="F1747" s="1" t="s">
        <v>4902</v>
      </c>
      <c r="G1747" s="1" t="s">
        <v>4609</v>
      </c>
      <c r="H1747" s="4" t="s">
        <v>4903</v>
      </c>
      <c r="I1747" s="5" t="s">
        <v>196</v>
      </c>
      <c r="J1747" s="5" t="s">
        <v>37</v>
      </c>
      <c r="K1747" s="5" t="s">
        <v>37</v>
      </c>
      <c r="L1747" s="5" t="s">
        <v>38</v>
      </c>
      <c r="M1747" s="5" t="s">
        <v>37</v>
      </c>
      <c r="N1747" s="5" t="s">
        <v>37</v>
      </c>
      <c r="O1747" s="5" t="s">
        <v>38</v>
      </c>
      <c r="P1747" s="5" t="s">
        <v>39</v>
      </c>
      <c r="Q1747" s="2">
        <v>46057</v>
      </c>
    </row>
    <row r="1748" spans="1:23">
      <c r="A1748" s="23">
        <v>46049</v>
      </c>
      <c r="B1748" s="1" t="s">
        <v>4904</v>
      </c>
      <c r="C1748" s="1" t="s">
        <v>4905</v>
      </c>
      <c r="D1748" s="1" t="s">
        <v>63</v>
      </c>
      <c r="E1748" s="1">
        <v>85024</v>
      </c>
      <c r="F1748" s="1" t="s">
        <v>4906</v>
      </c>
      <c r="G1748" s="1" t="s">
        <v>4609</v>
      </c>
      <c r="H1748" s="4" t="s">
        <v>4907</v>
      </c>
      <c r="I1748" s="5" t="s">
        <v>36</v>
      </c>
      <c r="J1748" s="5" t="s">
        <v>37</v>
      </c>
      <c r="K1748" s="5" t="s">
        <v>37</v>
      </c>
      <c r="L1748" s="5" t="s">
        <v>38</v>
      </c>
      <c r="M1748" s="5" t="s">
        <v>37</v>
      </c>
      <c r="N1748" s="5" t="s">
        <v>37</v>
      </c>
      <c r="O1748" s="5" t="s">
        <v>38</v>
      </c>
      <c r="P1748" s="5" t="s">
        <v>39</v>
      </c>
      <c r="Q1748" s="2">
        <v>46057</v>
      </c>
    </row>
    <row r="1749" spans="1:23">
      <c r="A1749" s="23">
        <v>46049</v>
      </c>
      <c r="B1749" s="1" t="s">
        <v>1765</v>
      </c>
      <c r="C1749" s="1" t="s">
        <v>1501</v>
      </c>
      <c r="D1749" s="1" t="s">
        <v>63</v>
      </c>
      <c r="E1749" s="1">
        <v>85015</v>
      </c>
      <c r="F1749" s="1" t="s">
        <v>4908</v>
      </c>
      <c r="G1749" s="1" t="s">
        <v>4609</v>
      </c>
      <c r="H1749" s="4" t="s">
        <v>27</v>
      </c>
    </row>
    <row r="1750" spans="1:23">
      <c r="A1750" s="59">
        <v>46049</v>
      </c>
      <c r="B1750" s="33" t="s">
        <v>4909</v>
      </c>
      <c r="C1750" s="33" t="s">
        <v>4910</v>
      </c>
      <c r="D1750" s="33" t="s">
        <v>4180</v>
      </c>
      <c r="E1750" s="33">
        <v>86047</v>
      </c>
      <c r="F1750" s="33" t="s">
        <v>4911</v>
      </c>
      <c r="G1750" s="33" t="s">
        <v>4609</v>
      </c>
      <c r="H1750" s="45" t="s">
        <v>4912</v>
      </c>
      <c r="I1750" s="43" t="s">
        <v>73</v>
      </c>
      <c r="J1750" s="43" t="s">
        <v>37</v>
      </c>
      <c r="K1750" s="43" t="s">
        <v>37</v>
      </c>
      <c r="L1750" s="43" t="s">
        <v>4913</v>
      </c>
      <c r="M1750" s="43" t="s">
        <v>37</v>
      </c>
      <c r="N1750" s="43" t="s">
        <v>37</v>
      </c>
      <c r="O1750" s="43" t="s">
        <v>38</v>
      </c>
      <c r="P1750" s="43"/>
      <c r="Q1750" s="42">
        <v>46057</v>
      </c>
      <c r="R1750" s="33" t="s">
        <v>4004</v>
      </c>
      <c r="S1750" s="33"/>
      <c r="T1750" s="33"/>
      <c r="U1750" s="33"/>
      <c r="V1750" s="33"/>
      <c r="W1750" s="33"/>
    </row>
    <row r="1751" spans="1:23">
      <c r="A1751" s="23">
        <v>46049</v>
      </c>
      <c r="B1751" s="1" t="s">
        <v>4914</v>
      </c>
      <c r="C1751" s="1" t="s">
        <v>777</v>
      </c>
      <c r="D1751" s="1" t="s">
        <v>169</v>
      </c>
      <c r="E1751" s="1">
        <v>85338</v>
      </c>
      <c r="F1751" s="1" t="s">
        <v>4915</v>
      </c>
      <c r="G1751" s="1" t="s">
        <v>4609</v>
      </c>
      <c r="H1751" s="4" t="s">
        <v>4916</v>
      </c>
      <c r="I1751" s="5" t="s">
        <v>36</v>
      </c>
      <c r="J1751" s="5" t="s">
        <v>37</v>
      </c>
      <c r="K1751" s="5" t="s">
        <v>37</v>
      </c>
      <c r="L1751" s="5" t="s">
        <v>38</v>
      </c>
      <c r="M1751" s="5" t="s">
        <v>37</v>
      </c>
      <c r="N1751" s="5" t="s">
        <v>37</v>
      </c>
      <c r="O1751" s="5" t="s">
        <v>38</v>
      </c>
      <c r="P1751" s="5" t="s">
        <v>39</v>
      </c>
      <c r="Q1751" s="2">
        <v>46058</v>
      </c>
    </row>
    <row r="1752" spans="1:23">
      <c r="A1752" s="23">
        <v>46049</v>
      </c>
      <c r="B1752" s="1" t="s">
        <v>4917</v>
      </c>
      <c r="C1752" s="1" t="s">
        <v>3554</v>
      </c>
      <c r="D1752" s="1" t="s">
        <v>125</v>
      </c>
      <c r="E1752" s="1">
        <v>85254</v>
      </c>
      <c r="F1752" s="1" t="s">
        <v>4918</v>
      </c>
      <c r="G1752" s="1" t="s">
        <v>4609</v>
      </c>
      <c r="H1752" s="4" t="s">
        <v>4919</v>
      </c>
      <c r="I1752" s="5" t="s">
        <v>36</v>
      </c>
      <c r="J1752" s="5" t="s">
        <v>37</v>
      </c>
      <c r="K1752" s="5" t="s">
        <v>37</v>
      </c>
      <c r="L1752" s="5" t="s">
        <v>38</v>
      </c>
      <c r="M1752" s="5" t="s">
        <v>37</v>
      </c>
      <c r="N1752" s="5" t="s">
        <v>37</v>
      </c>
      <c r="O1752" s="5" t="s">
        <v>38</v>
      </c>
      <c r="P1752" s="5" t="s">
        <v>39</v>
      </c>
      <c r="Q1752" s="2">
        <v>46058</v>
      </c>
    </row>
    <row r="1753" spans="1:23">
      <c r="A1753" s="23">
        <v>46049</v>
      </c>
      <c r="B1753" s="1" t="s">
        <v>4920</v>
      </c>
      <c r="C1753" s="1" t="s">
        <v>4013</v>
      </c>
      <c r="D1753" s="1" t="s">
        <v>619</v>
      </c>
      <c r="E1753" s="1">
        <v>85364</v>
      </c>
      <c r="F1753" s="1" t="s">
        <v>4921</v>
      </c>
      <c r="G1753" s="1" t="s">
        <v>4609</v>
      </c>
      <c r="H1753" s="4" t="s">
        <v>4922</v>
      </c>
      <c r="I1753" s="5" t="s">
        <v>541</v>
      </c>
      <c r="J1753" s="5" t="s">
        <v>37</v>
      </c>
      <c r="K1753" s="5" t="s">
        <v>37</v>
      </c>
      <c r="L1753" s="5" t="s">
        <v>4079</v>
      </c>
      <c r="M1753" s="5" t="s">
        <v>37</v>
      </c>
      <c r="N1753" s="5" t="s">
        <v>37</v>
      </c>
      <c r="O1753" s="5" t="s">
        <v>38</v>
      </c>
      <c r="P1753" s="5" t="s">
        <v>39</v>
      </c>
      <c r="Q1753" s="2">
        <v>46058</v>
      </c>
    </row>
    <row r="1754" spans="1:23">
      <c r="A1754" s="23">
        <v>46049</v>
      </c>
      <c r="B1754" s="1" t="s">
        <v>930</v>
      </c>
      <c r="C1754" s="1" t="s">
        <v>4923</v>
      </c>
      <c r="D1754" s="1" t="s">
        <v>24</v>
      </c>
      <c r="E1754" s="1">
        <v>85304</v>
      </c>
      <c r="F1754" s="1" t="s">
        <v>4924</v>
      </c>
      <c r="G1754" s="1" t="s">
        <v>4609</v>
      </c>
      <c r="H1754" s="4" t="s">
        <v>4925</v>
      </c>
      <c r="I1754" s="5" t="s">
        <v>36</v>
      </c>
      <c r="J1754" s="5" t="s">
        <v>37</v>
      </c>
      <c r="K1754" s="5" t="s">
        <v>37</v>
      </c>
      <c r="L1754" s="5" t="s">
        <v>38</v>
      </c>
      <c r="M1754" s="5" t="s">
        <v>37</v>
      </c>
      <c r="N1754" s="5" t="s">
        <v>37</v>
      </c>
      <c r="O1754" s="5" t="s">
        <v>38</v>
      </c>
      <c r="P1754" s="5" t="s">
        <v>39</v>
      </c>
      <c r="Q1754" s="2">
        <v>46058</v>
      </c>
    </row>
    <row r="1755" spans="1:23">
      <c r="A1755" s="23">
        <v>46049</v>
      </c>
      <c r="B1755" s="1" t="s">
        <v>4926</v>
      </c>
      <c r="C1755" s="1" t="s">
        <v>4927</v>
      </c>
      <c r="D1755" s="1" t="s">
        <v>174</v>
      </c>
      <c r="E1755" s="1">
        <v>85326</v>
      </c>
      <c r="F1755" s="1" t="s">
        <v>4928</v>
      </c>
      <c r="G1755" s="1" t="s">
        <v>4609</v>
      </c>
      <c r="H1755" s="4" t="s">
        <v>27</v>
      </c>
    </row>
    <row r="1756" spans="1:23">
      <c r="A1756" s="59">
        <v>46049</v>
      </c>
      <c r="B1756" s="33" t="s">
        <v>4929</v>
      </c>
      <c r="C1756" s="33" t="s">
        <v>131</v>
      </c>
      <c r="D1756" s="33" t="s">
        <v>63</v>
      </c>
      <c r="E1756" s="33">
        <v>85020</v>
      </c>
      <c r="F1756" s="33" t="s">
        <v>4930</v>
      </c>
      <c r="G1756" s="33" t="s">
        <v>4609</v>
      </c>
      <c r="H1756" s="45" t="s">
        <v>4931</v>
      </c>
      <c r="I1756" s="43" t="s">
        <v>36</v>
      </c>
      <c r="J1756" s="43" t="s">
        <v>37</v>
      </c>
      <c r="K1756" s="43" t="s">
        <v>37</v>
      </c>
      <c r="L1756" s="43" t="s">
        <v>38</v>
      </c>
      <c r="M1756" s="43" t="s">
        <v>38</v>
      </c>
      <c r="N1756" s="48">
        <v>393.41</v>
      </c>
      <c r="O1756" s="43" t="s">
        <v>38</v>
      </c>
      <c r="P1756" s="43"/>
      <c r="Q1756" s="42">
        <v>46058</v>
      </c>
      <c r="R1756" s="33" t="s">
        <v>4534</v>
      </c>
      <c r="S1756" s="33"/>
      <c r="T1756" s="33"/>
      <c r="U1756" s="33"/>
      <c r="V1756" s="33"/>
      <c r="W1756" s="33"/>
    </row>
    <row r="1757" spans="1:23">
      <c r="A1757" s="23">
        <v>46049</v>
      </c>
      <c r="B1757" s="1" t="s">
        <v>4932</v>
      </c>
      <c r="C1757" s="1" t="s">
        <v>42</v>
      </c>
      <c r="D1757" s="1" t="s">
        <v>3602</v>
      </c>
      <c r="E1757" s="1">
        <v>86337</v>
      </c>
      <c r="F1757" s="1" t="s">
        <v>4933</v>
      </c>
      <c r="G1757" s="1" t="s">
        <v>4609</v>
      </c>
      <c r="H1757" s="4" t="s">
        <v>27</v>
      </c>
    </row>
    <row r="1758" spans="1:23">
      <c r="A1758" s="23">
        <v>46049</v>
      </c>
      <c r="B1758" s="1" t="s">
        <v>4934</v>
      </c>
      <c r="C1758" s="1" t="s">
        <v>1741</v>
      </c>
      <c r="D1758" s="1" t="s">
        <v>63</v>
      </c>
      <c r="E1758" s="1">
        <v>85028</v>
      </c>
      <c r="F1758" s="1" t="s">
        <v>4935</v>
      </c>
      <c r="G1758" s="1" t="s">
        <v>4609</v>
      </c>
      <c r="H1758" s="4" t="s">
        <v>4936</v>
      </c>
      <c r="I1758" s="5" t="s">
        <v>36</v>
      </c>
      <c r="J1758" s="5" t="s">
        <v>37</v>
      </c>
      <c r="K1758" s="5" t="s">
        <v>37</v>
      </c>
      <c r="L1758" s="5" t="s">
        <v>38</v>
      </c>
      <c r="M1758" s="5" t="s">
        <v>37</v>
      </c>
      <c r="N1758" s="5" t="s">
        <v>37</v>
      </c>
      <c r="O1758" s="5" t="s">
        <v>38</v>
      </c>
      <c r="P1758" s="5" t="s">
        <v>39</v>
      </c>
      <c r="Q1758" s="2">
        <v>46058</v>
      </c>
    </row>
    <row r="1759" spans="1:23">
      <c r="A1759" s="23">
        <v>46049</v>
      </c>
      <c r="B1759" s="1" t="s">
        <v>4937</v>
      </c>
      <c r="C1759" s="1" t="s">
        <v>420</v>
      </c>
      <c r="D1759" s="1" t="s">
        <v>63</v>
      </c>
      <c r="E1759" s="1">
        <v>85022</v>
      </c>
      <c r="F1759" s="1" t="s">
        <v>4938</v>
      </c>
      <c r="G1759" s="1" t="s">
        <v>4609</v>
      </c>
      <c r="H1759" s="4" t="s">
        <v>27</v>
      </c>
    </row>
    <row r="1760" spans="1:23">
      <c r="A1760" s="23">
        <v>46049</v>
      </c>
      <c r="B1760" s="1" t="s">
        <v>789</v>
      </c>
      <c r="C1760" s="1" t="s">
        <v>135</v>
      </c>
      <c r="D1760" s="1" t="s">
        <v>261</v>
      </c>
      <c r="E1760" s="1">
        <v>86315</v>
      </c>
      <c r="F1760" s="1" t="s">
        <v>4939</v>
      </c>
      <c r="G1760" s="1" t="s">
        <v>4609</v>
      </c>
      <c r="H1760" s="5">
        <v>7884110000</v>
      </c>
      <c r="I1760" s="5" t="s">
        <v>73</v>
      </c>
      <c r="J1760" s="5" t="s">
        <v>37</v>
      </c>
      <c r="K1760" s="5" t="s">
        <v>37</v>
      </c>
      <c r="L1760" s="5" t="s">
        <v>38</v>
      </c>
      <c r="M1760" s="5" t="s">
        <v>37</v>
      </c>
      <c r="N1760" s="5" t="s">
        <v>37</v>
      </c>
      <c r="O1760" s="5" t="s">
        <v>38</v>
      </c>
      <c r="P1760" s="5" t="s">
        <v>39</v>
      </c>
      <c r="Q1760" s="2">
        <v>46058</v>
      </c>
    </row>
    <row r="1761" spans="1:17">
      <c r="A1761" s="23">
        <v>46049</v>
      </c>
      <c r="B1761" s="1" t="s">
        <v>1134</v>
      </c>
      <c r="C1761" s="1" t="s">
        <v>131</v>
      </c>
      <c r="D1761" s="1" t="s">
        <v>619</v>
      </c>
      <c r="E1761" s="1">
        <v>85365</v>
      </c>
      <c r="F1761" s="1" t="s">
        <v>4940</v>
      </c>
      <c r="G1761" s="1" t="s">
        <v>4609</v>
      </c>
      <c r="H1761" s="4" t="s">
        <v>4941</v>
      </c>
      <c r="I1761" s="5" t="s">
        <v>36</v>
      </c>
      <c r="J1761" s="5" t="s">
        <v>38</v>
      </c>
      <c r="K1761" s="5" t="s">
        <v>37</v>
      </c>
      <c r="L1761" s="5" t="s">
        <v>38</v>
      </c>
      <c r="M1761" s="5" t="s">
        <v>37</v>
      </c>
      <c r="N1761" s="5" t="s">
        <v>37</v>
      </c>
      <c r="O1761" s="5" t="s">
        <v>38</v>
      </c>
      <c r="P1761" s="5" t="s">
        <v>39</v>
      </c>
      <c r="Q1761" s="2">
        <v>46058</v>
      </c>
    </row>
    <row r="1762" spans="1:17">
      <c r="A1762" s="23">
        <v>46049</v>
      </c>
      <c r="B1762" s="1" t="s">
        <v>4942</v>
      </c>
      <c r="C1762" s="1" t="s">
        <v>4943</v>
      </c>
      <c r="D1762" s="1" t="s">
        <v>63</v>
      </c>
      <c r="E1762" s="1">
        <v>85085</v>
      </c>
      <c r="F1762" s="1" t="s">
        <v>4944</v>
      </c>
      <c r="G1762" s="1" t="s">
        <v>4609</v>
      </c>
      <c r="H1762" s="4" t="s">
        <v>27</v>
      </c>
    </row>
    <row r="1763" spans="1:17">
      <c r="A1763" s="23">
        <v>46049</v>
      </c>
      <c r="B1763" s="1" t="s">
        <v>941</v>
      </c>
      <c r="C1763" s="1" t="s">
        <v>4945</v>
      </c>
      <c r="D1763" s="1" t="s">
        <v>2229</v>
      </c>
      <c r="E1763" s="1">
        <v>85321</v>
      </c>
      <c r="F1763" s="1" t="s">
        <v>4946</v>
      </c>
      <c r="G1763" s="1" t="s">
        <v>4609</v>
      </c>
      <c r="H1763" s="4" t="s">
        <v>4947</v>
      </c>
      <c r="I1763" s="5" t="s">
        <v>73</v>
      </c>
      <c r="J1763" s="5" t="s">
        <v>37</v>
      </c>
      <c r="K1763" s="5" t="s">
        <v>37</v>
      </c>
      <c r="L1763" s="5" t="s">
        <v>38</v>
      </c>
      <c r="M1763" s="5" t="s">
        <v>37</v>
      </c>
      <c r="N1763" s="5" t="s">
        <v>37</v>
      </c>
      <c r="O1763" s="5" t="s">
        <v>38</v>
      </c>
      <c r="P1763" s="5" t="s">
        <v>39</v>
      </c>
      <c r="Q1763" s="2">
        <v>46058</v>
      </c>
    </row>
    <row r="1764" spans="1:17">
      <c r="A1764" s="23">
        <v>46049</v>
      </c>
      <c r="B1764" s="1" t="s">
        <v>4948</v>
      </c>
      <c r="C1764" s="1" t="s">
        <v>3392</v>
      </c>
      <c r="D1764" s="1" t="s">
        <v>412</v>
      </c>
      <c r="E1764" s="1">
        <v>85123</v>
      </c>
      <c r="F1764" s="1" t="s">
        <v>4949</v>
      </c>
      <c r="G1764" s="1" t="s">
        <v>4609</v>
      </c>
      <c r="H1764" s="5">
        <v>1080686483</v>
      </c>
      <c r="I1764" s="5" t="s">
        <v>36</v>
      </c>
      <c r="J1764" s="5" t="s">
        <v>37</v>
      </c>
      <c r="K1764" s="5" t="s">
        <v>37</v>
      </c>
      <c r="L1764" s="5" t="s">
        <v>38</v>
      </c>
      <c r="M1764" s="5" t="s">
        <v>37</v>
      </c>
      <c r="N1764" s="5" t="s">
        <v>37</v>
      </c>
      <c r="O1764" s="5" t="s">
        <v>38</v>
      </c>
      <c r="P1764" s="5" t="s">
        <v>39</v>
      </c>
      <c r="Q1764" s="2">
        <v>46058</v>
      </c>
    </row>
    <row r="1765" spans="1:17">
      <c r="A1765" s="23">
        <v>46049</v>
      </c>
      <c r="B1765" s="1" t="s">
        <v>930</v>
      </c>
      <c r="C1765" s="1" t="s">
        <v>3015</v>
      </c>
      <c r="D1765" s="1" t="s">
        <v>112</v>
      </c>
      <c r="E1765" s="1">
        <v>85379</v>
      </c>
      <c r="F1765" s="1" t="s">
        <v>4950</v>
      </c>
      <c r="G1765" s="1" t="s">
        <v>4609</v>
      </c>
      <c r="H1765" s="4" t="s">
        <v>4951</v>
      </c>
      <c r="I1765" s="5" t="s">
        <v>36</v>
      </c>
      <c r="J1765" s="5" t="s">
        <v>37</v>
      </c>
      <c r="K1765" s="5" t="s">
        <v>37</v>
      </c>
      <c r="L1765" s="5" t="s">
        <v>38</v>
      </c>
      <c r="M1765" s="5" t="s">
        <v>37</v>
      </c>
      <c r="N1765" s="5" t="s">
        <v>37</v>
      </c>
      <c r="O1765" s="5" t="s">
        <v>38</v>
      </c>
      <c r="P1765" s="5" t="s">
        <v>39</v>
      </c>
      <c r="Q1765" s="2">
        <v>46058</v>
      </c>
    </row>
    <row r="1766" spans="1:17">
      <c r="A1766" s="23">
        <v>46049</v>
      </c>
      <c r="B1766" s="1" t="s">
        <v>2963</v>
      </c>
      <c r="C1766" s="1" t="s">
        <v>3062</v>
      </c>
      <c r="D1766" s="1" t="s">
        <v>4952</v>
      </c>
      <c r="E1766" s="1">
        <v>86334</v>
      </c>
      <c r="F1766" s="1" t="s">
        <v>4953</v>
      </c>
      <c r="G1766" s="1" t="s">
        <v>4609</v>
      </c>
      <c r="H1766" s="4" t="s">
        <v>4954</v>
      </c>
      <c r="I1766" s="5" t="s">
        <v>46</v>
      </c>
      <c r="J1766" s="5" t="s">
        <v>37</v>
      </c>
      <c r="K1766" s="5" t="s">
        <v>37</v>
      </c>
      <c r="L1766" s="5" t="s">
        <v>38</v>
      </c>
      <c r="M1766" s="5" t="s">
        <v>37</v>
      </c>
      <c r="N1766" s="5" t="s">
        <v>37</v>
      </c>
      <c r="O1766" s="5" t="s">
        <v>38</v>
      </c>
      <c r="P1766" s="5" t="s">
        <v>39</v>
      </c>
      <c r="Q1766" s="2">
        <v>46058</v>
      </c>
    </row>
    <row r="1767" spans="1:17">
      <c r="A1767" s="23">
        <v>46049</v>
      </c>
      <c r="B1767" s="1" t="s">
        <v>1949</v>
      </c>
      <c r="C1767" s="1" t="s">
        <v>4955</v>
      </c>
      <c r="D1767" s="1" t="s">
        <v>63</v>
      </c>
      <c r="E1767" s="1">
        <v>85023</v>
      </c>
      <c r="F1767" s="1" t="s">
        <v>4956</v>
      </c>
      <c r="G1767" s="1" t="s">
        <v>4609</v>
      </c>
      <c r="H1767" s="4" t="s">
        <v>4957</v>
      </c>
      <c r="I1767" s="5" t="s">
        <v>36</v>
      </c>
      <c r="J1767" s="5" t="s">
        <v>38</v>
      </c>
      <c r="K1767" s="5" t="s">
        <v>37</v>
      </c>
      <c r="L1767" s="5" t="s">
        <v>38</v>
      </c>
      <c r="M1767" s="5" t="s">
        <v>37</v>
      </c>
      <c r="N1767" s="5" t="s">
        <v>37</v>
      </c>
      <c r="O1767" s="5" t="s">
        <v>38</v>
      </c>
      <c r="P1767" s="5" t="s">
        <v>39</v>
      </c>
      <c r="Q1767" s="2">
        <v>46058</v>
      </c>
    </row>
    <row r="1768" spans="1:17">
      <c r="A1768" s="23">
        <v>46049</v>
      </c>
      <c r="B1768" s="1" t="s">
        <v>4958</v>
      </c>
      <c r="C1768" s="1" t="s">
        <v>4959</v>
      </c>
      <c r="D1768" s="1" t="s">
        <v>125</v>
      </c>
      <c r="E1768" s="1">
        <v>85260</v>
      </c>
      <c r="F1768" s="1" t="s">
        <v>4960</v>
      </c>
      <c r="G1768" s="1" t="s">
        <v>4609</v>
      </c>
      <c r="H1768" s="4" t="s">
        <v>27</v>
      </c>
    </row>
    <row r="1769" spans="1:17">
      <c r="A1769" s="23">
        <v>46049</v>
      </c>
      <c r="B1769" s="1" t="s">
        <v>3327</v>
      </c>
      <c r="C1769" s="1" t="s">
        <v>697</v>
      </c>
      <c r="D1769" s="1" t="s">
        <v>3470</v>
      </c>
      <c r="E1769" s="1">
        <v>86324</v>
      </c>
      <c r="F1769" s="1" t="s">
        <v>4961</v>
      </c>
      <c r="G1769" s="1" t="s">
        <v>4609</v>
      </c>
      <c r="H1769" s="4" t="s">
        <v>27</v>
      </c>
    </row>
    <row r="1770" spans="1:17">
      <c r="A1770" s="23">
        <v>46049</v>
      </c>
      <c r="B1770" s="1" t="s">
        <v>4962</v>
      </c>
      <c r="C1770" s="1" t="s">
        <v>4963</v>
      </c>
      <c r="D1770" s="1" t="s">
        <v>112</v>
      </c>
      <c r="E1770" s="1">
        <v>85388</v>
      </c>
      <c r="F1770" s="1" t="s">
        <v>4964</v>
      </c>
      <c r="G1770" s="1" t="s">
        <v>4609</v>
      </c>
      <c r="H1770" s="4" t="s">
        <v>4965</v>
      </c>
      <c r="I1770" s="5" t="s">
        <v>36</v>
      </c>
      <c r="J1770" s="5" t="s">
        <v>37</v>
      </c>
      <c r="K1770" s="5" t="s">
        <v>37</v>
      </c>
      <c r="L1770" s="5" t="s">
        <v>38</v>
      </c>
      <c r="M1770" s="5" t="s">
        <v>37</v>
      </c>
      <c r="N1770" s="5" t="s">
        <v>37</v>
      </c>
      <c r="O1770" s="5" t="s">
        <v>38</v>
      </c>
      <c r="P1770" s="5" t="s">
        <v>39</v>
      </c>
      <c r="Q1770" s="2">
        <v>46058</v>
      </c>
    </row>
    <row r="1771" spans="1:17">
      <c r="A1771" s="23">
        <v>46049</v>
      </c>
      <c r="B1771" s="1" t="s">
        <v>2785</v>
      </c>
      <c r="C1771" s="1" t="s">
        <v>4966</v>
      </c>
      <c r="D1771" s="1" t="s">
        <v>1054</v>
      </c>
      <c r="E1771" s="1">
        <v>85268</v>
      </c>
      <c r="F1771" s="1" t="s">
        <v>4967</v>
      </c>
      <c r="G1771" s="1" t="s">
        <v>4609</v>
      </c>
      <c r="H1771" s="4" t="s">
        <v>27</v>
      </c>
    </row>
    <row r="1772" spans="1:17">
      <c r="A1772" s="23">
        <v>46049</v>
      </c>
      <c r="B1772" s="1" t="s">
        <v>4968</v>
      </c>
      <c r="C1772" s="1" t="s">
        <v>4969</v>
      </c>
      <c r="D1772" s="1" t="s">
        <v>264</v>
      </c>
      <c r="E1772" s="1">
        <v>85541</v>
      </c>
      <c r="F1772" s="1" t="s">
        <v>4970</v>
      </c>
      <c r="G1772" s="1" t="s">
        <v>4609</v>
      </c>
      <c r="H1772" s="4" t="s">
        <v>27</v>
      </c>
    </row>
    <row r="1773" spans="1:17">
      <c r="A1773" s="23">
        <v>46049</v>
      </c>
      <c r="B1773" s="1" t="s">
        <v>4971</v>
      </c>
      <c r="C1773" s="1" t="s">
        <v>991</v>
      </c>
      <c r="D1773" s="1" t="s">
        <v>24</v>
      </c>
      <c r="E1773" s="1">
        <v>85303</v>
      </c>
      <c r="F1773" s="1" t="s">
        <v>4972</v>
      </c>
      <c r="G1773" s="1" t="s">
        <v>4609</v>
      </c>
      <c r="H1773" s="4" t="s">
        <v>27</v>
      </c>
    </row>
    <row r="1774" spans="1:17">
      <c r="A1774" s="23">
        <v>46049</v>
      </c>
      <c r="B1774" s="1" t="s">
        <v>4190</v>
      </c>
      <c r="C1774" s="1" t="s">
        <v>4282</v>
      </c>
      <c r="D1774" s="1" t="s">
        <v>93</v>
      </c>
      <c r="E1774" s="1">
        <v>85351</v>
      </c>
      <c r="F1774" s="1" t="s">
        <v>4973</v>
      </c>
      <c r="G1774" s="1" t="s">
        <v>4609</v>
      </c>
      <c r="H1774" s="4" t="s">
        <v>4974</v>
      </c>
      <c r="I1774" s="5" t="s">
        <v>4214</v>
      </c>
      <c r="J1774" s="5" t="s">
        <v>37</v>
      </c>
      <c r="K1774" s="5" t="s">
        <v>37</v>
      </c>
      <c r="L1774" s="5" t="s">
        <v>4079</v>
      </c>
      <c r="M1774" s="5" t="s">
        <v>37</v>
      </c>
      <c r="N1774" s="5" t="s">
        <v>37</v>
      </c>
      <c r="O1774" s="5" t="s">
        <v>38</v>
      </c>
      <c r="P1774" s="5" t="s">
        <v>39</v>
      </c>
      <c r="Q1774" s="2">
        <v>46058</v>
      </c>
    </row>
    <row r="1775" spans="1:17">
      <c r="A1775" s="23">
        <v>46049</v>
      </c>
      <c r="B1775" s="1" t="s">
        <v>4975</v>
      </c>
      <c r="C1775" s="1" t="s">
        <v>486</v>
      </c>
      <c r="D1775" s="1" t="s">
        <v>4164</v>
      </c>
      <c r="E1775" s="1">
        <v>85086</v>
      </c>
      <c r="F1775" s="1" t="s">
        <v>4976</v>
      </c>
      <c r="G1775" s="1" t="s">
        <v>4609</v>
      </c>
      <c r="H1775" s="4" t="s">
        <v>4977</v>
      </c>
      <c r="I1775" s="5" t="s">
        <v>36</v>
      </c>
      <c r="J1775" s="5" t="s">
        <v>37</v>
      </c>
      <c r="K1775" s="5" t="s">
        <v>37</v>
      </c>
      <c r="L1775" s="5" t="s">
        <v>38</v>
      </c>
      <c r="M1775" s="5" t="s">
        <v>37</v>
      </c>
      <c r="N1775" s="5" t="s">
        <v>37</v>
      </c>
      <c r="O1775" s="5" t="s">
        <v>38</v>
      </c>
      <c r="P1775" s="5" t="s">
        <v>39</v>
      </c>
      <c r="Q1775" s="2">
        <v>46058</v>
      </c>
    </row>
    <row r="1776" spans="1:17">
      <c r="A1776" s="23">
        <v>46049</v>
      </c>
      <c r="B1776" s="1" t="s">
        <v>4384</v>
      </c>
      <c r="C1776" s="1" t="s">
        <v>4978</v>
      </c>
      <c r="D1776" s="1" t="s">
        <v>504</v>
      </c>
      <c r="E1776" s="1">
        <v>86004</v>
      </c>
      <c r="F1776" s="1" t="s">
        <v>4979</v>
      </c>
      <c r="G1776" s="1" t="s">
        <v>4609</v>
      </c>
      <c r="H1776" s="5">
        <v>6838697128</v>
      </c>
      <c r="I1776" s="5" t="s">
        <v>73</v>
      </c>
      <c r="J1776" s="5" t="s">
        <v>38</v>
      </c>
      <c r="K1776" s="5" t="s">
        <v>37</v>
      </c>
      <c r="L1776" s="5" t="s">
        <v>38</v>
      </c>
      <c r="M1776" s="5" t="s">
        <v>37</v>
      </c>
      <c r="N1776" s="5" t="s">
        <v>37</v>
      </c>
      <c r="O1776" s="5" t="s">
        <v>38</v>
      </c>
      <c r="P1776" s="5" t="s">
        <v>39</v>
      </c>
      <c r="Q1776" s="2">
        <v>46058</v>
      </c>
    </row>
    <row r="1777" spans="1:23">
      <c r="A1777" s="61">
        <v>46049</v>
      </c>
      <c r="B1777" s="35" t="s">
        <v>4980</v>
      </c>
      <c r="C1777" s="35" t="s">
        <v>4981</v>
      </c>
      <c r="D1777" s="35" t="s">
        <v>619</v>
      </c>
      <c r="E1777" s="35">
        <v>85364</v>
      </c>
      <c r="F1777" s="35" t="s">
        <v>4982</v>
      </c>
      <c r="G1777" s="35" t="s">
        <v>4609</v>
      </c>
      <c r="H1777" s="22" t="s">
        <v>27</v>
      </c>
      <c r="I1777" s="19"/>
      <c r="J1777" s="19"/>
      <c r="K1777" s="19"/>
      <c r="L1777" s="19"/>
      <c r="M1777" s="19"/>
      <c r="N1777" s="19"/>
      <c r="O1777" s="19"/>
      <c r="P1777" s="19"/>
      <c r="Q1777" s="19"/>
      <c r="R1777" s="35"/>
      <c r="S1777" s="35"/>
      <c r="T1777" s="35"/>
      <c r="U1777" s="35"/>
      <c r="V1777" s="35"/>
      <c r="W1777" s="35"/>
    </row>
    <row r="1778" spans="1:23">
      <c r="A1778" s="23">
        <v>46049</v>
      </c>
      <c r="B1778" s="1" t="s">
        <v>4983</v>
      </c>
      <c r="C1778" s="1" t="s">
        <v>3062</v>
      </c>
      <c r="D1778" s="1" t="s">
        <v>93</v>
      </c>
      <c r="E1778" s="1">
        <v>85373</v>
      </c>
      <c r="F1778" s="1" t="s">
        <v>4984</v>
      </c>
      <c r="G1778" s="1" t="s">
        <v>4609</v>
      </c>
      <c r="H1778" s="4" t="s">
        <v>4985</v>
      </c>
      <c r="I1778" s="5" t="s">
        <v>3887</v>
      </c>
      <c r="J1778" s="5" t="s">
        <v>38</v>
      </c>
      <c r="K1778" s="5" t="s">
        <v>37</v>
      </c>
      <c r="L1778" s="5" t="s">
        <v>4079</v>
      </c>
      <c r="M1778" s="5" t="s">
        <v>37</v>
      </c>
      <c r="N1778" s="5" t="s">
        <v>37</v>
      </c>
      <c r="O1778" s="5" t="s">
        <v>38</v>
      </c>
      <c r="P1778" s="5" t="s">
        <v>39</v>
      </c>
      <c r="Q1778" s="2">
        <v>46058</v>
      </c>
    </row>
    <row r="1779" spans="1:23">
      <c r="A1779" s="59">
        <v>46049</v>
      </c>
      <c r="B1779" s="33" t="s">
        <v>4986</v>
      </c>
      <c r="C1779" s="33" t="s">
        <v>4987</v>
      </c>
      <c r="D1779" s="33" t="s">
        <v>85</v>
      </c>
      <c r="E1779" s="33">
        <v>86323</v>
      </c>
      <c r="F1779" s="33" t="s">
        <v>4988</v>
      </c>
      <c r="G1779" s="33" t="s">
        <v>4609</v>
      </c>
      <c r="H1779" s="45" t="s">
        <v>4989</v>
      </c>
      <c r="I1779" s="43" t="s">
        <v>36</v>
      </c>
      <c r="J1779" s="43" t="s">
        <v>38</v>
      </c>
      <c r="K1779" s="43" t="s">
        <v>37</v>
      </c>
      <c r="L1779" s="43" t="s">
        <v>38</v>
      </c>
      <c r="M1779" s="43" t="s">
        <v>38</v>
      </c>
      <c r="N1779" s="48">
        <v>1048.1600000000001</v>
      </c>
      <c r="O1779" s="43" t="s">
        <v>38</v>
      </c>
      <c r="P1779" s="43"/>
      <c r="Q1779" s="42">
        <v>46058</v>
      </c>
      <c r="R1779" s="33" t="s">
        <v>4990</v>
      </c>
      <c r="S1779" s="33"/>
      <c r="T1779" s="33"/>
      <c r="U1779" s="33"/>
      <c r="V1779" s="33"/>
      <c r="W1779" s="33"/>
    </row>
    <row r="1780" spans="1:23">
      <c r="A1780" s="23">
        <v>46049</v>
      </c>
      <c r="B1780" s="1" t="s">
        <v>558</v>
      </c>
      <c r="C1780" s="1" t="s">
        <v>658</v>
      </c>
      <c r="D1780" s="1" t="s">
        <v>112</v>
      </c>
      <c r="E1780" s="1">
        <v>85388</v>
      </c>
      <c r="F1780" s="1" t="s">
        <v>4991</v>
      </c>
      <c r="G1780" s="1" t="s">
        <v>4609</v>
      </c>
      <c r="H1780" s="4" t="s">
        <v>4992</v>
      </c>
      <c r="I1780" s="5" t="s">
        <v>36</v>
      </c>
      <c r="J1780" s="5" t="s">
        <v>37</v>
      </c>
      <c r="K1780" s="5" t="s">
        <v>37</v>
      </c>
      <c r="L1780" s="5" t="s">
        <v>38</v>
      </c>
      <c r="M1780" s="5" t="s">
        <v>37</v>
      </c>
      <c r="N1780" s="5" t="s">
        <v>37</v>
      </c>
      <c r="O1780" s="5" t="s">
        <v>38</v>
      </c>
      <c r="P1780" s="5" t="s">
        <v>39</v>
      </c>
      <c r="Q1780" s="2">
        <v>46058</v>
      </c>
      <c r="R1780" s="1" t="s">
        <v>4993</v>
      </c>
    </row>
    <row r="1781" spans="1:23">
      <c r="A1781" s="23">
        <v>46049</v>
      </c>
      <c r="B1781" s="1" t="s">
        <v>2833</v>
      </c>
      <c r="C1781" s="1" t="s">
        <v>1093</v>
      </c>
      <c r="D1781" s="1" t="s">
        <v>174</v>
      </c>
      <c r="E1781" s="1">
        <v>85396</v>
      </c>
      <c r="F1781" s="1" t="s">
        <v>4994</v>
      </c>
      <c r="G1781" s="1" t="s">
        <v>4609</v>
      </c>
      <c r="H1781" s="4" t="s">
        <v>4995</v>
      </c>
      <c r="I1781" s="5" t="s">
        <v>4214</v>
      </c>
      <c r="J1781" s="5" t="s">
        <v>37</v>
      </c>
      <c r="K1781" s="5" t="s">
        <v>37</v>
      </c>
      <c r="L1781" s="5" t="s">
        <v>4079</v>
      </c>
      <c r="M1781" s="5" t="s">
        <v>37</v>
      </c>
      <c r="N1781" s="5" t="s">
        <v>37</v>
      </c>
      <c r="O1781" s="5" t="s">
        <v>38</v>
      </c>
      <c r="P1781" s="5" t="s">
        <v>39</v>
      </c>
      <c r="Q1781" s="2">
        <v>46058</v>
      </c>
    </row>
    <row r="1782" spans="1:23">
      <c r="A1782" s="23">
        <v>46049</v>
      </c>
      <c r="B1782" s="1" t="s">
        <v>358</v>
      </c>
      <c r="C1782" s="1" t="s">
        <v>4996</v>
      </c>
      <c r="D1782" s="1" t="s">
        <v>129</v>
      </c>
      <c r="E1782" s="1">
        <v>85233</v>
      </c>
      <c r="F1782" s="1" t="s">
        <v>4997</v>
      </c>
      <c r="G1782" s="1" t="s">
        <v>4609</v>
      </c>
      <c r="H1782" s="4" t="s">
        <v>90</v>
      </c>
      <c r="R1782" s="1" t="s">
        <v>4759</v>
      </c>
    </row>
    <row r="1783" spans="1:23">
      <c r="A1783" s="23">
        <v>46049</v>
      </c>
      <c r="B1783" s="1" t="s">
        <v>4998</v>
      </c>
      <c r="C1783" s="1" t="s">
        <v>4999</v>
      </c>
      <c r="D1783" s="1" t="s">
        <v>63</v>
      </c>
      <c r="E1783" s="1">
        <v>85029</v>
      </c>
      <c r="F1783" s="1" t="s">
        <v>5000</v>
      </c>
      <c r="G1783" s="1" t="s">
        <v>4609</v>
      </c>
      <c r="H1783" s="4" t="s">
        <v>27</v>
      </c>
    </row>
    <row r="1784" spans="1:23">
      <c r="A1784" s="23">
        <v>46049</v>
      </c>
      <c r="B1784" s="1" t="s">
        <v>5001</v>
      </c>
      <c r="C1784" s="1" t="s">
        <v>67</v>
      </c>
      <c r="D1784" s="1" t="s">
        <v>112</v>
      </c>
      <c r="E1784" s="1">
        <v>85374</v>
      </c>
      <c r="F1784" s="1" t="s">
        <v>5002</v>
      </c>
      <c r="G1784" s="1" t="s">
        <v>4609</v>
      </c>
      <c r="H1784" s="4" t="s">
        <v>5003</v>
      </c>
      <c r="I1784" s="5" t="s">
        <v>46</v>
      </c>
      <c r="J1784" s="5" t="s">
        <v>37</v>
      </c>
      <c r="K1784" s="5" t="s">
        <v>37</v>
      </c>
      <c r="L1784" s="5" t="s">
        <v>38</v>
      </c>
      <c r="M1784" s="5" t="s">
        <v>37</v>
      </c>
      <c r="N1784" s="5" t="s">
        <v>37</v>
      </c>
      <c r="O1784" s="5" t="s">
        <v>38</v>
      </c>
      <c r="P1784" s="5" t="s">
        <v>39</v>
      </c>
      <c r="Q1784" s="2">
        <v>46058</v>
      </c>
    </row>
    <row r="1785" spans="1:23">
      <c r="A1785" s="23">
        <v>46049</v>
      </c>
      <c r="B1785" s="1" t="s">
        <v>5004</v>
      </c>
      <c r="C1785" s="1" t="s">
        <v>135</v>
      </c>
      <c r="D1785" s="1" t="s">
        <v>174</v>
      </c>
      <c r="E1785" s="1">
        <v>85326</v>
      </c>
      <c r="F1785" s="1" t="s">
        <v>5005</v>
      </c>
      <c r="G1785" s="1" t="s">
        <v>4609</v>
      </c>
      <c r="H1785" s="4" t="s">
        <v>27</v>
      </c>
      <c r="R1785" s="1" t="s">
        <v>4759</v>
      </c>
    </row>
    <row r="1786" spans="1:23">
      <c r="A1786" s="23">
        <v>46049</v>
      </c>
      <c r="B1786" s="1" t="s">
        <v>5006</v>
      </c>
      <c r="C1786" s="1" t="s">
        <v>1323</v>
      </c>
      <c r="D1786" s="1" t="s">
        <v>448</v>
      </c>
      <c r="E1786" s="1">
        <v>85361</v>
      </c>
      <c r="F1786" s="1" t="s">
        <v>5007</v>
      </c>
      <c r="G1786" s="1" t="s">
        <v>4609</v>
      </c>
      <c r="H1786" s="4" t="s">
        <v>90</v>
      </c>
    </row>
    <row r="1787" spans="1:23">
      <c r="A1787" s="23">
        <v>46049</v>
      </c>
      <c r="B1787" s="1" t="s">
        <v>2531</v>
      </c>
      <c r="C1787" s="1" t="s">
        <v>4399</v>
      </c>
      <c r="D1787" s="1" t="s">
        <v>63</v>
      </c>
      <c r="E1787" s="1">
        <v>85032</v>
      </c>
      <c r="F1787" s="1" t="s">
        <v>5008</v>
      </c>
      <c r="G1787" s="1" t="s">
        <v>4609</v>
      </c>
      <c r="H1787" s="4" t="s">
        <v>5009</v>
      </c>
      <c r="I1787" s="5" t="s">
        <v>73</v>
      </c>
      <c r="J1787" s="5" t="s">
        <v>37</v>
      </c>
      <c r="K1787" s="5" t="s">
        <v>37</v>
      </c>
      <c r="L1787" s="5" t="s">
        <v>38</v>
      </c>
      <c r="M1787" s="5" t="s">
        <v>37</v>
      </c>
      <c r="N1787" s="5" t="s">
        <v>37</v>
      </c>
      <c r="O1787" s="5" t="s">
        <v>38</v>
      </c>
      <c r="P1787" s="5" t="s">
        <v>39</v>
      </c>
      <c r="Q1787" s="2">
        <v>46058</v>
      </c>
    </row>
    <row r="1788" spans="1:23">
      <c r="A1788" s="23">
        <v>46049</v>
      </c>
      <c r="B1788" s="1" t="s">
        <v>306</v>
      </c>
      <c r="C1788" s="1" t="s">
        <v>5010</v>
      </c>
      <c r="D1788" s="1" t="s">
        <v>523</v>
      </c>
      <c r="E1788" s="1">
        <v>85323</v>
      </c>
      <c r="F1788" s="1" t="s">
        <v>5011</v>
      </c>
      <c r="G1788" s="1" t="s">
        <v>4609</v>
      </c>
      <c r="H1788" s="4" t="s">
        <v>5012</v>
      </c>
      <c r="R1788" s="1" t="s">
        <v>4759</v>
      </c>
    </row>
    <row r="1789" spans="1:23">
      <c r="A1789" s="23">
        <v>46049</v>
      </c>
      <c r="B1789" s="1" t="s">
        <v>5013</v>
      </c>
      <c r="C1789" s="1" t="s">
        <v>5014</v>
      </c>
      <c r="D1789" s="1" t="s">
        <v>24</v>
      </c>
      <c r="E1789" s="1">
        <v>85308</v>
      </c>
      <c r="F1789" s="1" t="s">
        <v>5015</v>
      </c>
      <c r="G1789" s="1" t="s">
        <v>4609</v>
      </c>
      <c r="H1789" s="4" t="s">
        <v>27</v>
      </c>
    </row>
    <row r="1790" spans="1:23">
      <c r="A1790" s="23">
        <v>46049</v>
      </c>
      <c r="B1790" s="1" t="s">
        <v>5016</v>
      </c>
      <c r="C1790" s="1" t="s">
        <v>3023</v>
      </c>
      <c r="D1790" s="1" t="s">
        <v>63</v>
      </c>
      <c r="E1790" s="1">
        <v>85017</v>
      </c>
      <c r="F1790" s="1" t="s">
        <v>5017</v>
      </c>
      <c r="G1790" s="1" t="s">
        <v>4609</v>
      </c>
      <c r="H1790" s="4" t="s">
        <v>5018</v>
      </c>
      <c r="I1790" s="5" t="s">
        <v>126</v>
      </c>
      <c r="J1790" s="5" t="s">
        <v>37</v>
      </c>
      <c r="K1790" s="5" t="s">
        <v>37</v>
      </c>
      <c r="L1790" s="5" t="s">
        <v>5019</v>
      </c>
      <c r="M1790" s="5" t="s">
        <v>37</v>
      </c>
      <c r="N1790" s="5" t="s">
        <v>37</v>
      </c>
      <c r="O1790" s="5" t="s">
        <v>38</v>
      </c>
      <c r="P1790" s="5" t="s">
        <v>39</v>
      </c>
      <c r="Q1790" s="2">
        <v>46058</v>
      </c>
    </row>
    <row r="1791" spans="1:23">
      <c r="A1791" s="23">
        <v>46049</v>
      </c>
      <c r="B1791" s="1" t="s">
        <v>5020</v>
      </c>
      <c r="C1791" s="1" t="s">
        <v>4111</v>
      </c>
      <c r="D1791" s="1" t="s">
        <v>63</v>
      </c>
      <c r="E1791" s="1">
        <v>85032</v>
      </c>
      <c r="F1791" s="1" t="s">
        <v>5021</v>
      </c>
      <c r="G1791" s="1" t="s">
        <v>4609</v>
      </c>
      <c r="H1791" s="4" t="s">
        <v>5022</v>
      </c>
      <c r="I1791" s="5" t="s">
        <v>126</v>
      </c>
      <c r="J1791" s="5" t="s">
        <v>37</v>
      </c>
      <c r="K1791" s="5" t="s">
        <v>37</v>
      </c>
      <c r="L1791" s="5" t="s">
        <v>38</v>
      </c>
      <c r="M1791" s="5" t="s">
        <v>37</v>
      </c>
      <c r="N1791" s="5" t="s">
        <v>37</v>
      </c>
      <c r="O1791" s="5" t="s">
        <v>38</v>
      </c>
      <c r="P1791" s="5" t="s">
        <v>39</v>
      </c>
      <c r="Q1791" s="2">
        <v>46058</v>
      </c>
    </row>
    <row r="1792" spans="1:23">
      <c r="A1792" s="23">
        <v>46049</v>
      </c>
      <c r="B1792" s="1" t="s">
        <v>5023</v>
      </c>
      <c r="C1792" s="1" t="s">
        <v>177</v>
      </c>
      <c r="D1792" s="1" t="s">
        <v>264</v>
      </c>
      <c r="E1792" s="1">
        <v>85541</v>
      </c>
      <c r="F1792" s="1" t="s">
        <v>5024</v>
      </c>
      <c r="G1792" s="1" t="s">
        <v>4609</v>
      </c>
      <c r="H1792" s="4" t="s">
        <v>5025</v>
      </c>
      <c r="I1792" s="5" t="s">
        <v>73</v>
      </c>
      <c r="J1792" s="5" t="s">
        <v>37</v>
      </c>
      <c r="K1792" s="5" t="s">
        <v>37</v>
      </c>
      <c r="L1792" s="5" t="s">
        <v>38</v>
      </c>
      <c r="M1792" s="5" t="s">
        <v>37</v>
      </c>
      <c r="N1792" s="5" t="s">
        <v>37</v>
      </c>
      <c r="O1792" s="5" t="s">
        <v>38</v>
      </c>
      <c r="P1792" s="5" t="s">
        <v>39</v>
      </c>
      <c r="Q1792" s="2">
        <v>46058</v>
      </c>
    </row>
    <row r="1793" spans="1:23">
      <c r="A1793" s="23">
        <v>46049</v>
      </c>
      <c r="B1793" s="1" t="s">
        <v>5026</v>
      </c>
      <c r="C1793" s="1" t="s">
        <v>658</v>
      </c>
      <c r="D1793" s="1" t="s">
        <v>202</v>
      </c>
      <c r="E1793" s="1">
        <v>85382</v>
      </c>
      <c r="F1793" s="1" t="s">
        <v>5027</v>
      </c>
      <c r="G1793" s="1" t="s">
        <v>4609</v>
      </c>
      <c r="H1793" s="4" t="s">
        <v>27</v>
      </c>
    </row>
    <row r="1794" spans="1:23">
      <c r="A1794" s="23">
        <v>46049</v>
      </c>
      <c r="B1794" s="1" t="s">
        <v>5028</v>
      </c>
      <c r="C1794" s="1" t="s">
        <v>5029</v>
      </c>
      <c r="D1794" s="1" t="s">
        <v>5030</v>
      </c>
      <c r="E1794" s="1">
        <v>85544</v>
      </c>
      <c r="F1794" s="1" t="s">
        <v>5031</v>
      </c>
      <c r="G1794" s="1" t="s">
        <v>4609</v>
      </c>
      <c r="H1794" s="4" t="s">
        <v>5032</v>
      </c>
      <c r="I1794" s="5" t="s">
        <v>36</v>
      </c>
      <c r="J1794" s="5" t="s">
        <v>38</v>
      </c>
      <c r="K1794" s="5" t="s">
        <v>37</v>
      </c>
      <c r="L1794" s="5" t="s">
        <v>5033</v>
      </c>
      <c r="M1794" s="5" t="s">
        <v>37</v>
      </c>
      <c r="N1794" s="5" t="s">
        <v>37</v>
      </c>
      <c r="O1794" s="5" t="s">
        <v>38</v>
      </c>
      <c r="P1794" s="5" t="s">
        <v>39</v>
      </c>
      <c r="Q1794" s="2">
        <v>46058</v>
      </c>
    </row>
    <row r="1795" spans="1:23">
      <c r="A1795" s="23">
        <v>46049</v>
      </c>
      <c r="B1795" s="1" t="s">
        <v>5034</v>
      </c>
      <c r="C1795" s="1" t="s">
        <v>102</v>
      </c>
      <c r="D1795" s="1" t="s">
        <v>174</v>
      </c>
      <c r="E1795" s="1">
        <v>85326</v>
      </c>
      <c r="F1795" s="1" t="s">
        <v>5035</v>
      </c>
      <c r="G1795" s="1" t="s">
        <v>4609</v>
      </c>
      <c r="H1795" s="4" t="s">
        <v>5036</v>
      </c>
      <c r="I1795" s="5" t="s">
        <v>36</v>
      </c>
      <c r="J1795" s="5" t="s">
        <v>37</v>
      </c>
      <c r="K1795" s="5" t="s">
        <v>37</v>
      </c>
      <c r="L1795" s="5" t="s">
        <v>38</v>
      </c>
      <c r="M1795" s="5" t="s">
        <v>37</v>
      </c>
      <c r="N1795" s="5" t="s">
        <v>37</v>
      </c>
      <c r="O1795" s="5" t="s">
        <v>38</v>
      </c>
      <c r="P1795" s="5" t="s">
        <v>39</v>
      </c>
      <c r="Q1795" s="2">
        <v>46058</v>
      </c>
    </row>
    <row r="1796" spans="1:23">
      <c r="A1796" s="23">
        <v>46049</v>
      </c>
      <c r="B1796" s="1" t="s">
        <v>5037</v>
      </c>
      <c r="C1796" s="1" t="s">
        <v>5038</v>
      </c>
      <c r="D1796" s="1" t="s">
        <v>63</v>
      </c>
      <c r="E1796" s="1">
        <v>85029</v>
      </c>
      <c r="F1796" s="1" t="s">
        <v>5039</v>
      </c>
      <c r="G1796" s="1" t="s">
        <v>4609</v>
      </c>
      <c r="H1796" s="4" t="s">
        <v>27</v>
      </c>
    </row>
    <row r="1797" spans="1:23">
      <c r="A1797" s="23">
        <v>46049</v>
      </c>
      <c r="B1797" s="1" t="s">
        <v>367</v>
      </c>
      <c r="C1797" s="1" t="s">
        <v>5040</v>
      </c>
      <c r="D1797" s="1" t="s">
        <v>698</v>
      </c>
      <c r="E1797" s="1">
        <v>85375</v>
      </c>
      <c r="F1797" s="1" t="s">
        <v>5041</v>
      </c>
      <c r="G1797" s="1" t="s">
        <v>4609</v>
      </c>
      <c r="H1797" s="4" t="s">
        <v>5042</v>
      </c>
      <c r="I1797" s="5" t="s">
        <v>541</v>
      </c>
      <c r="J1797" s="5" t="s">
        <v>37</v>
      </c>
      <c r="K1797" s="5" t="s">
        <v>37</v>
      </c>
      <c r="L1797" s="5" t="s">
        <v>4079</v>
      </c>
      <c r="M1797" s="5" t="s">
        <v>37</v>
      </c>
      <c r="N1797" s="5" t="s">
        <v>37</v>
      </c>
      <c r="O1797" s="5" t="s">
        <v>38</v>
      </c>
      <c r="P1797" s="5" t="s">
        <v>39</v>
      </c>
      <c r="Q1797" s="2">
        <v>46058</v>
      </c>
    </row>
    <row r="1798" spans="1:23">
      <c r="A1798" s="23">
        <v>46049</v>
      </c>
      <c r="B1798" s="1" t="s">
        <v>5043</v>
      </c>
      <c r="C1798" s="1" t="s">
        <v>124</v>
      </c>
      <c r="D1798" s="1" t="s">
        <v>63</v>
      </c>
      <c r="E1798" s="1">
        <v>85032</v>
      </c>
      <c r="F1798" s="1" t="s">
        <v>5044</v>
      </c>
      <c r="G1798" s="1" t="s">
        <v>4609</v>
      </c>
      <c r="H1798" s="4" t="s">
        <v>5045</v>
      </c>
      <c r="I1798" s="5" t="s">
        <v>57</v>
      </c>
      <c r="J1798" s="5" t="s">
        <v>37</v>
      </c>
      <c r="K1798" s="5" t="s">
        <v>37</v>
      </c>
      <c r="L1798" s="5" t="s">
        <v>4419</v>
      </c>
      <c r="M1798" s="5" t="s">
        <v>37</v>
      </c>
      <c r="N1798" s="5" t="s">
        <v>37</v>
      </c>
      <c r="O1798" s="5" t="s">
        <v>38</v>
      </c>
      <c r="P1798" s="5" t="s">
        <v>39</v>
      </c>
      <c r="Q1798" s="2">
        <v>46058</v>
      </c>
    </row>
    <row r="1799" spans="1:23">
      <c r="A1799" s="23">
        <v>46049</v>
      </c>
      <c r="B1799" s="1" t="s">
        <v>5046</v>
      </c>
      <c r="C1799" s="1" t="s">
        <v>3006</v>
      </c>
      <c r="D1799" s="1" t="s">
        <v>63</v>
      </c>
      <c r="E1799" s="1">
        <v>85024</v>
      </c>
      <c r="F1799" s="1" t="s">
        <v>5047</v>
      </c>
      <c r="G1799" s="1" t="s">
        <v>4609</v>
      </c>
      <c r="H1799" s="4" t="s">
        <v>5048</v>
      </c>
      <c r="I1799" s="5" t="s">
        <v>36</v>
      </c>
      <c r="J1799" s="5" t="s">
        <v>37</v>
      </c>
      <c r="K1799" s="5" t="s">
        <v>37</v>
      </c>
      <c r="L1799" s="5" t="s">
        <v>38</v>
      </c>
      <c r="M1799" s="5" t="s">
        <v>37</v>
      </c>
      <c r="N1799" s="5" t="s">
        <v>37</v>
      </c>
      <c r="O1799" s="5" t="s">
        <v>38</v>
      </c>
      <c r="P1799" s="5" t="s">
        <v>39</v>
      </c>
      <c r="Q1799" s="2">
        <v>46058</v>
      </c>
    </row>
    <row r="1800" spans="1:23">
      <c r="A1800" s="23">
        <v>46049</v>
      </c>
      <c r="B1800" s="1" t="s">
        <v>5049</v>
      </c>
      <c r="C1800" s="1" t="s">
        <v>4623</v>
      </c>
      <c r="D1800" s="1" t="s">
        <v>1919</v>
      </c>
      <c r="E1800" s="1">
        <v>85201</v>
      </c>
      <c r="F1800" s="1" t="s">
        <v>5050</v>
      </c>
      <c r="G1800" s="1" t="s">
        <v>4609</v>
      </c>
      <c r="H1800" s="4" t="s">
        <v>27</v>
      </c>
    </row>
    <row r="1801" spans="1:23">
      <c r="A1801" s="23">
        <v>46049</v>
      </c>
      <c r="B1801" s="1" t="s">
        <v>5051</v>
      </c>
      <c r="C1801" s="1" t="s">
        <v>328</v>
      </c>
      <c r="D1801" s="1" t="s">
        <v>1919</v>
      </c>
      <c r="E1801" s="1">
        <v>85207</v>
      </c>
      <c r="F1801" s="1" t="s">
        <v>5052</v>
      </c>
      <c r="G1801" s="1" t="s">
        <v>4609</v>
      </c>
      <c r="H1801" s="4" t="s">
        <v>27</v>
      </c>
    </row>
    <row r="1802" spans="1:23">
      <c r="A1802" s="23">
        <v>46049</v>
      </c>
      <c r="B1802" s="1" t="s">
        <v>5053</v>
      </c>
      <c r="C1802" s="1" t="s">
        <v>4607</v>
      </c>
      <c r="D1802" s="1" t="s">
        <v>24</v>
      </c>
      <c r="E1802" s="1">
        <v>85302</v>
      </c>
      <c r="F1802" s="1" t="s">
        <v>5054</v>
      </c>
      <c r="G1802" s="1" t="s">
        <v>4609</v>
      </c>
      <c r="H1802" s="4" t="s">
        <v>27</v>
      </c>
    </row>
    <row r="1803" spans="1:23">
      <c r="A1803" s="23">
        <v>46049</v>
      </c>
      <c r="B1803" s="1" t="s">
        <v>5055</v>
      </c>
      <c r="C1803" s="1" t="s">
        <v>747</v>
      </c>
      <c r="D1803" s="1" t="s">
        <v>698</v>
      </c>
      <c r="E1803" s="1">
        <v>85375</v>
      </c>
      <c r="F1803" s="1" t="s">
        <v>5056</v>
      </c>
      <c r="G1803" s="1" t="s">
        <v>4609</v>
      </c>
      <c r="H1803" s="4" t="s">
        <v>5057</v>
      </c>
      <c r="I1803" s="5" t="s">
        <v>46</v>
      </c>
      <c r="J1803" s="5" t="s">
        <v>38</v>
      </c>
      <c r="K1803" s="5" t="s">
        <v>37</v>
      </c>
      <c r="L1803" s="5" t="s">
        <v>38</v>
      </c>
      <c r="M1803" s="5" t="s">
        <v>37</v>
      </c>
      <c r="N1803" s="5" t="s">
        <v>37</v>
      </c>
      <c r="O1803" s="5" t="s">
        <v>38</v>
      </c>
      <c r="P1803" s="5" t="s">
        <v>39</v>
      </c>
      <c r="Q1803" s="2">
        <v>46058</v>
      </c>
    </row>
    <row r="1804" spans="1:23">
      <c r="A1804" s="61">
        <v>46049</v>
      </c>
      <c r="B1804" s="35" t="s">
        <v>5058</v>
      </c>
      <c r="C1804" s="35" t="s">
        <v>131</v>
      </c>
      <c r="D1804" s="35" t="s">
        <v>85</v>
      </c>
      <c r="E1804" s="35">
        <v>86323</v>
      </c>
      <c r="F1804" s="35" t="s">
        <v>5059</v>
      </c>
      <c r="G1804" s="35" t="s">
        <v>4609</v>
      </c>
      <c r="H1804" s="22" t="s">
        <v>5060</v>
      </c>
      <c r="I1804" s="19" t="s">
        <v>73</v>
      </c>
      <c r="J1804" s="19" t="s">
        <v>38</v>
      </c>
      <c r="K1804" s="19" t="s">
        <v>37</v>
      </c>
      <c r="L1804" s="19" t="s">
        <v>38</v>
      </c>
      <c r="M1804" s="19" t="s">
        <v>37</v>
      </c>
      <c r="N1804" s="19" t="s">
        <v>37</v>
      </c>
      <c r="O1804" s="19" t="s">
        <v>38</v>
      </c>
      <c r="P1804" s="19" t="s">
        <v>39</v>
      </c>
      <c r="Q1804" s="34">
        <v>46058</v>
      </c>
      <c r="R1804" s="35"/>
      <c r="S1804" s="35"/>
      <c r="T1804" s="35"/>
      <c r="U1804" s="35"/>
      <c r="V1804" s="35"/>
      <c r="W1804" s="35"/>
    </row>
    <row r="1805" spans="1:23">
      <c r="A1805" s="23">
        <v>46049</v>
      </c>
      <c r="B1805" s="1" t="s">
        <v>5061</v>
      </c>
      <c r="C1805" s="1" t="s">
        <v>597</v>
      </c>
      <c r="D1805" s="1" t="s">
        <v>370</v>
      </c>
      <c r="E1805" s="1">
        <v>85225</v>
      </c>
      <c r="F1805" s="1" t="s">
        <v>5062</v>
      </c>
      <c r="G1805" s="1" t="s">
        <v>4609</v>
      </c>
      <c r="H1805" s="4" t="s">
        <v>27</v>
      </c>
    </row>
    <row r="1806" spans="1:23">
      <c r="A1806" s="23">
        <v>46049</v>
      </c>
      <c r="B1806" s="1" t="s">
        <v>5063</v>
      </c>
      <c r="C1806" s="1" t="s">
        <v>177</v>
      </c>
      <c r="D1806" s="1" t="s">
        <v>24</v>
      </c>
      <c r="E1806" s="1">
        <v>85308</v>
      </c>
      <c r="F1806" s="1" t="s">
        <v>5064</v>
      </c>
      <c r="G1806" s="1" t="s">
        <v>4609</v>
      </c>
      <c r="H1806" s="4" t="s">
        <v>27</v>
      </c>
    </row>
    <row r="1807" spans="1:23">
      <c r="A1807" s="23">
        <v>46049</v>
      </c>
      <c r="B1807" s="1" t="s">
        <v>5065</v>
      </c>
      <c r="C1807" s="1" t="s">
        <v>5066</v>
      </c>
      <c r="D1807" s="1" t="s">
        <v>202</v>
      </c>
      <c r="E1807" s="1">
        <v>85383</v>
      </c>
      <c r="F1807" s="1" t="s">
        <v>5067</v>
      </c>
      <c r="G1807" s="1" t="s">
        <v>4609</v>
      </c>
      <c r="H1807" s="4" t="s">
        <v>27</v>
      </c>
    </row>
    <row r="1808" spans="1:23">
      <c r="A1808" s="23">
        <v>46049</v>
      </c>
      <c r="B1808" s="1" t="s">
        <v>4617</v>
      </c>
      <c r="C1808" s="1" t="s">
        <v>5068</v>
      </c>
      <c r="D1808" s="1" t="s">
        <v>4164</v>
      </c>
      <c r="E1808" s="1">
        <v>85043</v>
      </c>
      <c r="F1808" s="1" t="s">
        <v>5069</v>
      </c>
      <c r="G1808" s="1" t="s">
        <v>4609</v>
      </c>
      <c r="H1808" s="4" t="s">
        <v>27</v>
      </c>
    </row>
    <row r="1809" spans="1:23">
      <c r="A1809" s="23">
        <v>46049</v>
      </c>
      <c r="B1809" s="1" t="s">
        <v>5070</v>
      </c>
      <c r="C1809" s="1" t="s">
        <v>3069</v>
      </c>
      <c r="D1809" s="1" t="s">
        <v>24</v>
      </c>
      <c r="E1809" s="1">
        <v>85306</v>
      </c>
      <c r="F1809" s="1" t="s">
        <v>5071</v>
      </c>
      <c r="G1809" s="1" t="s">
        <v>4609</v>
      </c>
      <c r="H1809" s="4" t="s">
        <v>27</v>
      </c>
    </row>
    <row r="1810" spans="1:23">
      <c r="A1810" s="23">
        <v>46049</v>
      </c>
      <c r="B1810" s="1" t="s">
        <v>5072</v>
      </c>
      <c r="C1810" s="1" t="s">
        <v>225</v>
      </c>
      <c r="D1810" s="1" t="s">
        <v>129</v>
      </c>
      <c r="E1810" s="1">
        <v>85233</v>
      </c>
      <c r="F1810" s="1" t="s">
        <v>5073</v>
      </c>
      <c r="G1810" s="1" t="s">
        <v>4609</v>
      </c>
      <c r="H1810" s="4" t="s">
        <v>5074</v>
      </c>
      <c r="I1810" s="5" t="s">
        <v>541</v>
      </c>
      <c r="J1810" s="5" t="s">
        <v>37</v>
      </c>
      <c r="K1810" s="5" t="s">
        <v>37</v>
      </c>
      <c r="L1810" s="5" t="s">
        <v>4079</v>
      </c>
      <c r="M1810" s="5" t="s">
        <v>37</v>
      </c>
      <c r="N1810" s="5" t="s">
        <v>37</v>
      </c>
      <c r="O1810" s="5" t="s">
        <v>38</v>
      </c>
      <c r="P1810" s="5" t="s">
        <v>39</v>
      </c>
      <c r="Q1810" s="2">
        <v>46058</v>
      </c>
    </row>
    <row r="1811" spans="1:23">
      <c r="A1811" s="23">
        <v>46049</v>
      </c>
      <c r="B1811" s="1" t="s">
        <v>5075</v>
      </c>
      <c r="C1811" s="1" t="s">
        <v>5076</v>
      </c>
      <c r="D1811" s="1" t="s">
        <v>2105</v>
      </c>
      <c r="E1811" s="1">
        <v>85128</v>
      </c>
      <c r="F1811" s="1" t="s">
        <v>5077</v>
      </c>
      <c r="G1811" s="1" t="s">
        <v>4609</v>
      </c>
      <c r="H1811" s="4" t="s">
        <v>5078</v>
      </c>
      <c r="I1811" s="5" t="s">
        <v>46</v>
      </c>
      <c r="J1811" s="5" t="s">
        <v>37</v>
      </c>
      <c r="K1811" s="5" t="s">
        <v>37</v>
      </c>
      <c r="L1811" s="5" t="s">
        <v>38</v>
      </c>
      <c r="M1811" s="5" t="s">
        <v>37</v>
      </c>
      <c r="N1811" s="5" t="s">
        <v>37</v>
      </c>
      <c r="O1811" s="5" t="s">
        <v>38</v>
      </c>
      <c r="P1811" s="5" t="s">
        <v>39</v>
      </c>
      <c r="Q1811" s="2">
        <v>46058</v>
      </c>
    </row>
    <row r="1812" spans="1:23">
      <c r="A1812" s="23">
        <v>46049</v>
      </c>
      <c r="B1812" s="1" t="s">
        <v>4920</v>
      </c>
      <c r="C1812" s="1" t="s">
        <v>4013</v>
      </c>
      <c r="D1812" s="1" t="s">
        <v>619</v>
      </c>
      <c r="E1812" s="1">
        <v>85364</v>
      </c>
      <c r="F1812" s="1" t="s">
        <v>5079</v>
      </c>
      <c r="G1812" s="1" t="s">
        <v>4609</v>
      </c>
      <c r="H1812" s="4" t="s">
        <v>5080</v>
      </c>
      <c r="I1812" s="5" t="s">
        <v>541</v>
      </c>
      <c r="J1812" s="5" t="s">
        <v>37</v>
      </c>
      <c r="K1812" s="5" t="s">
        <v>37</v>
      </c>
      <c r="L1812" s="5" t="s">
        <v>4079</v>
      </c>
      <c r="M1812" s="5" t="s">
        <v>37</v>
      </c>
      <c r="N1812" s="5" t="s">
        <v>37</v>
      </c>
      <c r="O1812" s="5" t="s">
        <v>38</v>
      </c>
      <c r="P1812" s="5" t="s">
        <v>39</v>
      </c>
      <c r="Q1812" s="2">
        <v>46058</v>
      </c>
    </row>
    <row r="1813" spans="1:23">
      <c r="A1813" s="23">
        <v>46049</v>
      </c>
      <c r="B1813" s="1" t="s">
        <v>5081</v>
      </c>
      <c r="C1813" s="1" t="s">
        <v>5082</v>
      </c>
      <c r="D1813" s="1" t="s">
        <v>63</v>
      </c>
      <c r="E1813" s="1">
        <v>85015</v>
      </c>
      <c r="F1813" s="1" t="s">
        <v>5083</v>
      </c>
      <c r="G1813" s="1" t="s">
        <v>4609</v>
      </c>
      <c r="H1813" s="4" t="s">
        <v>27</v>
      </c>
    </row>
    <row r="1814" spans="1:23">
      <c r="A1814" s="23">
        <v>46048</v>
      </c>
      <c r="B1814" s="1" t="s">
        <v>5084</v>
      </c>
      <c r="C1814" s="1" t="s">
        <v>5085</v>
      </c>
      <c r="D1814" s="1" t="s">
        <v>412</v>
      </c>
      <c r="E1814" s="1">
        <v>85123</v>
      </c>
      <c r="F1814" s="1" t="s">
        <v>5086</v>
      </c>
      <c r="G1814" s="1" t="s">
        <v>4609</v>
      </c>
      <c r="H1814" s="4" t="s">
        <v>5087</v>
      </c>
      <c r="I1814" s="5" t="s">
        <v>36</v>
      </c>
      <c r="J1814" s="5" t="s">
        <v>37</v>
      </c>
      <c r="K1814" s="5" t="s">
        <v>37</v>
      </c>
      <c r="L1814" s="5" t="s">
        <v>38</v>
      </c>
      <c r="M1814" s="5" t="s">
        <v>37</v>
      </c>
      <c r="N1814" s="5" t="s">
        <v>37</v>
      </c>
      <c r="O1814" s="5" t="s">
        <v>38</v>
      </c>
      <c r="P1814" s="5" t="s">
        <v>39</v>
      </c>
      <c r="Q1814" s="2">
        <v>46058</v>
      </c>
    </row>
    <row r="1815" spans="1:23">
      <c r="A1815" s="23">
        <v>46055</v>
      </c>
      <c r="B1815" s="1" t="s">
        <v>3233</v>
      </c>
      <c r="C1815" s="1" t="s">
        <v>611</v>
      </c>
      <c r="D1815" s="1" t="s">
        <v>63</v>
      </c>
      <c r="E1815" s="1">
        <v>85022</v>
      </c>
      <c r="F1815" s="1" t="s">
        <v>5088</v>
      </c>
      <c r="G1815" s="40" t="s">
        <v>5089</v>
      </c>
      <c r="H1815" s="4" t="s">
        <v>3235</v>
      </c>
      <c r="I1815" s="5" t="s">
        <v>36</v>
      </c>
      <c r="J1815" s="5" t="s">
        <v>37</v>
      </c>
      <c r="K1815" s="5" t="s">
        <v>37</v>
      </c>
      <c r="L1815" s="5" t="s">
        <v>38</v>
      </c>
      <c r="M1815" s="5" t="s">
        <v>37</v>
      </c>
      <c r="N1815" s="5" t="s">
        <v>37</v>
      </c>
      <c r="O1815" s="5" t="s">
        <v>38</v>
      </c>
      <c r="P1815" s="5" t="s">
        <v>39</v>
      </c>
      <c r="Q1815" s="2">
        <v>46058</v>
      </c>
    </row>
    <row r="1816" spans="1:23">
      <c r="A1816" s="23">
        <v>46055</v>
      </c>
      <c r="B1816" s="1" t="s">
        <v>4579</v>
      </c>
      <c r="C1816" s="1" t="s">
        <v>4580</v>
      </c>
      <c r="D1816" s="1" t="s">
        <v>261</v>
      </c>
      <c r="E1816" s="1">
        <v>86314</v>
      </c>
      <c r="F1816" s="1" t="s">
        <v>5090</v>
      </c>
      <c r="G1816" s="1" t="s">
        <v>5089</v>
      </c>
      <c r="H1816" s="4" t="s">
        <v>4582</v>
      </c>
      <c r="I1816" s="5" t="s">
        <v>46</v>
      </c>
      <c r="J1816" s="5" t="s">
        <v>37</v>
      </c>
      <c r="K1816" s="5" t="s">
        <v>37</v>
      </c>
      <c r="L1816" s="5" t="s">
        <v>38</v>
      </c>
      <c r="M1816" s="5" t="s">
        <v>37</v>
      </c>
      <c r="N1816" s="5" t="s">
        <v>37</v>
      </c>
      <c r="O1816" s="5" t="s">
        <v>38</v>
      </c>
      <c r="P1816" s="5" t="s">
        <v>39</v>
      </c>
      <c r="Q1816" s="2">
        <v>46058</v>
      </c>
    </row>
    <row r="1817" spans="1:23">
      <c r="A1817" s="23">
        <v>46055</v>
      </c>
      <c r="B1817" s="1" t="s">
        <v>4575</v>
      </c>
      <c r="C1817" s="1" t="s">
        <v>1953</v>
      </c>
      <c r="D1817" s="1" t="s">
        <v>93</v>
      </c>
      <c r="E1817" s="1">
        <v>85351</v>
      </c>
      <c r="F1817" s="1" t="s">
        <v>5091</v>
      </c>
      <c r="G1817" s="1" t="s">
        <v>5089</v>
      </c>
      <c r="H1817" s="5">
        <v>2196530000</v>
      </c>
      <c r="I1817" s="5" t="s">
        <v>36</v>
      </c>
      <c r="J1817" s="5" t="s">
        <v>37</v>
      </c>
      <c r="K1817" s="5" t="s">
        <v>37</v>
      </c>
      <c r="L1817" s="5" t="s">
        <v>38</v>
      </c>
      <c r="M1817" s="5" t="s">
        <v>37</v>
      </c>
      <c r="N1817" s="5" t="s">
        <v>37</v>
      </c>
      <c r="O1817" s="5" t="s">
        <v>38</v>
      </c>
      <c r="P1817" s="5" t="s">
        <v>39</v>
      </c>
      <c r="Q1817" s="2">
        <v>46058</v>
      </c>
    </row>
    <row r="1818" spans="1:23">
      <c r="A1818" s="23">
        <v>46055</v>
      </c>
      <c r="B1818" s="1" t="s">
        <v>208</v>
      </c>
      <c r="C1818" s="1" t="s">
        <v>1824</v>
      </c>
      <c r="D1818" s="1" t="s">
        <v>63</v>
      </c>
      <c r="E1818" s="1">
        <v>85023</v>
      </c>
      <c r="F1818" s="1" t="s">
        <v>5092</v>
      </c>
      <c r="G1818" s="1" t="s">
        <v>5089</v>
      </c>
      <c r="H1818" s="4" t="s">
        <v>5093</v>
      </c>
      <c r="I1818" s="5" t="s">
        <v>36</v>
      </c>
      <c r="J1818" s="5" t="s">
        <v>37</v>
      </c>
      <c r="K1818" s="5" t="s">
        <v>37</v>
      </c>
      <c r="L1818" s="5" t="s">
        <v>38</v>
      </c>
      <c r="M1818" s="5" t="s">
        <v>37</v>
      </c>
      <c r="N1818" s="5" t="s">
        <v>37</v>
      </c>
      <c r="O1818" s="5" t="s">
        <v>38</v>
      </c>
      <c r="P1818" s="5" t="s">
        <v>39</v>
      </c>
      <c r="Q1818" s="2">
        <v>46058</v>
      </c>
    </row>
    <row r="1819" spans="1:23">
      <c r="A1819" s="59">
        <v>46055</v>
      </c>
      <c r="B1819" s="33" t="s">
        <v>5094</v>
      </c>
      <c r="C1819" s="33" t="s">
        <v>5095</v>
      </c>
      <c r="D1819" s="33" t="s">
        <v>619</v>
      </c>
      <c r="E1819" s="33">
        <v>85364</v>
      </c>
      <c r="F1819" s="33" t="s">
        <v>5096</v>
      </c>
      <c r="G1819" s="33" t="s">
        <v>5089</v>
      </c>
      <c r="H1819" s="45" t="s">
        <v>5097</v>
      </c>
      <c r="I1819" s="43" t="s">
        <v>196</v>
      </c>
      <c r="J1819" s="43" t="s">
        <v>38</v>
      </c>
      <c r="K1819" s="43" t="s">
        <v>37</v>
      </c>
      <c r="L1819" s="43" t="s">
        <v>5098</v>
      </c>
      <c r="M1819" s="43" t="s">
        <v>38</v>
      </c>
      <c r="N1819" s="48">
        <v>163.08000000000001</v>
      </c>
      <c r="O1819" s="43" t="s">
        <v>38</v>
      </c>
      <c r="P1819" s="43"/>
      <c r="Q1819" s="42">
        <v>46058</v>
      </c>
      <c r="R1819" s="33" t="s">
        <v>5099</v>
      </c>
      <c r="S1819" s="33"/>
      <c r="T1819" s="33"/>
      <c r="U1819" s="33"/>
      <c r="V1819" s="33"/>
      <c r="W1819" s="33"/>
    </row>
    <row r="1820" spans="1:23">
      <c r="A1820" s="23">
        <v>46055</v>
      </c>
      <c r="B1820" s="1" t="s">
        <v>2738</v>
      </c>
      <c r="C1820" s="1" t="s">
        <v>199</v>
      </c>
      <c r="D1820" s="1" t="s">
        <v>504</v>
      </c>
      <c r="E1820" s="1">
        <v>86001</v>
      </c>
      <c r="F1820" s="1" t="s">
        <v>5100</v>
      </c>
      <c r="G1820" s="1" t="s">
        <v>5089</v>
      </c>
      <c r="H1820" s="4" t="s">
        <v>90</v>
      </c>
    </row>
    <row r="1821" spans="1:23">
      <c r="A1821" s="23">
        <v>46055</v>
      </c>
      <c r="B1821" s="1" t="s">
        <v>5101</v>
      </c>
      <c r="C1821" s="1" t="s">
        <v>543</v>
      </c>
      <c r="D1821" s="1" t="s">
        <v>504</v>
      </c>
      <c r="E1821" s="1">
        <v>86001</v>
      </c>
      <c r="F1821" s="1" t="s">
        <v>5102</v>
      </c>
      <c r="G1821" s="1" t="s">
        <v>5089</v>
      </c>
      <c r="H1821" s="4" t="s">
        <v>5103</v>
      </c>
      <c r="I1821" s="5" t="s">
        <v>196</v>
      </c>
      <c r="J1821" s="5" t="s">
        <v>37</v>
      </c>
      <c r="K1821" s="5" t="s">
        <v>37</v>
      </c>
      <c r="L1821" s="5" t="s">
        <v>38</v>
      </c>
      <c r="M1821" s="5" t="s">
        <v>37</v>
      </c>
      <c r="N1821" s="5" t="s">
        <v>37</v>
      </c>
      <c r="O1821" s="5" t="s">
        <v>38</v>
      </c>
      <c r="P1821" s="5" t="s">
        <v>39</v>
      </c>
      <c r="Q1821" s="2">
        <v>46058</v>
      </c>
    </row>
    <row r="1822" spans="1:23">
      <c r="A1822" s="23">
        <v>46055</v>
      </c>
      <c r="B1822" s="1" t="s">
        <v>467</v>
      </c>
      <c r="C1822" s="1" t="s">
        <v>256</v>
      </c>
      <c r="D1822" s="1" t="s">
        <v>202</v>
      </c>
      <c r="E1822" s="1">
        <v>85345</v>
      </c>
      <c r="F1822" s="1" t="s">
        <v>5104</v>
      </c>
      <c r="G1822" s="1" t="s">
        <v>5089</v>
      </c>
      <c r="H1822" s="4" t="s">
        <v>27</v>
      </c>
    </row>
    <row r="1823" spans="1:23">
      <c r="A1823" s="23">
        <v>46055</v>
      </c>
      <c r="B1823" s="1" t="s">
        <v>467</v>
      </c>
      <c r="C1823" s="1" t="s">
        <v>768</v>
      </c>
      <c r="D1823" s="1" t="s">
        <v>202</v>
      </c>
      <c r="E1823" s="1">
        <v>85345</v>
      </c>
      <c r="F1823" s="1" t="s">
        <v>5105</v>
      </c>
      <c r="G1823" s="1" t="s">
        <v>5089</v>
      </c>
      <c r="H1823" s="4" t="s">
        <v>27</v>
      </c>
    </row>
    <row r="1824" spans="1:23">
      <c r="A1824" s="23">
        <v>46055</v>
      </c>
      <c r="B1824" s="1" t="s">
        <v>5106</v>
      </c>
      <c r="C1824" s="1" t="s">
        <v>597</v>
      </c>
      <c r="D1824" s="1" t="s">
        <v>63</v>
      </c>
      <c r="E1824" s="1">
        <v>85020</v>
      </c>
      <c r="F1824" s="1" t="s">
        <v>5107</v>
      </c>
      <c r="G1824" s="1" t="s">
        <v>5089</v>
      </c>
      <c r="H1824" s="4" t="s">
        <v>27</v>
      </c>
    </row>
    <row r="1825" spans="1:23">
      <c r="A1825" s="23">
        <v>46055</v>
      </c>
      <c r="B1825" s="1" t="s">
        <v>5108</v>
      </c>
      <c r="C1825" s="1" t="s">
        <v>307</v>
      </c>
      <c r="D1825" s="1" t="s">
        <v>63</v>
      </c>
      <c r="E1825" s="1">
        <v>85029</v>
      </c>
      <c r="F1825" s="1" t="s">
        <v>5109</v>
      </c>
      <c r="G1825" s="1" t="s">
        <v>5089</v>
      </c>
      <c r="H1825" s="4" t="s">
        <v>27</v>
      </c>
    </row>
    <row r="1826" spans="1:23">
      <c r="A1826" s="23">
        <v>46055</v>
      </c>
      <c r="B1826" s="1" t="s">
        <v>2307</v>
      </c>
      <c r="C1826" s="1" t="s">
        <v>1815</v>
      </c>
      <c r="D1826" s="1" t="s">
        <v>63</v>
      </c>
      <c r="E1826" s="1">
        <v>85009</v>
      </c>
      <c r="F1826" s="1" t="s">
        <v>5110</v>
      </c>
      <c r="G1826" s="1" t="s">
        <v>5089</v>
      </c>
      <c r="H1826" s="4" t="s">
        <v>5111</v>
      </c>
      <c r="I1826" s="5" t="s">
        <v>73</v>
      </c>
      <c r="J1826" s="5" t="s">
        <v>38</v>
      </c>
      <c r="K1826" s="5" t="s">
        <v>37</v>
      </c>
      <c r="L1826" s="5" t="s">
        <v>38</v>
      </c>
      <c r="M1826" s="5" t="s">
        <v>37</v>
      </c>
      <c r="N1826" s="5" t="s">
        <v>37</v>
      </c>
      <c r="O1826" s="5" t="s">
        <v>38</v>
      </c>
      <c r="P1826" s="5" t="s">
        <v>39</v>
      </c>
      <c r="Q1826" s="2">
        <v>46058</v>
      </c>
    </row>
    <row r="1827" spans="1:23">
      <c r="A1827" s="23">
        <v>46055</v>
      </c>
      <c r="B1827" s="1" t="s">
        <v>5112</v>
      </c>
      <c r="C1827" s="1" t="s">
        <v>5113</v>
      </c>
      <c r="D1827" s="1" t="s">
        <v>63</v>
      </c>
      <c r="E1827" s="1">
        <v>85023</v>
      </c>
      <c r="F1827" s="1" t="s">
        <v>5114</v>
      </c>
      <c r="G1827" s="1" t="s">
        <v>5089</v>
      </c>
      <c r="H1827" s="4" t="s">
        <v>27</v>
      </c>
    </row>
    <row r="1828" spans="1:23">
      <c r="A1828" s="23">
        <v>46055</v>
      </c>
      <c r="B1828" s="1" t="s">
        <v>5115</v>
      </c>
      <c r="C1828" s="1" t="s">
        <v>3554</v>
      </c>
      <c r="D1828" s="1" t="s">
        <v>85</v>
      </c>
      <c r="E1828" s="1">
        <v>86323</v>
      </c>
      <c r="F1828" s="1" t="s">
        <v>5116</v>
      </c>
      <c r="G1828" s="1" t="s">
        <v>5089</v>
      </c>
      <c r="H1828" s="4" t="s">
        <v>5117</v>
      </c>
      <c r="I1828" s="5" t="s">
        <v>73</v>
      </c>
      <c r="J1828" s="5" t="s">
        <v>37</v>
      </c>
      <c r="K1828" s="5" t="s">
        <v>37</v>
      </c>
      <c r="L1828" s="5" t="s">
        <v>38</v>
      </c>
      <c r="M1828" s="5" t="s">
        <v>37</v>
      </c>
      <c r="N1828" s="5" t="s">
        <v>37</v>
      </c>
      <c r="O1828" s="5" t="s">
        <v>38</v>
      </c>
      <c r="P1828" s="5" t="s">
        <v>39</v>
      </c>
      <c r="Q1828" s="2">
        <v>46058</v>
      </c>
    </row>
    <row r="1829" spans="1:23">
      <c r="A1829" s="23">
        <v>46055</v>
      </c>
      <c r="B1829" s="1" t="s">
        <v>5118</v>
      </c>
      <c r="C1829" s="1" t="s">
        <v>320</v>
      </c>
      <c r="D1829" s="1" t="s">
        <v>504</v>
      </c>
      <c r="E1829" s="1">
        <v>86001</v>
      </c>
      <c r="F1829" s="1" t="s">
        <v>5119</v>
      </c>
      <c r="G1829" s="1" t="s">
        <v>5089</v>
      </c>
      <c r="H1829" s="4" t="s">
        <v>5120</v>
      </c>
      <c r="I1829" s="5" t="s">
        <v>73</v>
      </c>
      <c r="J1829" s="5" t="s">
        <v>37</v>
      </c>
      <c r="K1829" s="5" t="s">
        <v>37</v>
      </c>
      <c r="L1829" s="5" t="s">
        <v>38</v>
      </c>
      <c r="M1829" s="5" t="s">
        <v>37</v>
      </c>
      <c r="N1829" s="5" t="s">
        <v>37</v>
      </c>
      <c r="O1829" s="5" t="s">
        <v>38</v>
      </c>
      <c r="P1829" s="5" t="s">
        <v>39</v>
      </c>
      <c r="Q1829" s="2">
        <v>46058</v>
      </c>
    </row>
    <row r="1830" spans="1:23">
      <c r="A1830" s="23">
        <v>46055</v>
      </c>
      <c r="B1830" s="1" t="s">
        <v>5121</v>
      </c>
      <c r="C1830" s="1" t="s">
        <v>5122</v>
      </c>
      <c r="D1830" s="1" t="s">
        <v>125</v>
      </c>
      <c r="E1830" s="1">
        <v>85258</v>
      </c>
      <c r="F1830" s="1" t="s">
        <v>5123</v>
      </c>
      <c r="G1830" s="1" t="s">
        <v>5089</v>
      </c>
      <c r="H1830" s="4" t="s">
        <v>5124</v>
      </c>
      <c r="I1830" s="5" t="s">
        <v>196</v>
      </c>
      <c r="J1830" s="5" t="s">
        <v>37</v>
      </c>
      <c r="K1830" s="5" t="s">
        <v>37</v>
      </c>
      <c r="L1830" s="5" t="s">
        <v>38</v>
      </c>
      <c r="M1830" s="5" t="s">
        <v>37</v>
      </c>
      <c r="N1830" s="5" t="s">
        <v>37</v>
      </c>
      <c r="O1830" s="5" t="s">
        <v>38</v>
      </c>
      <c r="P1830" s="5" t="s">
        <v>39</v>
      </c>
      <c r="Q1830" s="2">
        <v>46058</v>
      </c>
    </row>
    <row r="1831" spans="1:23">
      <c r="A1831" s="23">
        <v>46055</v>
      </c>
      <c r="B1831" s="1" t="s">
        <v>4604</v>
      </c>
      <c r="C1831" s="1" t="s">
        <v>2135</v>
      </c>
      <c r="D1831" s="1" t="s">
        <v>698</v>
      </c>
      <c r="E1831" s="1">
        <v>85375</v>
      </c>
      <c r="F1831" s="1" t="s">
        <v>5125</v>
      </c>
      <c r="G1831" s="1" t="s">
        <v>5089</v>
      </c>
      <c r="H1831" s="4" t="s">
        <v>4606</v>
      </c>
      <c r="I1831" s="5" t="s">
        <v>46</v>
      </c>
      <c r="J1831" s="5" t="s">
        <v>37</v>
      </c>
      <c r="K1831" s="5" t="s">
        <v>37</v>
      </c>
      <c r="L1831" s="5" t="s">
        <v>38</v>
      </c>
      <c r="M1831" s="5" t="s">
        <v>38</v>
      </c>
      <c r="N1831" s="13">
        <v>72.2</v>
      </c>
      <c r="O1831" s="5" t="s">
        <v>38</v>
      </c>
      <c r="P1831" s="5" t="s">
        <v>39</v>
      </c>
      <c r="Q1831" s="2">
        <v>46058</v>
      </c>
    </row>
    <row r="1832" spans="1:23">
      <c r="A1832" s="23">
        <v>46055</v>
      </c>
      <c r="B1832" s="1" t="s">
        <v>3062</v>
      </c>
      <c r="C1832" s="1" t="s">
        <v>227</v>
      </c>
      <c r="D1832" s="1" t="s">
        <v>737</v>
      </c>
      <c r="E1832" s="1">
        <v>86326</v>
      </c>
      <c r="F1832" s="1" t="s">
        <v>5126</v>
      </c>
      <c r="G1832" s="1" t="s">
        <v>5089</v>
      </c>
      <c r="H1832" s="4" t="s">
        <v>5127</v>
      </c>
      <c r="I1832" s="5" t="s">
        <v>46</v>
      </c>
      <c r="J1832" s="5" t="s">
        <v>37</v>
      </c>
      <c r="K1832" s="5" t="s">
        <v>37</v>
      </c>
      <c r="L1832" s="5" t="s">
        <v>38</v>
      </c>
      <c r="M1832" s="5" t="s">
        <v>37</v>
      </c>
      <c r="N1832" s="5" t="s">
        <v>37</v>
      </c>
      <c r="O1832" s="5" t="s">
        <v>38</v>
      </c>
      <c r="P1832" s="5" t="s">
        <v>39</v>
      </c>
      <c r="Q1832" s="2">
        <v>46058</v>
      </c>
    </row>
    <row r="1833" spans="1:23">
      <c r="A1833" s="23">
        <v>46055</v>
      </c>
      <c r="B1833" s="1" t="s">
        <v>5128</v>
      </c>
      <c r="C1833" s="1" t="s">
        <v>5129</v>
      </c>
      <c r="D1833" s="1" t="s">
        <v>1302</v>
      </c>
      <c r="E1833" s="1">
        <v>85390</v>
      </c>
      <c r="F1833" s="1" t="s">
        <v>5130</v>
      </c>
      <c r="G1833" s="40" t="s">
        <v>5131</v>
      </c>
      <c r="H1833" s="4" t="s">
        <v>27</v>
      </c>
    </row>
    <row r="1834" spans="1:23">
      <c r="A1834" s="23">
        <v>46055</v>
      </c>
      <c r="B1834" s="1" t="s">
        <v>5132</v>
      </c>
      <c r="C1834" s="1" t="s">
        <v>2817</v>
      </c>
      <c r="D1834" s="1" t="s">
        <v>1204</v>
      </c>
      <c r="E1834" s="1">
        <v>85355</v>
      </c>
      <c r="F1834" s="1" t="s">
        <v>5133</v>
      </c>
      <c r="G1834" s="1" t="s">
        <v>5131</v>
      </c>
      <c r="H1834" s="4" t="s">
        <v>5134</v>
      </c>
      <c r="I1834" s="5" t="s">
        <v>36</v>
      </c>
      <c r="J1834" s="5" t="s">
        <v>37</v>
      </c>
      <c r="K1834" s="5" t="s">
        <v>37</v>
      </c>
      <c r="L1834" s="5" t="s">
        <v>38</v>
      </c>
      <c r="M1834" s="5" t="s">
        <v>37</v>
      </c>
      <c r="N1834" s="5" t="s">
        <v>37</v>
      </c>
      <c r="O1834" s="5" t="s">
        <v>38</v>
      </c>
      <c r="P1834" s="5" t="s">
        <v>39</v>
      </c>
      <c r="Q1834" s="2">
        <v>46058</v>
      </c>
    </row>
    <row r="1835" spans="1:23">
      <c r="A1835" s="59">
        <v>46055</v>
      </c>
      <c r="B1835" s="33" t="s">
        <v>5135</v>
      </c>
      <c r="C1835" s="33" t="s">
        <v>4116</v>
      </c>
      <c r="D1835" s="33" t="s">
        <v>412</v>
      </c>
      <c r="E1835" s="33">
        <v>85123</v>
      </c>
      <c r="F1835" s="33" t="s">
        <v>5136</v>
      </c>
      <c r="G1835" s="33" t="s">
        <v>5131</v>
      </c>
      <c r="H1835" s="45" t="s">
        <v>5137</v>
      </c>
      <c r="I1835" s="43" t="s">
        <v>57</v>
      </c>
      <c r="J1835" s="43" t="s">
        <v>37</v>
      </c>
      <c r="K1835" s="43" t="s">
        <v>37</v>
      </c>
      <c r="L1835" s="43" t="s">
        <v>5138</v>
      </c>
      <c r="M1835" s="43" t="s">
        <v>37</v>
      </c>
      <c r="N1835" s="43" t="s">
        <v>37</v>
      </c>
      <c r="O1835" s="43" t="s">
        <v>38</v>
      </c>
      <c r="P1835" s="43"/>
      <c r="Q1835" s="42">
        <v>46058</v>
      </c>
      <c r="R1835" s="33" t="s">
        <v>4004</v>
      </c>
      <c r="S1835" s="33"/>
      <c r="T1835" s="33"/>
      <c r="U1835" s="33"/>
      <c r="V1835" s="33"/>
      <c r="W1835" s="33"/>
    </row>
    <row r="1836" spans="1:23">
      <c r="A1836" s="59">
        <v>46055</v>
      </c>
      <c r="B1836" s="33" t="s">
        <v>227</v>
      </c>
      <c r="C1836" s="33" t="s">
        <v>4583</v>
      </c>
      <c r="D1836" s="33" t="s">
        <v>202</v>
      </c>
      <c r="E1836" s="33">
        <v>85383</v>
      </c>
      <c r="F1836" s="33" t="s">
        <v>5139</v>
      </c>
      <c r="G1836" s="33" t="s">
        <v>5131</v>
      </c>
      <c r="H1836" s="43">
        <v>3381172505</v>
      </c>
      <c r="I1836" s="43" t="s">
        <v>36</v>
      </c>
      <c r="J1836" s="43" t="s">
        <v>38</v>
      </c>
      <c r="K1836" s="43" t="s">
        <v>37</v>
      </c>
      <c r="L1836" s="43" t="s">
        <v>38</v>
      </c>
      <c r="M1836" s="43" t="s">
        <v>37</v>
      </c>
      <c r="N1836" s="43" t="s">
        <v>37</v>
      </c>
      <c r="O1836" s="43" t="s">
        <v>38</v>
      </c>
      <c r="P1836" s="43"/>
      <c r="Q1836" s="42">
        <v>46058</v>
      </c>
      <c r="R1836" s="33" t="s">
        <v>4534</v>
      </c>
      <c r="S1836" s="33"/>
      <c r="T1836" s="33"/>
      <c r="U1836" s="33"/>
      <c r="V1836" s="33"/>
      <c r="W1836" s="33"/>
    </row>
    <row r="1837" spans="1:23">
      <c r="A1837" s="23">
        <v>46055</v>
      </c>
      <c r="B1837" s="1" t="s">
        <v>2714</v>
      </c>
      <c r="C1837" s="1" t="s">
        <v>471</v>
      </c>
      <c r="D1837" s="1" t="s">
        <v>63</v>
      </c>
      <c r="E1837" s="1">
        <v>85020</v>
      </c>
      <c r="F1837" s="1" t="s">
        <v>5140</v>
      </c>
      <c r="G1837" s="1" t="s">
        <v>5131</v>
      </c>
      <c r="H1837" s="4" t="s">
        <v>5141</v>
      </c>
      <c r="I1837" s="5" t="s">
        <v>541</v>
      </c>
      <c r="J1837" s="5" t="s">
        <v>37</v>
      </c>
      <c r="K1837" s="5" t="s">
        <v>37</v>
      </c>
      <c r="L1837" s="5" t="s">
        <v>4079</v>
      </c>
      <c r="M1837" s="5" t="s">
        <v>37</v>
      </c>
      <c r="N1837" s="5" t="s">
        <v>37</v>
      </c>
      <c r="O1837" s="5" t="s">
        <v>38</v>
      </c>
      <c r="P1837" s="5" t="s">
        <v>39</v>
      </c>
      <c r="Q1837" s="2">
        <v>46058</v>
      </c>
    </row>
    <row r="1838" spans="1:23">
      <c r="A1838" s="23">
        <v>46055</v>
      </c>
      <c r="B1838" s="1" t="s">
        <v>5142</v>
      </c>
      <c r="C1838" s="1" t="s">
        <v>5143</v>
      </c>
      <c r="D1838" s="1" t="s">
        <v>125</v>
      </c>
      <c r="E1838" s="1">
        <v>85258</v>
      </c>
      <c r="F1838" s="1" t="s">
        <v>5144</v>
      </c>
      <c r="G1838" s="1" t="s">
        <v>5131</v>
      </c>
      <c r="H1838" s="4" t="s">
        <v>5145</v>
      </c>
      <c r="I1838" s="5" t="s">
        <v>250</v>
      </c>
      <c r="J1838" s="5" t="s">
        <v>37</v>
      </c>
      <c r="K1838" s="5" t="s">
        <v>37</v>
      </c>
      <c r="L1838" s="5" t="s">
        <v>38</v>
      </c>
      <c r="M1838" s="5" t="s">
        <v>37</v>
      </c>
      <c r="N1838" s="5" t="s">
        <v>37</v>
      </c>
      <c r="O1838" s="5" t="s">
        <v>38</v>
      </c>
      <c r="P1838" s="5" t="s">
        <v>39</v>
      </c>
      <c r="Q1838" s="2">
        <v>46058</v>
      </c>
    </row>
    <row r="1839" spans="1:23">
      <c r="A1839" s="23">
        <v>46055</v>
      </c>
      <c r="B1839" s="1" t="s">
        <v>224</v>
      </c>
      <c r="C1839" s="1" t="s">
        <v>225</v>
      </c>
      <c r="D1839" s="1" t="s">
        <v>30</v>
      </c>
      <c r="E1839" s="1" t="s">
        <v>30</v>
      </c>
      <c r="F1839" s="1" t="s">
        <v>5146</v>
      </c>
      <c r="G1839" s="40" t="s">
        <v>5147</v>
      </c>
      <c r="H1839" s="4" t="s">
        <v>27</v>
      </c>
      <c r="R1839" s="1" t="s">
        <v>4239</v>
      </c>
    </row>
    <row r="1840" spans="1:23">
      <c r="A1840" s="23">
        <v>46055</v>
      </c>
      <c r="B1840" s="1" t="s">
        <v>33</v>
      </c>
      <c r="C1840" s="1" t="s">
        <v>1704</v>
      </c>
      <c r="D1840" s="1" t="s">
        <v>24</v>
      </c>
      <c r="E1840" s="1">
        <v>85310</v>
      </c>
      <c r="F1840" s="1" t="s">
        <v>5148</v>
      </c>
      <c r="G1840" s="40" t="s">
        <v>5149</v>
      </c>
      <c r="H1840" s="4" t="s">
        <v>5150</v>
      </c>
      <c r="I1840" s="5" t="s">
        <v>36</v>
      </c>
      <c r="J1840" s="5" t="s">
        <v>37</v>
      </c>
      <c r="K1840" s="5" t="s">
        <v>37</v>
      </c>
      <c r="L1840" s="5" t="s">
        <v>38</v>
      </c>
      <c r="M1840" s="5" t="s">
        <v>37</v>
      </c>
      <c r="N1840" s="5" t="s">
        <v>37</v>
      </c>
      <c r="O1840" s="5" t="s">
        <v>38</v>
      </c>
      <c r="P1840" s="5" t="s">
        <v>39</v>
      </c>
      <c r="Q1840" s="2">
        <v>46058</v>
      </c>
    </row>
    <row r="1841" spans="1:22">
      <c r="A1841" s="58">
        <v>46056</v>
      </c>
      <c r="B1841" s="36" t="s">
        <v>4088</v>
      </c>
      <c r="C1841" s="36" t="s">
        <v>5151</v>
      </c>
      <c r="D1841" s="36" t="s">
        <v>428</v>
      </c>
      <c r="E1841" s="36">
        <v>85335</v>
      </c>
      <c r="F1841" s="36" t="s">
        <v>5152</v>
      </c>
      <c r="G1841" s="36" t="s">
        <v>5153</v>
      </c>
      <c r="H1841" s="68" t="s">
        <v>27</v>
      </c>
      <c r="I1841" s="68"/>
      <c r="J1841" s="68"/>
      <c r="K1841" s="68"/>
      <c r="L1841" s="68"/>
      <c r="M1841" s="68"/>
      <c r="N1841" s="68"/>
      <c r="O1841" s="68"/>
      <c r="P1841" s="68"/>
      <c r="Q1841" s="68"/>
      <c r="R1841" s="36"/>
      <c r="S1841" s="36"/>
      <c r="T1841" s="36"/>
      <c r="U1841" s="36"/>
      <c r="V1841" s="36"/>
    </row>
    <row r="1842" spans="1:22">
      <c r="A1842" s="58">
        <v>46056</v>
      </c>
      <c r="B1842" s="36" t="s">
        <v>5154</v>
      </c>
      <c r="C1842" s="36" t="s">
        <v>597</v>
      </c>
      <c r="D1842" s="36" t="s">
        <v>93</v>
      </c>
      <c r="E1842" s="36">
        <v>85373</v>
      </c>
      <c r="F1842" s="36" t="s">
        <v>5155</v>
      </c>
      <c r="G1842" s="36" t="s">
        <v>5153</v>
      </c>
      <c r="H1842" s="68" t="s">
        <v>27</v>
      </c>
      <c r="I1842" s="68"/>
      <c r="J1842" s="68"/>
      <c r="K1842" s="68"/>
      <c r="L1842" s="68"/>
      <c r="M1842" s="68"/>
      <c r="N1842" s="68"/>
      <c r="O1842" s="68"/>
      <c r="P1842" s="68"/>
      <c r="Q1842" s="68"/>
      <c r="R1842" s="36"/>
      <c r="S1842" s="36"/>
      <c r="T1842" s="36"/>
      <c r="U1842" s="36"/>
      <c r="V1842" s="36"/>
    </row>
    <row r="1843" spans="1:22">
      <c r="A1843" s="58">
        <v>46056</v>
      </c>
      <c r="B1843" s="36" t="s">
        <v>2598</v>
      </c>
      <c r="C1843" s="36" t="s">
        <v>5156</v>
      </c>
      <c r="D1843" s="36" t="s">
        <v>698</v>
      </c>
      <c r="E1843" s="36">
        <v>85375</v>
      </c>
      <c r="F1843" s="36" t="s">
        <v>5157</v>
      </c>
      <c r="G1843" s="36" t="s">
        <v>5158</v>
      </c>
      <c r="H1843" s="68">
        <v>581519571</v>
      </c>
      <c r="I1843" s="68" t="s">
        <v>46</v>
      </c>
      <c r="J1843" s="68" t="s">
        <v>37</v>
      </c>
      <c r="K1843" s="68" t="s">
        <v>37</v>
      </c>
      <c r="L1843" s="68" t="s">
        <v>38</v>
      </c>
      <c r="M1843" s="68" t="s">
        <v>37</v>
      </c>
      <c r="N1843" s="68" t="s">
        <v>37</v>
      </c>
      <c r="O1843" s="68" t="s">
        <v>38</v>
      </c>
      <c r="P1843" s="68" t="s">
        <v>39</v>
      </c>
      <c r="Q1843" s="69">
        <v>46062</v>
      </c>
      <c r="R1843" s="36"/>
      <c r="S1843" s="36"/>
      <c r="T1843" s="36"/>
      <c r="U1843" s="36"/>
      <c r="V1843" s="36"/>
    </row>
    <row r="1844" spans="1:22">
      <c r="A1844" s="70">
        <v>46056</v>
      </c>
      <c r="B1844" s="63" t="s">
        <v>5159</v>
      </c>
      <c r="C1844" s="63" t="s">
        <v>233</v>
      </c>
      <c r="D1844" s="63" t="s">
        <v>63</v>
      </c>
      <c r="E1844" s="63">
        <v>85029</v>
      </c>
      <c r="F1844" s="63" t="s">
        <v>5160</v>
      </c>
      <c r="G1844" s="63" t="s">
        <v>5158</v>
      </c>
      <c r="H1844" s="71">
        <v>4236731000</v>
      </c>
      <c r="I1844" s="71" t="s">
        <v>36</v>
      </c>
      <c r="J1844" s="71" t="s">
        <v>37</v>
      </c>
      <c r="K1844" s="71" t="s">
        <v>37</v>
      </c>
      <c r="L1844" s="71" t="s">
        <v>38</v>
      </c>
      <c r="M1844" s="71" t="s">
        <v>38</v>
      </c>
      <c r="N1844" s="72">
        <v>450.33</v>
      </c>
      <c r="O1844" s="71" t="s">
        <v>38</v>
      </c>
      <c r="P1844" s="71"/>
      <c r="Q1844" s="73">
        <v>44966</v>
      </c>
      <c r="R1844" s="63" t="s">
        <v>4534</v>
      </c>
      <c r="S1844" s="63"/>
      <c r="T1844" s="63"/>
      <c r="U1844" s="63"/>
      <c r="V1844" s="63"/>
    </row>
    <row r="1845" spans="1:22">
      <c r="A1845" s="58">
        <v>46056</v>
      </c>
      <c r="B1845" s="36" t="s">
        <v>5161</v>
      </c>
      <c r="C1845" s="36" t="s">
        <v>1050</v>
      </c>
      <c r="D1845" s="36" t="s">
        <v>174</v>
      </c>
      <c r="E1845" s="36">
        <v>85396</v>
      </c>
      <c r="F1845" s="36" t="s">
        <v>5162</v>
      </c>
      <c r="G1845" s="36" t="s">
        <v>5158</v>
      </c>
      <c r="H1845" s="68">
        <v>5577998699</v>
      </c>
      <c r="I1845" s="68" t="s">
        <v>126</v>
      </c>
      <c r="J1845" s="68" t="s">
        <v>37</v>
      </c>
      <c r="K1845" s="68" t="s">
        <v>37</v>
      </c>
      <c r="L1845" s="68" t="s">
        <v>38</v>
      </c>
      <c r="M1845" s="68" t="s">
        <v>37</v>
      </c>
      <c r="N1845" s="68" t="s">
        <v>37</v>
      </c>
      <c r="O1845" s="68" t="s">
        <v>38</v>
      </c>
      <c r="P1845" s="68" t="s">
        <v>39</v>
      </c>
      <c r="Q1845" s="69">
        <v>46062</v>
      </c>
      <c r="R1845" s="36"/>
      <c r="S1845" s="36"/>
      <c r="T1845" s="36"/>
      <c r="U1845" s="36"/>
      <c r="V1845" s="36"/>
    </row>
    <row r="1846" spans="1:22">
      <c r="A1846" s="58">
        <v>46057</v>
      </c>
      <c r="B1846" s="36" t="s">
        <v>5163</v>
      </c>
      <c r="C1846" s="36" t="s">
        <v>1475</v>
      </c>
      <c r="D1846" s="36" t="s">
        <v>5164</v>
      </c>
      <c r="E1846" s="36">
        <v>85937</v>
      </c>
      <c r="F1846" s="36" t="s">
        <v>5165</v>
      </c>
      <c r="G1846" s="36" t="s">
        <v>5166</v>
      </c>
      <c r="H1846" s="68" t="s">
        <v>27</v>
      </c>
      <c r="I1846" s="68"/>
      <c r="J1846" s="68"/>
      <c r="K1846" s="68"/>
      <c r="L1846" s="68"/>
      <c r="M1846" s="68"/>
      <c r="N1846" s="68"/>
      <c r="O1846" s="68"/>
      <c r="P1846" s="68"/>
      <c r="Q1846" s="68"/>
      <c r="R1846" s="36"/>
      <c r="S1846" s="36"/>
      <c r="T1846" s="36"/>
      <c r="U1846" s="36"/>
      <c r="V1846" s="36"/>
    </row>
    <row r="1847" spans="1:22">
      <c r="A1847" s="58">
        <v>46057</v>
      </c>
      <c r="B1847" s="36" t="s">
        <v>5167</v>
      </c>
      <c r="C1847" s="36" t="s">
        <v>30</v>
      </c>
      <c r="D1847" s="36" t="s">
        <v>30</v>
      </c>
      <c r="E1847" s="36" t="s">
        <v>4536</v>
      </c>
      <c r="F1847" s="36" t="s">
        <v>5168</v>
      </c>
      <c r="G1847" s="36" t="s">
        <v>5169</v>
      </c>
      <c r="H1847" s="68" t="s">
        <v>27</v>
      </c>
      <c r="I1847" s="68"/>
      <c r="J1847" s="68"/>
      <c r="K1847" s="68"/>
      <c r="L1847" s="68"/>
      <c r="M1847" s="68"/>
      <c r="N1847" s="68"/>
      <c r="O1847" s="68"/>
      <c r="P1847" s="68"/>
      <c r="Q1847" s="68"/>
      <c r="R1847" s="36"/>
      <c r="S1847" s="36"/>
      <c r="T1847" s="36"/>
      <c r="U1847" s="36"/>
      <c r="V1847" s="36"/>
    </row>
    <row r="1848" spans="1:22">
      <c r="A1848" s="58">
        <v>46058</v>
      </c>
      <c r="B1848" s="36" t="s">
        <v>5170</v>
      </c>
      <c r="C1848" s="36" t="s">
        <v>5171</v>
      </c>
      <c r="D1848" s="36" t="s">
        <v>816</v>
      </c>
      <c r="E1848" s="36">
        <v>86305</v>
      </c>
      <c r="F1848" s="36" t="s">
        <v>5172</v>
      </c>
      <c r="G1848" s="36" t="s">
        <v>5173</v>
      </c>
      <c r="H1848" s="68">
        <v>4523821000</v>
      </c>
      <c r="I1848" s="68" t="s">
        <v>36</v>
      </c>
      <c r="J1848" s="68" t="s">
        <v>37</v>
      </c>
      <c r="K1848" s="68" t="s">
        <v>37</v>
      </c>
      <c r="L1848" s="68" t="s">
        <v>38</v>
      </c>
      <c r="M1848" s="68" t="s">
        <v>37</v>
      </c>
      <c r="N1848" s="68" t="s">
        <v>37</v>
      </c>
      <c r="O1848" s="68" t="s">
        <v>38</v>
      </c>
      <c r="P1848" s="68" t="s">
        <v>39</v>
      </c>
      <c r="Q1848" s="69">
        <v>46062</v>
      </c>
      <c r="R1848" s="36"/>
      <c r="S1848" s="36"/>
      <c r="T1848" s="36"/>
      <c r="U1848" s="36"/>
      <c r="V1848" s="36"/>
    </row>
    <row r="1849" spans="1:22">
      <c r="A1849" s="58">
        <v>46058</v>
      </c>
      <c r="B1849" s="36" t="s">
        <v>645</v>
      </c>
      <c r="C1849" s="36" t="s">
        <v>5174</v>
      </c>
      <c r="D1849" s="36" t="s">
        <v>659</v>
      </c>
      <c r="E1849" s="36">
        <v>85350</v>
      </c>
      <c r="F1849" s="36" t="s">
        <v>5175</v>
      </c>
      <c r="G1849" s="36" t="s">
        <v>5173</v>
      </c>
      <c r="H1849" s="68">
        <v>1237080000</v>
      </c>
      <c r="I1849" s="68" t="s">
        <v>541</v>
      </c>
      <c r="J1849" s="68" t="s">
        <v>37</v>
      </c>
      <c r="K1849" s="68" t="s">
        <v>37</v>
      </c>
      <c r="L1849" s="68" t="s">
        <v>4079</v>
      </c>
      <c r="M1849" s="68" t="s">
        <v>37</v>
      </c>
      <c r="N1849" s="68" t="s">
        <v>37</v>
      </c>
      <c r="O1849" s="68" t="s">
        <v>38</v>
      </c>
      <c r="P1849" s="68" t="s">
        <v>39</v>
      </c>
      <c r="Q1849" s="69">
        <v>46062</v>
      </c>
      <c r="R1849" s="36"/>
      <c r="S1849" s="36"/>
      <c r="T1849" s="36"/>
      <c r="U1849" s="36"/>
      <c r="V1849" s="36"/>
    </row>
    <row r="1850" spans="1:22">
      <c r="A1850" s="58">
        <v>46058</v>
      </c>
      <c r="B1850" s="36" t="s">
        <v>2860</v>
      </c>
      <c r="C1850" s="36" t="s">
        <v>3015</v>
      </c>
      <c r="D1850" s="36" t="s">
        <v>169</v>
      </c>
      <c r="E1850" s="36">
        <v>85338</v>
      </c>
      <c r="F1850" s="36" t="s">
        <v>5176</v>
      </c>
      <c r="G1850" s="36" t="s">
        <v>5173</v>
      </c>
      <c r="H1850" s="68">
        <v>9987316691</v>
      </c>
      <c r="I1850" s="68" t="s">
        <v>46</v>
      </c>
      <c r="J1850" s="68" t="s">
        <v>37</v>
      </c>
      <c r="K1850" s="68" t="s">
        <v>37</v>
      </c>
      <c r="L1850" s="68" t="s">
        <v>5177</v>
      </c>
      <c r="M1850" s="68" t="s">
        <v>37</v>
      </c>
      <c r="N1850" s="68" t="s">
        <v>37</v>
      </c>
      <c r="O1850" s="68" t="s">
        <v>38</v>
      </c>
      <c r="P1850" s="68" t="s">
        <v>39</v>
      </c>
      <c r="Q1850" s="69">
        <v>46062</v>
      </c>
      <c r="R1850" s="36"/>
      <c r="S1850" s="36"/>
      <c r="T1850" s="36"/>
      <c r="U1850" s="36"/>
      <c r="V1850" s="36"/>
    </row>
    <row r="1851" spans="1:22">
      <c r="A1851" s="58">
        <v>46058</v>
      </c>
      <c r="B1851" s="36" t="s">
        <v>5178</v>
      </c>
      <c r="C1851" s="36" t="s">
        <v>5179</v>
      </c>
      <c r="D1851" s="36" t="s">
        <v>63</v>
      </c>
      <c r="E1851" s="36">
        <v>85022</v>
      </c>
      <c r="F1851" s="36" t="s">
        <v>5180</v>
      </c>
      <c r="G1851" s="36" t="s">
        <v>5173</v>
      </c>
      <c r="H1851" s="68" t="s">
        <v>27</v>
      </c>
      <c r="I1851" s="68"/>
      <c r="J1851" s="68"/>
      <c r="K1851" s="68"/>
      <c r="L1851" s="68"/>
      <c r="M1851" s="68"/>
      <c r="N1851" s="68"/>
      <c r="O1851" s="68"/>
      <c r="P1851" s="68"/>
      <c r="Q1851" s="68"/>
      <c r="R1851" s="36"/>
      <c r="S1851" s="36"/>
      <c r="T1851" s="36"/>
      <c r="U1851" s="36"/>
      <c r="V1851" s="36"/>
    </row>
    <row r="1852" spans="1:22">
      <c r="A1852" s="58">
        <v>46059</v>
      </c>
      <c r="B1852" s="36" t="s">
        <v>5181</v>
      </c>
      <c r="C1852" s="36" t="s">
        <v>2724</v>
      </c>
      <c r="D1852" s="36" t="s">
        <v>63</v>
      </c>
      <c r="E1852" s="36">
        <v>85028</v>
      </c>
      <c r="F1852" s="36" t="s">
        <v>5182</v>
      </c>
      <c r="G1852" s="36" t="s">
        <v>5183</v>
      </c>
      <c r="H1852" s="68">
        <v>2047225462</v>
      </c>
      <c r="I1852" s="68" t="s">
        <v>36</v>
      </c>
      <c r="J1852" s="68" t="s">
        <v>37</v>
      </c>
      <c r="K1852" s="68" t="s">
        <v>37</v>
      </c>
      <c r="L1852" s="68" t="s">
        <v>38</v>
      </c>
      <c r="M1852" s="68" t="s">
        <v>37</v>
      </c>
      <c r="N1852" s="68" t="s">
        <v>37</v>
      </c>
      <c r="O1852" s="68" t="s">
        <v>38</v>
      </c>
      <c r="P1852" s="68" t="s">
        <v>39</v>
      </c>
      <c r="Q1852" s="69">
        <v>46062</v>
      </c>
      <c r="R1852" s="36" t="s">
        <v>5184</v>
      </c>
      <c r="S1852" s="36"/>
      <c r="T1852" s="36"/>
      <c r="U1852" s="36"/>
      <c r="V1852" s="36"/>
    </row>
    <row r="1853" spans="1:22">
      <c r="A1853" s="58">
        <v>46059</v>
      </c>
      <c r="B1853" s="36" t="s">
        <v>5185</v>
      </c>
      <c r="C1853" s="36" t="s">
        <v>4835</v>
      </c>
      <c r="D1853" s="36" t="s">
        <v>63</v>
      </c>
      <c r="E1853" s="36">
        <v>85054</v>
      </c>
      <c r="F1853" s="36" t="s">
        <v>5186</v>
      </c>
      <c r="G1853" s="36" t="s">
        <v>5183</v>
      </c>
      <c r="H1853" s="68" t="s">
        <v>27</v>
      </c>
      <c r="I1853" s="68"/>
      <c r="J1853" s="68"/>
      <c r="K1853" s="68"/>
      <c r="L1853" s="68"/>
      <c r="M1853" s="68"/>
      <c r="N1853" s="68"/>
      <c r="O1853" s="68"/>
      <c r="P1853" s="68"/>
      <c r="Q1853" s="68"/>
      <c r="R1853" s="36"/>
      <c r="S1853" s="36"/>
      <c r="T1853" s="36"/>
      <c r="U1853" s="36"/>
      <c r="V1853" s="36"/>
    </row>
    <row r="1854" spans="1:22">
      <c r="A1854" s="58">
        <v>46062</v>
      </c>
      <c r="B1854" s="36" t="s">
        <v>1091</v>
      </c>
      <c r="C1854" s="36" t="s">
        <v>133</v>
      </c>
      <c r="D1854" s="36" t="s">
        <v>63</v>
      </c>
      <c r="E1854" s="36">
        <v>85086</v>
      </c>
      <c r="F1854" s="36" t="s">
        <v>5187</v>
      </c>
      <c r="G1854" s="36" t="s">
        <v>5188</v>
      </c>
      <c r="H1854" s="68" t="s">
        <v>90</v>
      </c>
      <c r="I1854" s="68"/>
      <c r="J1854" s="68"/>
      <c r="K1854" s="68"/>
      <c r="L1854" s="68"/>
      <c r="M1854" s="68"/>
      <c r="N1854" s="68"/>
      <c r="O1854" s="68"/>
      <c r="P1854" s="68"/>
      <c r="Q1854" s="68"/>
      <c r="R1854" s="36" t="s">
        <v>4759</v>
      </c>
      <c r="S1854" s="36"/>
      <c r="T1854" s="36"/>
      <c r="U1854" s="36"/>
      <c r="V1854" s="36"/>
    </row>
    <row r="1855" spans="1:22">
      <c r="A1855" s="58">
        <v>46062</v>
      </c>
      <c r="B1855" s="36" t="s">
        <v>1765</v>
      </c>
      <c r="C1855" s="36" t="s">
        <v>1711</v>
      </c>
      <c r="D1855" s="36" t="s">
        <v>370</v>
      </c>
      <c r="E1855" s="36">
        <v>85225</v>
      </c>
      <c r="F1855" s="36" t="s">
        <v>5189</v>
      </c>
      <c r="G1855" s="36" t="s">
        <v>5188</v>
      </c>
      <c r="H1855" s="68">
        <v>8793561000</v>
      </c>
      <c r="I1855" s="68" t="s">
        <v>73</v>
      </c>
      <c r="J1855" s="68" t="s">
        <v>38</v>
      </c>
      <c r="K1855" s="68" t="s">
        <v>37</v>
      </c>
      <c r="L1855" s="68" t="s">
        <v>38</v>
      </c>
      <c r="M1855" s="68" t="s">
        <v>37</v>
      </c>
      <c r="N1855" s="68" t="s">
        <v>37</v>
      </c>
      <c r="O1855" s="68" t="s">
        <v>38</v>
      </c>
      <c r="P1855" s="68" t="s">
        <v>39</v>
      </c>
      <c r="Q1855" s="69">
        <v>46062</v>
      </c>
      <c r="R1855" s="36"/>
      <c r="S1855" s="36"/>
      <c r="T1855" s="36"/>
      <c r="U1855" s="36"/>
      <c r="V1855" s="36"/>
    </row>
    <row r="1856" spans="1:22">
      <c r="A1856" s="58">
        <v>46062</v>
      </c>
      <c r="B1856" s="36" t="s">
        <v>5190</v>
      </c>
      <c r="C1856" s="36" t="s">
        <v>312</v>
      </c>
      <c r="D1856" s="36" t="s">
        <v>63</v>
      </c>
      <c r="E1856" s="36">
        <v>85022</v>
      </c>
      <c r="F1856" s="36" t="s">
        <v>5191</v>
      </c>
      <c r="G1856" s="36" t="s">
        <v>5188</v>
      </c>
      <c r="H1856" s="68">
        <v>9087250000</v>
      </c>
      <c r="I1856" s="68" t="s">
        <v>36</v>
      </c>
      <c r="J1856" s="68" t="s">
        <v>37</v>
      </c>
      <c r="K1856" s="68" t="s">
        <v>37</v>
      </c>
      <c r="L1856" s="68" t="s">
        <v>38</v>
      </c>
      <c r="M1856" s="68" t="s">
        <v>37</v>
      </c>
      <c r="N1856" s="68" t="s">
        <v>37</v>
      </c>
      <c r="O1856" s="68" t="s">
        <v>38</v>
      </c>
      <c r="P1856" s="68" t="s">
        <v>39</v>
      </c>
      <c r="Q1856" s="69">
        <v>46062</v>
      </c>
      <c r="R1856" s="36" t="s">
        <v>1009</v>
      </c>
      <c r="S1856" s="36"/>
      <c r="T1856" s="36"/>
      <c r="U1856" s="36"/>
      <c r="V1856" s="36"/>
    </row>
    <row r="1857" spans="1:22">
      <c r="A1857" s="58">
        <v>46064</v>
      </c>
      <c r="B1857" s="36" t="s">
        <v>5192</v>
      </c>
      <c r="C1857" s="36" t="s">
        <v>481</v>
      </c>
      <c r="D1857" s="36" t="s">
        <v>93</v>
      </c>
      <c r="E1857" s="36">
        <v>85351</v>
      </c>
      <c r="F1857" s="36" t="s">
        <v>5193</v>
      </c>
      <c r="G1857" s="36" t="s">
        <v>5194</v>
      </c>
      <c r="H1857" s="36">
        <v>3728125563</v>
      </c>
      <c r="I1857" s="36" t="s">
        <v>36</v>
      </c>
      <c r="J1857" s="36" t="s">
        <v>37</v>
      </c>
      <c r="K1857" s="36" t="s">
        <v>37</v>
      </c>
      <c r="L1857" s="36" t="s">
        <v>38</v>
      </c>
      <c r="M1857" s="36" t="s">
        <v>37</v>
      </c>
      <c r="N1857" s="36" t="s">
        <v>37</v>
      </c>
      <c r="O1857" s="36" t="s">
        <v>38</v>
      </c>
      <c r="P1857" s="36" t="s">
        <v>39</v>
      </c>
      <c r="Q1857" s="58">
        <v>46066</v>
      </c>
      <c r="R1857" s="36"/>
      <c r="S1857" s="36"/>
      <c r="T1857" s="36"/>
      <c r="U1857" s="36"/>
      <c r="V1857" s="36"/>
    </row>
    <row r="1858" spans="1:22">
      <c r="A1858" s="58">
        <v>46064</v>
      </c>
      <c r="B1858" s="36" t="s">
        <v>5195</v>
      </c>
      <c r="C1858" s="36" t="s">
        <v>1268</v>
      </c>
      <c r="D1858" s="36" t="s">
        <v>816</v>
      </c>
      <c r="E1858" s="36">
        <v>86303</v>
      </c>
      <c r="F1858" s="36" t="s">
        <v>5196</v>
      </c>
      <c r="G1858" s="36" t="s">
        <v>5194</v>
      </c>
      <c r="H1858" s="36">
        <v>9134311000</v>
      </c>
      <c r="I1858" s="36" t="s">
        <v>73</v>
      </c>
      <c r="J1858" s="36" t="s">
        <v>38</v>
      </c>
      <c r="K1858" s="36" t="s">
        <v>37</v>
      </c>
      <c r="L1858" s="36" t="s">
        <v>38</v>
      </c>
      <c r="M1858" s="36" t="s">
        <v>37</v>
      </c>
      <c r="N1858" s="36" t="s">
        <v>37</v>
      </c>
      <c r="O1858" s="36" t="s">
        <v>38</v>
      </c>
      <c r="P1858" s="36" t="s">
        <v>39</v>
      </c>
      <c r="Q1858" s="58">
        <v>46066</v>
      </c>
      <c r="R1858" s="36"/>
      <c r="S1858" s="36"/>
      <c r="T1858" s="36"/>
      <c r="U1858" s="36"/>
      <c r="V1858" s="36"/>
    </row>
    <row r="1859" spans="1:22">
      <c r="A1859" s="70">
        <v>46064</v>
      </c>
      <c r="B1859" s="63" t="s">
        <v>5197</v>
      </c>
      <c r="C1859" s="63" t="s">
        <v>784</v>
      </c>
      <c r="D1859" s="63" t="s">
        <v>63</v>
      </c>
      <c r="E1859" s="63">
        <v>85008</v>
      </c>
      <c r="F1859" s="63" t="s">
        <v>5198</v>
      </c>
      <c r="G1859" s="63" t="s">
        <v>5194</v>
      </c>
      <c r="H1859" s="63">
        <v>6643300000</v>
      </c>
      <c r="I1859" s="63" t="s">
        <v>196</v>
      </c>
      <c r="J1859" s="63" t="s">
        <v>37</v>
      </c>
      <c r="K1859" s="63" t="s">
        <v>37</v>
      </c>
      <c r="L1859" s="63" t="s">
        <v>5199</v>
      </c>
      <c r="M1859" s="63" t="s">
        <v>37</v>
      </c>
      <c r="N1859" s="63" t="s">
        <v>37</v>
      </c>
      <c r="O1859" s="63" t="s">
        <v>38</v>
      </c>
      <c r="P1859" s="63"/>
      <c r="Q1859" s="70">
        <v>46066</v>
      </c>
      <c r="R1859" s="63" t="s">
        <v>5200</v>
      </c>
      <c r="S1859" s="63"/>
      <c r="T1859" s="63"/>
      <c r="U1859" s="63"/>
      <c r="V1859" s="63"/>
    </row>
    <row r="1860" spans="1:22">
      <c r="A1860" s="58">
        <v>46064</v>
      </c>
      <c r="B1860" s="36" t="s">
        <v>49</v>
      </c>
      <c r="C1860" s="36" t="s">
        <v>611</v>
      </c>
      <c r="D1860" s="36" t="s">
        <v>93</v>
      </c>
      <c r="E1860" s="36">
        <v>85351</v>
      </c>
      <c r="F1860" s="36" t="s">
        <v>5201</v>
      </c>
      <c r="G1860" s="36" t="s">
        <v>5194</v>
      </c>
      <c r="H1860" s="36" t="s">
        <v>27</v>
      </c>
      <c r="I1860" s="36"/>
      <c r="J1860" s="36"/>
      <c r="K1860" s="36"/>
      <c r="L1860" s="36"/>
      <c r="M1860" s="36"/>
      <c r="N1860" s="36"/>
      <c r="O1860" s="36"/>
      <c r="P1860" s="36"/>
      <c r="Q1860" s="36"/>
      <c r="R1860" s="36"/>
      <c r="S1860" s="36"/>
      <c r="T1860" s="36"/>
      <c r="U1860" s="36"/>
      <c r="V1860" s="36"/>
    </row>
    <row r="1861" spans="1:22">
      <c r="A1861" s="58">
        <v>46064</v>
      </c>
      <c r="B1861" s="36" t="s">
        <v>5202</v>
      </c>
      <c r="C1861" s="36" t="s">
        <v>5203</v>
      </c>
      <c r="D1861" s="36" t="s">
        <v>93</v>
      </c>
      <c r="E1861" s="36">
        <v>85351</v>
      </c>
      <c r="F1861" s="36" t="s">
        <v>5204</v>
      </c>
      <c r="G1861" s="36" t="s">
        <v>5194</v>
      </c>
      <c r="H1861" s="36">
        <v>99821000</v>
      </c>
      <c r="I1861" s="36" t="s">
        <v>1488</v>
      </c>
      <c r="J1861" s="36" t="s">
        <v>37</v>
      </c>
      <c r="K1861" s="36" t="s">
        <v>37</v>
      </c>
      <c r="L1861" s="36" t="s">
        <v>4079</v>
      </c>
      <c r="M1861" s="36" t="s">
        <v>37</v>
      </c>
      <c r="N1861" s="36" t="s">
        <v>37</v>
      </c>
      <c r="O1861" s="36" t="s">
        <v>38</v>
      </c>
      <c r="P1861" s="36" t="s">
        <v>39</v>
      </c>
      <c r="Q1861" s="58">
        <v>46066</v>
      </c>
      <c r="R1861" s="36"/>
      <c r="S1861" s="36"/>
      <c r="T1861" s="36"/>
      <c r="U1861" s="36"/>
      <c r="V1861" s="36"/>
    </row>
    <row r="1862" spans="1:22">
      <c r="A1862" s="58">
        <v>46064</v>
      </c>
      <c r="B1862" s="36" t="s">
        <v>5205</v>
      </c>
      <c r="C1862" s="36" t="s">
        <v>5206</v>
      </c>
      <c r="D1862" s="36" t="s">
        <v>93</v>
      </c>
      <c r="E1862" s="36"/>
      <c r="F1862" s="36" t="s">
        <v>5207</v>
      </c>
      <c r="G1862" s="36" t="s">
        <v>5194</v>
      </c>
      <c r="H1862" s="36"/>
      <c r="I1862" s="36"/>
      <c r="J1862" s="36"/>
      <c r="K1862" s="36"/>
      <c r="L1862" s="36"/>
      <c r="M1862" s="36"/>
      <c r="N1862" s="36"/>
      <c r="O1862" s="36"/>
      <c r="P1862" s="36"/>
      <c r="Q1862" s="36"/>
      <c r="R1862" s="36"/>
      <c r="S1862" s="36"/>
      <c r="T1862" s="36"/>
      <c r="U1862" s="36"/>
      <c r="V1862" s="36"/>
    </row>
    <row r="1863" spans="1:22">
      <c r="A1863" s="70">
        <v>46064</v>
      </c>
      <c r="B1863" s="63" t="s">
        <v>5197</v>
      </c>
      <c r="C1863" s="63" t="s">
        <v>5208</v>
      </c>
      <c r="D1863" s="63" t="s">
        <v>63</v>
      </c>
      <c r="E1863" s="63">
        <v>85016</v>
      </c>
      <c r="F1863" s="63" t="s">
        <v>5209</v>
      </c>
      <c r="G1863" s="63" t="s">
        <v>5194</v>
      </c>
      <c r="H1863" s="63">
        <v>9532631000</v>
      </c>
      <c r="I1863" s="63" t="s">
        <v>196</v>
      </c>
      <c r="J1863" s="63" t="s">
        <v>37</v>
      </c>
      <c r="K1863" s="63" t="s">
        <v>37</v>
      </c>
      <c r="L1863" s="63" t="s">
        <v>5210</v>
      </c>
      <c r="M1863" s="63" t="s">
        <v>38</v>
      </c>
      <c r="N1863" s="74">
        <v>472.1</v>
      </c>
      <c r="O1863" s="63" t="s">
        <v>38</v>
      </c>
      <c r="P1863" s="63"/>
      <c r="Q1863" s="70">
        <v>46066</v>
      </c>
      <c r="R1863" s="63" t="s">
        <v>5099</v>
      </c>
      <c r="S1863" s="63"/>
      <c r="T1863" s="63"/>
      <c r="U1863" s="63"/>
      <c r="V1863" s="63"/>
    </row>
    <row r="1864" spans="1:22">
      <c r="A1864" s="58">
        <v>46064</v>
      </c>
      <c r="B1864" s="36" t="s">
        <v>5197</v>
      </c>
      <c r="C1864" s="36" t="s">
        <v>5211</v>
      </c>
      <c r="D1864" s="36" t="s">
        <v>63</v>
      </c>
      <c r="E1864" s="36">
        <v>85014</v>
      </c>
      <c r="F1864" s="36" t="s">
        <v>5212</v>
      </c>
      <c r="G1864" s="36" t="s">
        <v>5194</v>
      </c>
      <c r="H1864" s="36" t="s">
        <v>27</v>
      </c>
      <c r="I1864" s="36"/>
      <c r="J1864" s="36"/>
      <c r="K1864" s="36"/>
      <c r="L1864" s="36"/>
      <c r="M1864" s="36"/>
      <c r="N1864" s="36"/>
      <c r="O1864" s="36"/>
      <c r="P1864" s="36"/>
      <c r="Q1864" s="36"/>
      <c r="R1864" s="36"/>
      <c r="S1864" s="36"/>
      <c r="T1864" s="36"/>
      <c r="U1864" s="36"/>
      <c r="V1864" s="36"/>
    </row>
    <row r="1865" spans="1:22">
      <c r="A1865" s="58">
        <v>46064</v>
      </c>
      <c r="B1865" s="36" t="s">
        <v>5213</v>
      </c>
      <c r="C1865" s="36" t="s">
        <v>5214</v>
      </c>
      <c r="D1865" s="36"/>
      <c r="E1865" s="36"/>
      <c r="F1865" s="36" t="s">
        <v>5215</v>
      </c>
      <c r="G1865" s="36" t="s">
        <v>5194</v>
      </c>
      <c r="H1865" s="36" t="s">
        <v>27</v>
      </c>
      <c r="I1865" s="36"/>
      <c r="J1865" s="36"/>
      <c r="K1865" s="36"/>
      <c r="L1865" s="36"/>
      <c r="M1865" s="36"/>
      <c r="N1865" s="36"/>
      <c r="O1865" s="36"/>
      <c r="P1865" s="36"/>
      <c r="Q1865" s="36"/>
      <c r="R1865" s="36"/>
      <c r="S1865" s="36"/>
      <c r="T1865" s="36"/>
      <c r="U1865" s="36"/>
      <c r="V1865" s="36"/>
    </row>
    <row r="1866" spans="1:22">
      <c r="A1866" s="58">
        <v>46064</v>
      </c>
      <c r="B1866" s="36" t="s">
        <v>5216</v>
      </c>
      <c r="C1866" s="36" t="s">
        <v>5217</v>
      </c>
      <c r="D1866" s="36" t="s">
        <v>5206</v>
      </c>
      <c r="E1866" s="36" t="s">
        <v>5218</v>
      </c>
      <c r="F1866" s="36" t="s">
        <v>5219</v>
      </c>
      <c r="G1866" s="36" t="s">
        <v>5194</v>
      </c>
      <c r="H1866" s="36" t="s">
        <v>27</v>
      </c>
      <c r="I1866" s="36"/>
      <c r="J1866" s="36"/>
      <c r="K1866" s="36"/>
      <c r="L1866" s="36"/>
      <c r="M1866" s="36"/>
      <c r="N1866" s="36"/>
      <c r="O1866" s="36"/>
      <c r="P1866" s="36"/>
      <c r="Q1866" s="36"/>
      <c r="R1866" s="36"/>
      <c r="S1866" s="36"/>
      <c r="T1866" s="36"/>
      <c r="U1866" s="36"/>
      <c r="V1866" s="36"/>
    </row>
    <row r="1867" spans="1:22">
      <c r="A1867" s="58">
        <v>46064</v>
      </c>
      <c r="B1867" s="36" t="s">
        <v>5220</v>
      </c>
      <c r="C1867" s="36" t="s">
        <v>5221</v>
      </c>
      <c r="D1867" s="36" t="s">
        <v>737</v>
      </c>
      <c r="E1867" s="36">
        <v>86326</v>
      </c>
      <c r="F1867" s="36" t="s">
        <v>5222</v>
      </c>
      <c r="G1867" s="36" t="s">
        <v>5194</v>
      </c>
      <c r="H1867" s="36">
        <v>2790610000</v>
      </c>
      <c r="I1867" s="36" t="s">
        <v>3919</v>
      </c>
      <c r="J1867" s="36" t="s">
        <v>37</v>
      </c>
      <c r="K1867" s="36" t="s">
        <v>37</v>
      </c>
      <c r="L1867" s="36" t="s">
        <v>4079</v>
      </c>
      <c r="M1867" s="36" t="s">
        <v>37</v>
      </c>
      <c r="N1867" s="36" t="s">
        <v>37</v>
      </c>
      <c r="O1867" s="36" t="s">
        <v>38</v>
      </c>
      <c r="P1867" s="36" t="s">
        <v>39</v>
      </c>
      <c r="Q1867" s="58">
        <v>46066</v>
      </c>
      <c r="R1867" s="36" t="s">
        <v>260</v>
      </c>
      <c r="S1867" s="36"/>
      <c r="T1867" s="36"/>
      <c r="U1867" s="36"/>
      <c r="V1867" s="36"/>
    </row>
    <row r="1868" spans="1:22">
      <c r="A1868" s="58">
        <v>46064</v>
      </c>
      <c r="B1868" s="36" t="s">
        <v>5223</v>
      </c>
      <c r="C1868" s="36" t="s">
        <v>4636</v>
      </c>
      <c r="D1868" s="36" t="s">
        <v>3111</v>
      </c>
      <c r="E1868" s="36">
        <v>85901</v>
      </c>
      <c r="F1868" s="36" t="s">
        <v>5224</v>
      </c>
      <c r="G1868" s="36" t="s">
        <v>5225</v>
      </c>
      <c r="H1868" s="36" t="s">
        <v>27</v>
      </c>
      <c r="I1868" s="36"/>
      <c r="J1868" s="36"/>
      <c r="K1868" s="36"/>
      <c r="L1868" s="36"/>
      <c r="M1868" s="36"/>
      <c r="N1868" s="36"/>
      <c r="O1868" s="36"/>
      <c r="P1868" s="36"/>
      <c r="Q1868" s="36"/>
      <c r="R1868" s="36"/>
      <c r="S1868" s="36"/>
      <c r="T1868" s="36"/>
      <c r="U1868" s="36"/>
      <c r="V1868" s="36"/>
    </row>
    <row r="1869" spans="1:22">
      <c r="A1869" s="58">
        <v>46064</v>
      </c>
      <c r="B1869" s="36" t="s">
        <v>5226</v>
      </c>
      <c r="C1869" s="36" t="s">
        <v>320</v>
      </c>
      <c r="D1869" s="36" t="s">
        <v>4673</v>
      </c>
      <c r="E1869" s="36">
        <v>86018</v>
      </c>
      <c r="F1869" s="36" t="s">
        <v>5227</v>
      </c>
      <c r="G1869" s="36" t="s">
        <v>5225</v>
      </c>
      <c r="H1869" s="36">
        <v>2382490000</v>
      </c>
      <c r="I1869" s="36" t="s">
        <v>46</v>
      </c>
      <c r="J1869" s="36" t="s">
        <v>37</v>
      </c>
      <c r="K1869" s="36" t="s">
        <v>37</v>
      </c>
      <c r="L1869" s="36" t="s">
        <v>4419</v>
      </c>
      <c r="M1869" s="36" t="s">
        <v>37</v>
      </c>
      <c r="N1869" s="36" t="s">
        <v>37</v>
      </c>
      <c r="O1869" s="36" t="s">
        <v>38</v>
      </c>
      <c r="P1869" s="36" t="s">
        <v>39</v>
      </c>
      <c r="Q1869" s="58">
        <v>46066</v>
      </c>
      <c r="R1869" s="36"/>
      <c r="S1869" s="36"/>
      <c r="T1869" s="36"/>
      <c r="U1869" s="36"/>
      <c r="V1869" s="36"/>
    </row>
    <row r="1870" spans="1:22">
      <c r="A1870" s="58">
        <v>46064</v>
      </c>
      <c r="B1870" s="36" t="s">
        <v>5228</v>
      </c>
      <c r="C1870" s="36" t="s">
        <v>690</v>
      </c>
      <c r="D1870" s="36" t="s">
        <v>63</v>
      </c>
      <c r="E1870" s="36">
        <v>85050</v>
      </c>
      <c r="F1870" s="36" t="s">
        <v>5229</v>
      </c>
      <c r="G1870" s="36" t="s">
        <v>5225</v>
      </c>
      <c r="H1870" s="36">
        <v>5972711000</v>
      </c>
      <c r="I1870" s="36" t="s">
        <v>46</v>
      </c>
      <c r="J1870" s="36" t="s">
        <v>37</v>
      </c>
      <c r="K1870" s="36" t="s">
        <v>37</v>
      </c>
      <c r="L1870" s="36" t="s">
        <v>38</v>
      </c>
      <c r="M1870" s="36" t="s">
        <v>37</v>
      </c>
      <c r="N1870" s="36" t="s">
        <v>37</v>
      </c>
      <c r="O1870" s="36" t="s">
        <v>38</v>
      </c>
      <c r="P1870" s="36" t="s">
        <v>39</v>
      </c>
      <c r="Q1870" s="58">
        <v>46066</v>
      </c>
      <c r="R1870" s="36"/>
      <c r="S1870" s="36"/>
      <c r="T1870" s="36"/>
      <c r="U1870" s="36"/>
      <c r="V1870" s="36"/>
    </row>
    <row r="1871" spans="1:22">
      <c r="A1871" s="58">
        <v>46064</v>
      </c>
      <c r="B1871" s="36" t="s">
        <v>5230</v>
      </c>
      <c r="C1871" s="36" t="s">
        <v>135</v>
      </c>
      <c r="D1871" s="36" t="s">
        <v>2542</v>
      </c>
      <c r="E1871" s="36">
        <v>86325</v>
      </c>
      <c r="F1871" s="36" t="s">
        <v>5231</v>
      </c>
      <c r="G1871" s="36" t="s">
        <v>5225</v>
      </c>
      <c r="H1871" s="36" t="s">
        <v>90</v>
      </c>
      <c r="I1871" s="36"/>
      <c r="J1871" s="36"/>
      <c r="K1871" s="36"/>
      <c r="L1871" s="36"/>
      <c r="M1871" s="36"/>
      <c r="N1871" s="36"/>
      <c r="O1871" s="36"/>
      <c r="P1871" s="36"/>
      <c r="Q1871" s="36"/>
      <c r="R1871" s="36"/>
      <c r="S1871" s="36"/>
      <c r="T1871" s="36"/>
      <c r="U1871" s="36"/>
      <c r="V1871" s="36"/>
    </row>
    <row r="1872" spans="1:22">
      <c r="A1872" s="58">
        <v>46064</v>
      </c>
      <c r="B1872" s="36" t="s">
        <v>5232</v>
      </c>
      <c r="C1872" s="36" t="s">
        <v>75</v>
      </c>
      <c r="D1872" s="36" t="s">
        <v>619</v>
      </c>
      <c r="E1872" s="36">
        <v>85364</v>
      </c>
      <c r="F1872" s="36" t="s">
        <v>5233</v>
      </c>
      <c r="G1872" s="36" t="s">
        <v>5234</v>
      </c>
      <c r="H1872" s="36">
        <v>9057041000</v>
      </c>
      <c r="I1872" s="36" t="s">
        <v>36</v>
      </c>
      <c r="J1872" s="36" t="s">
        <v>37</v>
      </c>
      <c r="K1872" s="36" t="s">
        <v>37</v>
      </c>
      <c r="L1872" s="36" t="s">
        <v>38</v>
      </c>
      <c r="M1872" s="36" t="s">
        <v>37</v>
      </c>
      <c r="N1872" s="36" t="s">
        <v>37</v>
      </c>
      <c r="O1872" s="36" t="s">
        <v>38</v>
      </c>
      <c r="P1872" s="36" t="s">
        <v>39</v>
      </c>
      <c r="Q1872" s="58">
        <v>46066</v>
      </c>
      <c r="R1872" s="36" t="s">
        <v>4239</v>
      </c>
      <c r="S1872" s="36"/>
      <c r="T1872" s="36"/>
      <c r="U1872" s="36"/>
      <c r="V1872" s="36"/>
    </row>
    <row r="1873" spans="1:22">
      <c r="A1873" s="58">
        <v>46064</v>
      </c>
      <c r="B1873" s="36" t="s">
        <v>5235</v>
      </c>
      <c r="C1873" s="36" t="s">
        <v>230</v>
      </c>
      <c r="D1873" s="36" t="s">
        <v>174</v>
      </c>
      <c r="E1873" s="36">
        <v>85396</v>
      </c>
      <c r="F1873" s="36" t="s">
        <v>5236</v>
      </c>
      <c r="G1873" s="36" t="s">
        <v>5237</v>
      </c>
      <c r="H1873" s="36">
        <v>3003812929</v>
      </c>
      <c r="I1873" s="36" t="s">
        <v>46</v>
      </c>
      <c r="J1873" s="36" t="s">
        <v>37</v>
      </c>
      <c r="K1873" s="36" t="s">
        <v>37</v>
      </c>
      <c r="L1873" s="36" t="s">
        <v>38</v>
      </c>
      <c r="M1873" s="36" t="s">
        <v>37</v>
      </c>
      <c r="N1873" s="36" t="s">
        <v>37</v>
      </c>
      <c r="O1873" s="36" t="s">
        <v>38</v>
      </c>
      <c r="P1873" s="36" t="s">
        <v>39</v>
      </c>
      <c r="Q1873" s="58">
        <v>46066</v>
      </c>
      <c r="R1873" s="36"/>
      <c r="S1873" s="36"/>
      <c r="T1873" s="36"/>
      <c r="U1873" s="36"/>
      <c r="V1873" s="36"/>
    </row>
    <row r="1874" spans="1:22">
      <c r="A1874" s="70">
        <v>46064</v>
      </c>
      <c r="B1874" s="63" t="s">
        <v>5238</v>
      </c>
      <c r="C1874" s="63" t="s">
        <v>79</v>
      </c>
      <c r="D1874" s="63" t="s">
        <v>448</v>
      </c>
      <c r="E1874" s="63">
        <v>85361</v>
      </c>
      <c r="F1874" s="63" t="s">
        <v>5239</v>
      </c>
      <c r="G1874" s="63" t="s">
        <v>5237</v>
      </c>
      <c r="H1874" s="63">
        <v>310740000</v>
      </c>
      <c r="I1874" s="63" t="s">
        <v>196</v>
      </c>
      <c r="J1874" s="63" t="s">
        <v>37</v>
      </c>
      <c r="K1874" s="63" t="s">
        <v>37</v>
      </c>
      <c r="L1874" s="63" t="s">
        <v>5240</v>
      </c>
      <c r="M1874" s="63" t="s">
        <v>38</v>
      </c>
      <c r="N1874" s="74">
        <v>409.95</v>
      </c>
      <c r="O1874" s="63" t="s">
        <v>38</v>
      </c>
      <c r="P1874" s="63"/>
      <c r="Q1874" s="70">
        <v>46066</v>
      </c>
      <c r="R1874" s="63" t="s">
        <v>5241</v>
      </c>
      <c r="S1874" s="63"/>
      <c r="T1874" s="63"/>
      <c r="U1874" s="63"/>
      <c r="V1874" s="63"/>
    </row>
    <row r="1875" spans="1:22">
      <c r="A1875" s="58">
        <v>46064</v>
      </c>
      <c r="B1875" s="36"/>
      <c r="C1875" s="36" t="s">
        <v>1533</v>
      </c>
      <c r="D1875" s="36"/>
      <c r="E1875" s="36"/>
      <c r="F1875" s="36" t="s">
        <v>5242</v>
      </c>
      <c r="G1875" s="36" t="s">
        <v>5237</v>
      </c>
      <c r="H1875" s="36" t="s">
        <v>27</v>
      </c>
      <c r="I1875" s="36"/>
      <c r="J1875" s="36"/>
      <c r="K1875" s="36"/>
      <c r="L1875" s="36"/>
      <c r="M1875" s="36"/>
      <c r="N1875" s="36"/>
      <c r="O1875" s="36"/>
      <c r="P1875" s="36"/>
      <c r="Q1875" s="36"/>
      <c r="R1875" s="36"/>
      <c r="S1875" s="36"/>
      <c r="T1875" s="36"/>
      <c r="U1875" s="36"/>
      <c r="V1875" s="36"/>
    </row>
    <row r="1876" spans="1:22">
      <c r="A1876" s="58">
        <v>46065</v>
      </c>
      <c r="B1876" s="36" t="s">
        <v>1583</v>
      </c>
      <c r="C1876" s="36" t="s">
        <v>2169</v>
      </c>
      <c r="D1876" s="36" t="s">
        <v>63</v>
      </c>
      <c r="E1876" s="36"/>
      <c r="F1876" s="36" t="s">
        <v>5243</v>
      </c>
      <c r="G1876" s="36" t="s">
        <v>5244</v>
      </c>
      <c r="H1876" s="36">
        <v>6676790000</v>
      </c>
      <c r="I1876" s="36" t="s">
        <v>36</v>
      </c>
      <c r="J1876" s="36" t="s">
        <v>37</v>
      </c>
      <c r="K1876" s="36" t="s">
        <v>37</v>
      </c>
      <c r="L1876" s="36" t="s">
        <v>38</v>
      </c>
      <c r="M1876" s="36" t="s">
        <v>37</v>
      </c>
      <c r="N1876" s="36" t="s">
        <v>37</v>
      </c>
      <c r="O1876" s="36" t="s">
        <v>38</v>
      </c>
      <c r="P1876" s="36" t="s">
        <v>39</v>
      </c>
      <c r="Q1876" s="58">
        <v>46066</v>
      </c>
      <c r="R1876" s="36"/>
      <c r="S1876" s="36"/>
      <c r="T1876" s="36"/>
      <c r="U1876" s="36"/>
      <c r="V1876" s="36"/>
    </row>
    <row r="1877" spans="1:22">
      <c r="A1877" s="58">
        <v>46065</v>
      </c>
      <c r="B1877" s="36" t="s">
        <v>1300</v>
      </c>
      <c r="C1877" s="36" t="s">
        <v>291</v>
      </c>
      <c r="D1877" s="36" t="s">
        <v>816</v>
      </c>
      <c r="E1877" s="36">
        <v>86303</v>
      </c>
      <c r="F1877" s="36" t="s">
        <v>5245</v>
      </c>
      <c r="G1877" s="36" t="s">
        <v>5244</v>
      </c>
      <c r="H1877" s="36">
        <v>1728530000</v>
      </c>
      <c r="I1877" s="36" t="s">
        <v>73</v>
      </c>
      <c r="J1877" s="36" t="s">
        <v>37</v>
      </c>
      <c r="K1877" s="36" t="s">
        <v>37</v>
      </c>
      <c r="L1877" s="36" t="s">
        <v>38</v>
      </c>
      <c r="M1877" s="36" t="s">
        <v>37</v>
      </c>
      <c r="N1877" s="36" t="s">
        <v>37</v>
      </c>
      <c r="O1877" s="36" t="s">
        <v>38</v>
      </c>
      <c r="P1877" s="36" t="s">
        <v>39</v>
      </c>
      <c r="Q1877" s="58">
        <v>46066</v>
      </c>
      <c r="R1877" s="36"/>
      <c r="S1877" s="36"/>
      <c r="T1877" s="36"/>
      <c r="U1877" s="36"/>
      <c r="V1877" s="36"/>
    </row>
    <row r="1878" spans="1:22">
      <c r="A1878" s="58">
        <v>46065</v>
      </c>
      <c r="B1878" s="36" t="s">
        <v>5159</v>
      </c>
      <c r="C1878" s="36" t="s">
        <v>1707</v>
      </c>
      <c r="D1878" s="36" t="s">
        <v>125</v>
      </c>
      <c r="E1878" s="36">
        <v>85259</v>
      </c>
      <c r="F1878" s="36" t="s">
        <v>5246</v>
      </c>
      <c r="G1878" s="36" t="s">
        <v>5244</v>
      </c>
      <c r="H1878" s="36" t="s">
        <v>27</v>
      </c>
      <c r="I1878" s="36"/>
      <c r="J1878" s="36"/>
      <c r="K1878" s="36"/>
      <c r="L1878" s="36"/>
      <c r="M1878" s="36"/>
      <c r="N1878" s="36"/>
      <c r="O1878" s="36"/>
      <c r="P1878" s="36"/>
      <c r="Q1878" s="36"/>
      <c r="R1878" s="36"/>
      <c r="S1878" s="36"/>
      <c r="T1878" s="36"/>
      <c r="U1878" s="36"/>
      <c r="V1878" s="36"/>
    </row>
    <row r="1879" spans="1:22">
      <c r="A1879" s="58">
        <v>46065</v>
      </c>
      <c r="B1879" s="36" t="s">
        <v>5247</v>
      </c>
      <c r="C1879" s="36" t="s">
        <v>2693</v>
      </c>
      <c r="D1879" s="36" t="s">
        <v>89</v>
      </c>
      <c r="E1879" s="36">
        <v>86336</v>
      </c>
      <c r="F1879" s="36" t="s">
        <v>5248</v>
      </c>
      <c r="G1879" s="36" t="s">
        <v>5249</v>
      </c>
      <c r="H1879" s="36">
        <v>2055710000</v>
      </c>
      <c r="I1879" s="36" t="s">
        <v>46</v>
      </c>
      <c r="J1879" s="36" t="s">
        <v>37</v>
      </c>
      <c r="K1879" s="36" t="s">
        <v>37</v>
      </c>
      <c r="L1879" s="36" t="s">
        <v>38</v>
      </c>
      <c r="M1879" s="36" t="s">
        <v>37</v>
      </c>
      <c r="N1879" s="36" t="s">
        <v>37</v>
      </c>
      <c r="O1879" s="36" t="s">
        <v>38</v>
      </c>
      <c r="P1879" s="36" t="s">
        <v>39</v>
      </c>
      <c r="Q1879" s="58">
        <v>46066</v>
      </c>
      <c r="R1879" s="36"/>
      <c r="S1879" s="36"/>
      <c r="T1879" s="36"/>
      <c r="U1879" s="36"/>
      <c r="V1879" s="36"/>
    </row>
    <row r="1880" spans="1:22">
      <c r="A1880" s="58">
        <v>46065</v>
      </c>
      <c r="B1880" s="36" t="s">
        <v>5250</v>
      </c>
      <c r="C1880" s="36" t="s">
        <v>575</v>
      </c>
      <c r="D1880" s="36" t="s">
        <v>89</v>
      </c>
      <c r="E1880" s="36">
        <v>86336</v>
      </c>
      <c r="F1880" s="36" t="s">
        <v>5251</v>
      </c>
      <c r="G1880" s="36" t="s">
        <v>5249</v>
      </c>
      <c r="H1880" s="36">
        <v>8586855180</v>
      </c>
      <c r="I1880" s="36" t="s">
        <v>36</v>
      </c>
      <c r="J1880" s="36" t="s">
        <v>37</v>
      </c>
      <c r="K1880" s="36" t="s">
        <v>37</v>
      </c>
      <c r="L1880" s="36" t="s">
        <v>38</v>
      </c>
      <c r="M1880" s="36" t="s">
        <v>37</v>
      </c>
      <c r="N1880" s="36" t="s">
        <v>37</v>
      </c>
      <c r="O1880" s="36" t="s">
        <v>38</v>
      </c>
      <c r="P1880" s="36" t="s">
        <v>39</v>
      </c>
      <c r="Q1880" s="58">
        <v>46066</v>
      </c>
      <c r="R1880" s="36"/>
      <c r="S1880" s="36"/>
      <c r="T1880" s="36"/>
      <c r="U1880" s="36"/>
      <c r="V1880" s="36"/>
    </row>
    <row r="1881" spans="1:22">
      <c r="A1881" s="58">
        <v>46065</v>
      </c>
      <c r="B1881" s="36" t="s">
        <v>5252</v>
      </c>
      <c r="C1881" s="36" t="s">
        <v>768</v>
      </c>
      <c r="D1881" s="36" t="s">
        <v>504</v>
      </c>
      <c r="E1881" s="36">
        <v>86004</v>
      </c>
      <c r="F1881" s="36" t="s">
        <v>5253</v>
      </c>
      <c r="G1881" s="36" t="s">
        <v>5249</v>
      </c>
      <c r="H1881" s="36">
        <v>3536710738</v>
      </c>
      <c r="I1881" s="36" t="s">
        <v>73</v>
      </c>
      <c r="J1881" s="36" t="s">
        <v>37</v>
      </c>
      <c r="K1881" s="36" t="s">
        <v>37</v>
      </c>
      <c r="L1881" s="36" t="s">
        <v>38</v>
      </c>
      <c r="M1881" s="36" t="s">
        <v>37</v>
      </c>
      <c r="N1881" s="36" t="s">
        <v>37</v>
      </c>
      <c r="O1881" s="36" t="s">
        <v>38</v>
      </c>
      <c r="P1881" s="36" t="s">
        <v>39</v>
      </c>
      <c r="Q1881" s="58">
        <v>46066</v>
      </c>
      <c r="R1881" s="36"/>
      <c r="S1881" s="36"/>
      <c r="T1881" s="36"/>
      <c r="U1881" s="36"/>
      <c r="V1881" s="36"/>
    </row>
    <row r="1882" spans="1:22">
      <c r="A1882" s="58">
        <v>46065</v>
      </c>
      <c r="B1882" s="36" t="s">
        <v>5254</v>
      </c>
      <c r="C1882" s="36" t="s">
        <v>1707</v>
      </c>
      <c r="D1882" s="36" t="s">
        <v>129</v>
      </c>
      <c r="E1882" s="36">
        <v>85234</v>
      </c>
      <c r="F1882" s="36" t="s">
        <v>5255</v>
      </c>
      <c r="G1882" s="36" t="s">
        <v>5249</v>
      </c>
      <c r="H1882" s="36">
        <v>763016212</v>
      </c>
      <c r="I1882" s="36" t="s">
        <v>541</v>
      </c>
      <c r="J1882" s="36" t="s">
        <v>37</v>
      </c>
      <c r="K1882" s="36" t="s">
        <v>37</v>
      </c>
      <c r="L1882" s="36" t="s">
        <v>4079</v>
      </c>
      <c r="M1882" s="36" t="s">
        <v>37</v>
      </c>
      <c r="N1882" s="36" t="s">
        <v>37</v>
      </c>
      <c r="O1882" s="36" t="s">
        <v>38</v>
      </c>
      <c r="P1882" s="36" t="s">
        <v>39</v>
      </c>
      <c r="Q1882" s="58">
        <v>46066</v>
      </c>
      <c r="R1882" s="36"/>
      <c r="S1882" s="36"/>
      <c r="T1882" s="36"/>
      <c r="U1882" s="36"/>
      <c r="V1882" s="36"/>
    </row>
    <row r="1883" spans="1:22">
      <c r="A1883" s="58">
        <v>46065</v>
      </c>
      <c r="B1883" s="36" t="s">
        <v>5256</v>
      </c>
      <c r="C1883" s="36" t="s">
        <v>117</v>
      </c>
      <c r="D1883" s="36" t="s">
        <v>89</v>
      </c>
      <c r="E1883" s="36">
        <v>86336</v>
      </c>
      <c r="F1883" s="36" t="s">
        <v>5257</v>
      </c>
      <c r="G1883" s="36" t="s">
        <v>5249</v>
      </c>
      <c r="H1883" s="36">
        <v>3879241000</v>
      </c>
      <c r="I1883" s="36" t="s">
        <v>73</v>
      </c>
      <c r="J1883" s="36" t="s">
        <v>37</v>
      </c>
      <c r="K1883" s="36" t="s">
        <v>37</v>
      </c>
      <c r="L1883" s="36" t="s">
        <v>38</v>
      </c>
      <c r="M1883" s="36" t="s">
        <v>37</v>
      </c>
      <c r="N1883" s="36" t="s">
        <v>37</v>
      </c>
      <c r="O1883" s="36" t="s">
        <v>38</v>
      </c>
      <c r="P1883" s="36" t="s">
        <v>39</v>
      </c>
      <c r="Q1883" s="58">
        <v>46066</v>
      </c>
      <c r="R1883" s="36" t="s">
        <v>5258</v>
      </c>
      <c r="S1883" s="36"/>
      <c r="T1883" s="36"/>
      <c r="U1883" s="36"/>
      <c r="V1883" s="36"/>
    </row>
    <row r="1884" spans="1:22">
      <c r="A1884" s="58">
        <v>46065</v>
      </c>
      <c r="B1884" s="36" t="s">
        <v>5259</v>
      </c>
      <c r="C1884" s="36" t="s">
        <v>2931</v>
      </c>
      <c r="D1884" s="36" t="s">
        <v>89</v>
      </c>
      <c r="E1884" s="36">
        <v>86336</v>
      </c>
      <c r="F1884" s="36" t="s">
        <v>5260</v>
      </c>
      <c r="G1884" s="36" t="s">
        <v>5249</v>
      </c>
      <c r="H1884" s="36">
        <v>6221886781</v>
      </c>
      <c r="I1884" s="36" t="s">
        <v>4311</v>
      </c>
      <c r="J1884" s="36" t="s">
        <v>37</v>
      </c>
      <c r="K1884" s="36" t="s">
        <v>37</v>
      </c>
      <c r="L1884" s="36" t="s">
        <v>38</v>
      </c>
      <c r="M1884" s="36" t="s">
        <v>37</v>
      </c>
      <c r="N1884" s="36" t="s">
        <v>37</v>
      </c>
      <c r="O1884" s="36" t="s">
        <v>38</v>
      </c>
      <c r="P1884" s="36" t="s">
        <v>39</v>
      </c>
      <c r="Q1884" s="58">
        <v>46066</v>
      </c>
      <c r="R1884" s="36"/>
      <c r="S1884" s="36"/>
      <c r="T1884" s="36"/>
      <c r="U1884" s="36"/>
      <c r="V1884" s="36"/>
    </row>
    <row r="1885" spans="1:22">
      <c r="A1885" s="58">
        <v>46065</v>
      </c>
      <c r="B1885" s="36" t="s">
        <v>5261</v>
      </c>
      <c r="C1885" s="36"/>
      <c r="D1885" s="36"/>
      <c r="E1885" s="36"/>
      <c r="F1885" s="36" t="s">
        <v>5262</v>
      </c>
      <c r="G1885" s="36" t="s">
        <v>5263</v>
      </c>
      <c r="H1885" s="36" t="s">
        <v>5264</v>
      </c>
      <c r="I1885" s="36"/>
      <c r="J1885" s="36"/>
      <c r="K1885" s="36"/>
      <c r="L1885" s="36"/>
      <c r="M1885" s="36"/>
      <c r="N1885" s="36"/>
      <c r="O1885" s="36"/>
      <c r="P1885" s="36"/>
      <c r="Q1885" s="36"/>
      <c r="R1885" s="36"/>
      <c r="S1885" s="36"/>
      <c r="T1885" s="36"/>
      <c r="U1885" s="36"/>
      <c r="V1885" s="36"/>
    </row>
    <row r="1886" spans="1:22" s="46" customFormat="1">
      <c r="A1886" s="54">
        <v>46070</v>
      </c>
      <c r="B1886" s="55" t="s">
        <v>5030</v>
      </c>
      <c r="C1886" s="55" t="s">
        <v>217</v>
      </c>
      <c r="D1886" s="55" t="s">
        <v>30</v>
      </c>
      <c r="E1886" s="55" t="s">
        <v>30</v>
      </c>
      <c r="F1886" s="55" t="s">
        <v>5265</v>
      </c>
      <c r="G1886" s="55" t="s">
        <v>5266</v>
      </c>
      <c r="H1886" s="55">
        <v>6088988776</v>
      </c>
      <c r="I1886" s="55" t="s">
        <v>46</v>
      </c>
      <c r="J1886" s="55" t="s">
        <v>37</v>
      </c>
      <c r="K1886" s="55" t="s">
        <v>37</v>
      </c>
      <c r="L1886" s="55" t="s">
        <v>4419</v>
      </c>
      <c r="M1886" s="55" t="s">
        <v>37</v>
      </c>
      <c r="N1886" s="55" t="s">
        <v>37</v>
      </c>
      <c r="O1886" s="55" t="s">
        <v>38</v>
      </c>
      <c r="P1886" s="55" t="s">
        <v>39</v>
      </c>
      <c r="Q1886" s="54">
        <v>46077</v>
      </c>
      <c r="R1886" s="55"/>
      <c r="S1886" s="55"/>
      <c r="T1886" s="55"/>
      <c r="U1886" s="55"/>
      <c r="V1886" s="55"/>
    </row>
    <row r="1887" spans="1:22" s="46" customFormat="1">
      <c r="A1887" s="54">
        <v>46070</v>
      </c>
      <c r="B1887" s="55" t="s">
        <v>2963</v>
      </c>
      <c r="C1887" s="55" t="s">
        <v>4684</v>
      </c>
      <c r="D1887" s="55" t="s">
        <v>112</v>
      </c>
      <c r="E1887" s="55">
        <v>85374</v>
      </c>
      <c r="F1887" s="55" t="s">
        <v>5267</v>
      </c>
      <c r="G1887" s="55" t="s">
        <v>5266</v>
      </c>
      <c r="H1887" s="55">
        <v>2933051000</v>
      </c>
      <c r="I1887" s="55" t="s">
        <v>36</v>
      </c>
      <c r="J1887" s="55" t="s">
        <v>37</v>
      </c>
      <c r="K1887" s="55" t="s">
        <v>37</v>
      </c>
      <c r="L1887" s="55" t="s">
        <v>38</v>
      </c>
      <c r="M1887" s="55" t="s">
        <v>37</v>
      </c>
      <c r="N1887" s="55" t="s">
        <v>37</v>
      </c>
      <c r="O1887" s="55" t="s">
        <v>38</v>
      </c>
      <c r="P1887" s="55" t="s">
        <v>39</v>
      </c>
      <c r="Q1887" s="54">
        <v>46077</v>
      </c>
      <c r="R1887" s="55"/>
      <c r="S1887" s="55"/>
      <c r="T1887" s="55"/>
      <c r="U1887" s="55"/>
      <c r="V1887" s="55"/>
    </row>
    <row r="1888" spans="1:22" s="46" customFormat="1">
      <c r="A1888" s="54">
        <v>46070</v>
      </c>
      <c r="B1888" s="55" t="s">
        <v>4084</v>
      </c>
      <c r="C1888" s="55" t="s">
        <v>4321</v>
      </c>
      <c r="D1888" s="55" t="s">
        <v>63</v>
      </c>
      <c r="E1888" s="55">
        <v>85029</v>
      </c>
      <c r="F1888" s="55" t="s">
        <v>5268</v>
      </c>
      <c r="G1888" s="55" t="s">
        <v>5269</v>
      </c>
      <c r="H1888" s="55">
        <v>9989951000</v>
      </c>
      <c r="I1888" s="55" t="s">
        <v>46</v>
      </c>
      <c r="J1888" s="55" t="s">
        <v>37</v>
      </c>
      <c r="K1888" s="55" t="s">
        <v>37</v>
      </c>
      <c r="L1888" s="55" t="s">
        <v>5270</v>
      </c>
      <c r="M1888" s="55" t="s">
        <v>37</v>
      </c>
      <c r="N1888" s="55" t="s">
        <v>37</v>
      </c>
      <c r="O1888" s="55" t="s">
        <v>38</v>
      </c>
      <c r="P1888" s="55" t="s">
        <v>39</v>
      </c>
      <c r="Q1888" s="54">
        <v>46077</v>
      </c>
      <c r="R1888" s="55"/>
      <c r="S1888" s="55"/>
      <c r="T1888" s="55"/>
      <c r="U1888" s="55"/>
      <c r="V1888" s="55"/>
    </row>
    <row r="1889" spans="1:22" s="46" customFormat="1">
      <c r="A1889" s="54">
        <v>46070</v>
      </c>
      <c r="B1889" s="55" t="s">
        <v>5271</v>
      </c>
      <c r="C1889" s="55" t="s">
        <v>5272</v>
      </c>
      <c r="D1889" s="55" t="s">
        <v>24</v>
      </c>
      <c r="E1889" s="55">
        <v>85303</v>
      </c>
      <c r="F1889" s="55" t="s">
        <v>5273</v>
      </c>
      <c r="G1889" s="55" t="s">
        <v>5269</v>
      </c>
      <c r="H1889" s="55" t="s">
        <v>27</v>
      </c>
      <c r="I1889" s="55"/>
      <c r="J1889" s="55"/>
      <c r="K1889" s="55"/>
      <c r="L1889" s="55"/>
      <c r="M1889" s="55"/>
      <c r="N1889" s="55"/>
      <c r="O1889" s="55"/>
      <c r="P1889" s="55"/>
      <c r="Q1889" s="55"/>
      <c r="R1889" s="55"/>
      <c r="S1889" s="55"/>
      <c r="T1889" s="55"/>
      <c r="U1889" s="55"/>
      <c r="V1889" s="55"/>
    </row>
    <row r="1890" spans="1:22" s="46" customFormat="1">
      <c r="A1890" s="54">
        <v>46070</v>
      </c>
      <c r="B1890" s="55" t="s">
        <v>5274</v>
      </c>
      <c r="C1890" s="55" t="s">
        <v>777</v>
      </c>
      <c r="D1890" s="55" t="s">
        <v>3538</v>
      </c>
      <c r="E1890" s="55">
        <v>85742</v>
      </c>
      <c r="F1890" s="55" t="s">
        <v>5275</v>
      </c>
      <c r="G1890" s="55" t="s">
        <v>5269</v>
      </c>
      <c r="H1890" s="55" t="s">
        <v>27</v>
      </c>
      <c r="I1890" s="55"/>
      <c r="J1890" s="55"/>
      <c r="K1890" s="55"/>
      <c r="L1890" s="55"/>
      <c r="M1890" s="55"/>
      <c r="N1890" s="55"/>
      <c r="O1890" s="55"/>
      <c r="P1890" s="55"/>
      <c r="Q1890" s="55"/>
      <c r="R1890" s="55"/>
      <c r="S1890" s="55"/>
      <c r="T1890" s="55"/>
      <c r="U1890" s="55"/>
      <c r="V1890" s="55"/>
    </row>
    <row r="1891" spans="1:22" s="46" customFormat="1">
      <c r="A1891" s="54">
        <v>46070</v>
      </c>
      <c r="B1891" s="55" t="s">
        <v>5276</v>
      </c>
      <c r="C1891" s="55" t="s">
        <v>5277</v>
      </c>
      <c r="D1891" s="55" t="s">
        <v>112</v>
      </c>
      <c r="E1891" s="55">
        <v>85374</v>
      </c>
      <c r="F1891" s="55" t="s">
        <v>5278</v>
      </c>
      <c r="G1891" s="55" t="s">
        <v>5269</v>
      </c>
      <c r="H1891" s="55">
        <v>7244159793</v>
      </c>
      <c r="I1891" s="55" t="s">
        <v>46</v>
      </c>
      <c r="J1891" s="55" t="s">
        <v>37</v>
      </c>
      <c r="K1891" s="55" t="s">
        <v>38</v>
      </c>
      <c r="L1891" s="55" t="s">
        <v>38</v>
      </c>
      <c r="M1891" s="55" t="s">
        <v>37</v>
      </c>
      <c r="N1891" s="55" t="s">
        <v>37</v>
      </c>
      <c r="O1891" s="55" t="s">
        <v>38</v>
      </c>
      <c r="P1891" s="55" t="s">
        <v>39</v>
      </c>
      <c r="Q1891" s="54">
        <v>46077</v>
      </c>
      <c r="R1891" s="55"/>
      <c r="S1891" s="55"/>
      <c r="T1891" s="55"/>
      <c r="U1891" s="55"/>
      <c r="V1891" s="55"/>
    </row>
    <row r="1892" spans="1:22" s="46" customFormat="1">
      <c r="A1892" s="54">
        <v>46070</v>
      </c>
      <c r="B1892" s="55" t="s">
        <v>5279</v>
      </c>
      <c r="C1892" s="55" t="s">
        <v>481</v>
      </c>
      <c r="D1892" s="55" t="s">
        <v>504</v>
      </c>
      <c r="E1892" s="55">
        <v>86001</v>
      </c>
      <c r="F1892" s="55" t="s">
        <v>5280</v>
      </c>
      <c r="G1892" s="55" t="s">
        <v>5269</v>
      </c>
      <c r="H1892" s="55">
        <v>637500000</v>
      </c>
      <c r="I1892" s="55" t="s">
        <v>250</v>
      </c>
      <c r="J1892" s="55" t="s">
        <v>37</v>
      </c>
      <c r="K1892" s="55" t="s">
        <v>37</v>
      </c>
      <c r="L1892" s="55" t="s">
        <v>38</v>
      </c>
      <c r="M1892" s="55" t="s">
        <v>37</v>
      </c>
      <c r="N1892" s="55" t="s">
        <v>37</v>
      </c>
      <c r="O1892" s="55" t="s">
        <v>38</v>
      </c>
      <c r="P1892" s="55" t="s">
        <v>39</v>
      </c>
      <c r="Q1892" s="54">
        <v>46077</v>
      </c>
      <c r="R1892" s="55"/>
      <c r="S1892" s="55"/>
      <c r="T1892" s="55"/>
      <c r="U1892" s="55"/>
      <c r="V1892" s="55"/>
    </row>
    <row r="1893" spans="1:22" s="46" customFormat="1">
      <c r="A1893" s="54">
        <v>46070</v>
      </c>
      <c r="B1893" s="55" t="s">
        <v>5281</v>
      </c>
      <c r="C1893" s="55" t="s">
        <v>1806</v>
      </c>
      <c r="D1893" s="55" t="s">
        <v>63</v>
      </c>
      <c r="E1893" s="55">
        <v>85029</v>
      </c>
      <c r="F1893" s="55" t="s">
        <v>5282</v>
      </c>
      <c r="G1893" s="55" t="s">
        <v>5269</v>
      </c>
      <c r="H1893" s="55" t="s">
        <v>27</v>
      </c>
      <c r="I1893" s="55"/>
      <c r="J1893" s="55"/>
      <c r="K1893" s="55"/>
      <c r="L1893" s="55"/>
      <c r="M1893" s="55"/>
      <c r="N1893" s="55"/>
      <c r="O1893" s="55"/>
      <c r="P1893" s="55"/>
      <c r="Q1893" s="55"/>
      <c r="R1893" s="55"/>
      <c r="S1893" s="55"/>
      <c r="T1893" s="55"/>
      <c r="U1893" s="55"/>
      <c r="V1893" s="55"/>
    </row>
    <row r="1894" spans="1:22" s="46" customFormat="1">
      <c r="A1894" s="54">
        <v>46070</v>
      </c>
      <c r="B1894" s="55" t="s">
        <v>686</v>
      </c>
      <c r="C1894" s="55" t="s">
        <v>153</v>
      </c>
      <c r="D1894" s="55" t="s">
        <v>24</v>
      </c>
      <c r="E1894" s="55">
        <v>85308</v>
      </c>
      <c r="F1894" s="55" t="s">
        <v>5283</v>
      </c>
      <c r="G1894" s="55" t="s">
        <v>5269</v>
      </c>
      <c r="H1894" s="55">
        <v>2586710000</v>
      </c>
      <c r="I1894" s="55" t="s">
        <v>3887</v>
      </c>
      <c r="J1894" s="55" t="s">
        <v>37</v>
      </c>
      <c r="K1894" s="55" t="s">
        <v>37</v>
      </c>
      <c r="L1894" s="55" t="s">
        <v>4079</v>
      </c>
      <c r="M1894" s="55" t="s">
        <v>37</v>
      </c>
      <c r="N1894" s="55" t="s">
        <v>37</v>
      </c>
      <c r="O1894" s="55" t="s">
        <v>38</v>
      </c>
      <c r="P1894" s="55" t="s">
        <v>39</v>
      </c>
      <c r="Q1894" s="54">
        <v>46077</v>
      </c>
      <c r="R1894" s="55"/>
      <c r="S1894" s="55"/>
      <c r="T1894" s="55"/>
      <c r="U1894" s="55"/>
      <c r="V1894" s="55"/>
    </row>
    <row r="1895" spans="1:22" s="46" customFormat="1">
      <c r="A1895" s="54">
        <v>46070</v>
      </c>
      <c r="B1895" s="55" t="s">
        <v>5284</v>
      </c>
      <c r="C1895" s="55" t="s">
        <v>5285</v>
      </c>
      <c r="D1895" s="55" t="s">
        <v>539</v>
      </c>
      <c r="E1895" s="55">
        <v>85122</v>
      </c>
      <c r="F1895" s="55" t="s">
        <v>5286</v>
      </c>
      <c r="G1895" s="55" t="s">
        <v>5269</v>
      </c>
      <c r="H1895" s="55">
        <v>3369131000</v>
      </c>
      <c r="I1895" s="55" t="s">
        <v>4311</v>
      </c>
      <c r="J1895" s="55" t="s">
        <v>37</v>
      </c>
      <c r="K1895" s="55" t="s">
        <v>37</v>
      </c>
      <c r="L1895" s="55" t="s">
        <v>38</v>
      </c>
      <c r="M1895" s="55" t="s">
        <v>37</v>
      </c>
      <c r="N1895" s="55" t="s">
        <v>37</v>
      </c>
      <c r="O1895" s="55" t="s">
        <v>38</v>
      </c>
      <c r="P1895" s="55" t="s">
        <v>39</v>
      </c>
      <c r="Q1895" s="54">
        <v>46077</v>
      </c>
      <c r="R1895" s="55"/>
      <c r="S1895" s="55"/>
      <c r="T1895" s="55"/>
      <c r="U1895" s="55"/>
      <c r="V1895" s="55"/>
    </row>
    <row r="1896" spans="1:22" s="46" customFormat="1">
      <c r="A1896" s="54">
        <v>46070</v>
      </c>
      <c r="B1896" s="55" t="s">
        <v>4617</v>
      </c>
      <c r="C1896" s="55" t="s">
        <v>312</v>
      </c>
      <c r="D1896" s="55" t="s">
        <v>63</v>
      </c>
      <c r="E1896" s="55">
        <v>85021</v>
      </c>
      <c r="F1896" s="55" t="s">
        <v>5287</v>
      </c>
      <c r="G1896" s="55" t="s">
        <v>5269</v>
      </c>
      <c r="H1896" s="55">
        <v>7243260797</v>
      </c>
      <c r="I1896" s="55" t="s">
        <v>4311</v>
      </c>
      <c r="J1896" s="55" t="s">
        <v>37</v>
      </c>
      <c r="K1896" s="55" t="s">
        <v>37</v>
      </c>
      <c r="L1896" s="55" t="s">
        <v>38</v>
      </c>
      <c r="M1896" s="55" t="s">
        <v>37</v>
      </c>
      <c r="N1896" s="55" t="s">
        <v>37</v>
      </c>
      <c r="O1896" s="55" t="s">
        <v>38</v>
      </c>
      <c r="P1896" s="55" t="s">
        <v>39</v>
      </c>
      <c r="Q1896" s="54">
        <v>46077</v>
      </c>
      <c r="R1896" s="55"/>
      <c r="S1896" s="55"/>
      <c r="T1896" s="55"/>
      <c r="U1896" s="55"/>
      <c r="V1896" s="55"/>
    </row>
    <row r="1897" spans="1:22" s="46" customFormat="1">
      <c r="A1897" s="54">
        <v>46070</v>
      </c>
      <c r="B1897" s="55" t="s">
        <v>5288</v>
      </c>
      <c r="C1897" s="55" t="s">
        <v>177</v>
      </c>
      <c r="D1897" s="55" t="s">
        <v>63</v>
      </c>
      <c r="E1897" s="55">
        <v>85014</v>
      </c>
      <c r="F1897" s="55" t="s">
        <v>5289</v>
      </c>
      <c r="G1897" s="55" t="s">
        <v>5269</v>
      </c>
      <c r="H1897" s="55" t="s">
        <v>27</v>
      </c>
      <c r="I1897" s="55"/>
      <c r="J1897" s="55"/>
      <c r="K1897" s="55"/>
      <c r="L1897" s="55"/>
      <c r="M1897" s="55"/>
      <c r="N1897" s="55"/>
      <c r="O1897" s="55"/>
      <c r="P1897" s="55"/>
      <c r="Q1897" s="55"/>
      <c r="R1897" s="55"/>
      <c r="S1897" s="55"/>
      <c r="T1897" s="55"/>
      <c r="U1897" s="55"/>
      <c r="V1897" s="55"/>
    </row>
    <row r="1898" spans="1:22" s="46" customFormat="1">
      <c r="A1898" s="54">
        <v>46070</v>
      </c>
      <c r="B1898" s="55" t="s">
        <v>5290</v>
      </c>
      <c r="C1898" s="55" t="s">
        <v>5291</v>
      </c>
      <c r="D1898" s="55" t="s">
        <v>3838</v>
      </c>
      <c r="E1898" s="55">
        <v>85354</v>
      </c>
      <c r="F1898" s="55" t="s">
        <v>5292</v>
      </c>
      <c r="G1898" s="55" t="s">
        <v>5269</v>
      </c>
      <c r="H1898" s="55">
        <v>4086961885</v>
      </c>
      <c r="I1898" s="55" t="s">
        <v>46</v>
      </c>
      <c r="J1898" s="55" t="s">
        <v>37</v>
      </c>
      <c r="K1898" s="55" t="s">
        <v>37</v>
      </c>
      <c r="L1898" s="55" t="s">
        <v>38</v>
      </c>
      <c r="M1898" s="55" t="s">
        <v>37</v>
      </c>
      <c r="N1898" s="55" t="s">
        <v>37</v>
      </c>
      <c r="O1898" s="55" t="s">
        <v>38</v>
      </c>
      <c r="P1898" s="55" t="s">
        <v>39</v>
      </c>
      <c r="Q1898" s="54">
        <v>45712</v>
      </c>
      <c r="R1898" s="55"/>
      <c r="S1898" s="55"/>
      <c r="T1898" s="55"/>
      <c r="U1898" s="55"/>
      <c r="V1898" s="55"/>
    </row>
    <row r="1899" spans="1:22" s="46" customFormat="1">
      <c r="A1899" s="54">
        <v>46070</v>
      </c>
      <c r="B1899" s="55" t="s">
        <v>5293</v>
      </c>
      <c r="C1899" s="55" t="s">
        <v>481</v>
      </c>
      <c r="D1899" s="55" t="s">
        <v>63</v>
      </c>
      <c r="E1899" s="55">
        <v>85020</v>
      </c>
      <c r="F1899" s="55" t="s">
        <v>5294</v>
      </c>
      <c r="G1899" s="55" t="s">
        <v>5269</v>
      </c>
      <c r="H1899" s="55">
        <v>7553261000</v>
      </c>
      <c r="I1899" s="55" t="s">
        <v>46</v>
      </c>
      <c r="J1899" s="55" t="s">
        <v>37</v>
      </c>
      <c r="K1899" s="55" t="s">
        <v>37</v>
      </c>
      <c r="L1899" s="55" t="s">
        <v>5295</v>
      </c>
      <c r="M1899" s="55" t="s">
        <v>37</v>
      </c>
      <c r="N1899" s="55" t="s">
        <v>37</v>
      </c>
      <c r="O1899" s="55" t="s">
        <v>38</v>
      </c>
      <c r="P1899" s="55" t="s">
        <v>39</v>
      </c>
      <c r="Q1899" s="54">
        <v>45712</v>
      </c>
      <c r="R1899" s="55"/>
      <c r="S1899" s="55"/>
      <c r="T1899" s="55"/>
      <c r="U1899" s="55"/>
      <c r="V1899" s="55"/>
    </row>
    <row r="1900" spans="1:22" s="46" customFormat="1">
      <c r="A1900" s="54">
        <v>46070</v>
      </c>
      <c r="B1900" s="55" t="s">
        <v>5296</v>
      </c>
      <c r="C1900" s="55" t="s">
        <v>2380</v>
      </c>
      <c r="D1900" s="55" t="s">
        <v>5297</v>
      </c>
      <c r="E1900" s="55">
        <v>86001</v>
      </c>
      <c r="F1900" s="55" t="s">
        <v>5298</v>
      </c>
      <c r="G1900" s="55" t="s">
        <v>5269</v>
      </c>
      <c r="H1900" s="55" t="s">
        <v>27</v>
      </c>
      <c r="I1900" s="55"/>
      <c r="J1900" s="55"/>
      <c r="K1900" s="55"/>
      <c r="L1900" s="55"/>
      <c r="M1900" s="55"/>
      <c r="N1900" s="55"/>
      <c r="O1900" s="55"/>
      <c r="P1900" s="55"/>
      <c r="Q1900" s="55"/>
      <c r="R1900" s="55"/>
      <c r="S1900" s="55"/>
      <c r="T1900" s="55"/>
      <c r="U1900" s="55"/>
      <c r="V1900" s="55"/>
    </row>
    <row r="1901" spans="1:22" s="46" customFormat="1">
      <c r="A1901" s="56">
        <v>46070</v>
      </c>
      <c r="B1901" s="57" t="s">
        <v>5299</v>
      </c>
      <c r="C1901" s="57" t="s">
        <v>2706</v>
      </c>
      <c r="D1901" s="57" t="s">
        <v>504</v>
      </c>
      <c r="E1901" s="57">
        <v>86004</v>
      </c>
      <c r="F1901" s="57" t="s">
        <v>5300</v>
      </c>
      <c r="G1901" s="57" t="s">
        <v>5269</v>
      </c>
      <c r="H1901" s="57">
        <v>4408511000</v>
      </c>
      <c r="I1901" s="57" t="s">
        <v>73</v>
      </c>
      <c r="J1901" s="57" t="s">
        <v>37</v>
      </c>
      <c r="K1901" s="57" t="s">
        <v>37</v>
      </c>
      <c r="L1901" s="57" t="s">
        <v>5301</v>
      </c>
      <c r="M1901" s="57" t="s">
        <v>37</v>
      </c>
      <c r="N1901" s="57" t="s">
        <v>37</v>
      </c>
      <c r="O1901" s="57" t="s">
        <v>38</v>
      </c>
      <c r="P1901" s="57"/>
      <c r="Q1901" s="56">
        <v>46077</v>
      </c>
      <c r="R1901" s="57" t="s">
        <v>4004</v>
      </c>
      <c r="S1901" s="57"/>
      <c r="T1901" s="57"/>
      <c r="U1901" s="57"/>
      <c r="V1901" s="57"/>
    </row>
    <row r="1902" spans="1:22" s="46" customFormat="1">
      <c r="A1902" s="54">
        <v>46070</v>
      </c>
      <c r="B1902" s="55" t="s">
        <v>2096</v>
      </c>
      <c r="C1902" s="55" t="s">
        <v>2125</v>
      </c>
      <c r="D1902" s="55" t="s">
        <v>5302</v>
      </c>
      <c r="E1902" s="55">
        <v>86005</v>
      </c>
      <c r="F1902" s="55" t="s">
        <v>5303</v>
      </c>
      <c r="G1902" s="55" t="s">
        <v>5269</v>
      </c>
      <c r="H1902" s="55" t="s">
        <v>27</v>
      </c>
      <c r="I1902" s="55"/>
      <c r="J1902" s="55"/>
      <c r="K1902" s="55"/>
      <c r="L1902" s="55"/>
      <c r="M1902" s="55"/>
      <c r="N1902" s="55"/>
      <c r="O1902" s="55"/>
      <c r="P1902" s="55"/>
      <c r="Q1902" s="55"/>
      <c r="R1902" s="55"/>
      <c r="S1902" s="55"/>
      <c r="T1902" s="55"/>
      <c r="U1902" s="55"/>
      <c r="V1902" s="55"/>
    </row>
    <row r="1903" spans="1:22" s="46" customFormat="1">
      <c r="A1903" s="54">
        <v>46070</v>
      </c>
      <c r="B1903" s="55" t="s">
        <v>5304</v>
      </c>
      <c r="C1903" s="55" t="s">
        <v>291</v>
      </c>
      <c r="D1903" s="55" t="s">
        <v>504</v>
      </c>
      <c r="E1903" s="55">
        <v>86004</v>
      </c>
      <c r="F1903" s="55" t="s">
        <v>5305</v>
      </c>
      <c r="G1903" s="55" t="s">
        <v>5269</v>
      </c>
      <c r="H1903" s="55">
        <v>2127440000</v>
      </c>
      <c r="I1903" s="55" t="s">
        <v>73</v>
      </c>
      <c r="J1903" s="55" t="s">
        <v>37</v>
      </c>
      <c r="K1903" s="55" t="s">
        <v>37</v>
      </c>
      <c r="L1903" s="55" t="s">
        <v>38</v>
      </c>
      <c r="M1903" s="55" t="s">
        <v>37</v>
      </c>
      <c r="N1903" s="55" t="s">
        <v>37</v>
      </c>
      <c r="O1903" s="55" t="s">
        <v>38</v>
      </c>
      <c r="P1903" s="55" t="s">
        <v>39</v>
      </c>
      <c r="Q1903" s="54">
        <v>46077</v>
      </c>
      <c r="R1903" s="55"/>
      <c r="S1903" s="55"/>
      <c r="T1903" s="55"/>
      <c r="U1903" s="55"/>
      <c r="V1903" s="55"/>
    </row>
    <row r="1904" spans="1:22" s="46" customFormat="1">
      <c r="A1904" s="54">
        <v>46070</v>
      </c>
      <c r="B1904" s="55" t="s">
        <v>2594</v>
      </c>
      <c r="C1904" s="55" t="s">
        <v>3506</v>
      </c>
      <c r="D1904" s="55" t="s">
        <v>1583</v>
      </c>
      <c r="E1904" s="55">
        <v>86046</v>
      </c>
      <c r="F1904" s="55" t="s">
        <v>5306</v>
      </c>
      <c r="G1904" s="55" t="s">
        <v>5269</v>
      </c>
      <c r="H1904" s="55">
        <v>7215060777</v>
      </c>
      <c r="I1904" s="55" t="s">
        <v>36</v>
      </c>
      <c r="J1904" s="55" t="s">
        <v>37</v>
      </c>
      <c r="K1904" s="55" t="s">
        <v>37</v>
      </c>
      <c r="L1904" s="55" t="s">
        <v>38</v>
      </c>
      <c r="M1904" s="55" t="s">
        <v>37</v>
      </c>
      <c r="N1904" s="55" t="s">
        <v>37</v>
      </c>
      <c r="O1904" s="55" t="s">
        <v>38</v>
      </c>
      <c r="P1904" s="55" t="s">
        <v>39</v>
      </c>
      <c r="Q1904" s="54">
        <v>46077</v>
      </c>
      <c r="R1904" s="55"/>
      <c r="S1904" s="55"/>
      <c r="T1904" s="55"/>
      <c r="U1904" s="55"/>
      <c r="V1904" s="55"/>
    </row>
    <row r="1905" spans="1:22" s="46" customFormat="1">
      <c r="A1905" s="54">
        <v>46070</v>
      </c>
      <c r="B1905" s="55" t="s">
        <v>5307</v>
      </c>
      <c r="C1905" s="55" t="s">
        <v>4459</v>
      </c>
      <c r="D1905" s="55" t="s">
        <v>504</v>
      </c>
      <c r="E1905" s="55">
        <v>86004</v>
      </c>
      <c r="F1905" s="55" t="s">
        <v>5308</v>
      </c>
      <c r="G1905" s="55" t="s">
        <v>5269</v>
      </c>
      <c r="H1905" s="55" t="s">
        <v>90</v>
      </c>
      <c r="I1905" s="55"/>
      <c r="J1905" s="55"/>
      <c r="K1905" s="55"/>
      <c r="L1905" s="55"/>
      <c r="M1905" s="55"/>
      <c r="N1905" s="55"/>
      <c r="O1905" s="55"/>
      <c r="P1905" s="55"/>
      <c r="Q1905" s="55"/>
      <c r="R1905" s="55"/>
      <c r="S1905" s="55"/>
      <c r="T1905" s="55"/>
      <c r="U1905" s="55"/>
      <c r="V1905" s="55"/>
    </row>
    <row r="1906" spans="1:22" s="46" customFormat="1">
      <c r="A1906" s="54">
        <v>46070</v>
      </c>
      <c r="B1906" s="55" t="s">
        <v>5309</v>
      </c>
      <c r="C1906" s="55" t="s">
        <v>5310</v>
      </c>
      <c r="D1906" s="55" t="s">
        <v>504</v>
      </c>
      <c r="E1906" s="55">
        <v>86004</v>
      </c>
      <c r="F1906" s="55" t="s">
        <v>5311</v>
      </c>
      <c r="G1906" s="55" t="s">
        <v>5269</v>
      </c>
      <c r="H1906" s="55">
        <v>3924500000</v>
      </c>
      <c r="I1906" s="55" t="s">
        <v>3919</v>
      </c>
      <c r="J1906" s="55" t="s">
        <v>37</v>
      </c>
      <c r="K1906" s="55" t="s">
        <v>37</v>
      </c>
      <c r="L1906" s="55" t="s">
        <v>4079</v>
      </c>
      <c r="M1906" s="55" t="s">
        <v>37</v>
      </c>
      <c r="N1906" s="55" t="s">
        <v>37</v>
      </c>
      <c r="O1906" s="55" t="s">
        <v>38</v>
      </c>
      <c r="P1906" s="55" t="s">
        <v>39</v>
      </c>
      <c r="Q1906" s="54">
        <v>46077</v>
      </c>
      <c r="R1906" s="55"/>
      <c r="S1906" s="55"/>
      <c r="T1906" s="55"/>
      <c r="U1906" s="55"/>
      <c r="V1906" s="55"/>
    </row>
    <row r="1907" spans="1:22" s="46" customFormat="1">
      <c r="A1907" s="54">
        <v>46070</v>
      </c>
      <c r="B1907" s="55" t="s">
        <v>5312</v>
      </c>
      <c r="C1907" s="55" t="s">
        <v>4737</v>
      </c>
      <c r="D1907" s="55" t="s">
        <v>202</v>
      </c>
      <c r="E1907" s="55">
        <v>85383</v>
      </c>
      <c r="F1907" s="55" t="s">
        <v>5313</v>
      </c>
      <c r="G1907" s="55" t="s">
        <v>5269</v>
      </c>
      <c r="H1907" s="55">
        <v>9914120000</v>
      </c>
      <c r="I1907" s="55" t="s">
        <v>36</v>
      </c>
      <c r="J1907" s="55" t="s">
        <v>37</v>
      </c>
      <c r="K1907" s="55" t="s">
        <v>37</v>
      </c>
      <c r="L1907" s="55" t="s">
        <v>38</v>
      </c>
      <c r="M1907" s="55" t="s">
        <v>37</v>
      </c>
      <c r="N1907" s="55" t="s">
        <v>37</v>
      </c>
      <c r="O1907" s="55" t="s">
        <v>38</v>
      </c>
      <c r="P1907" s="55" t="s">
        <v>39</v>
      </c>
      <c r="Q1907" s="54">
        <v>46077</v>
      </c>
      <c r="R1907" s="55"/>
      <c r="S1907" s="55"/>
      <c r="T1907" s="55"/>
      <c r="U1907" s="55"/>
      <c r="V1907" s="55"/>
    </row>
    <row r="1908" spans="1:22" s="46" customFormat="1">
      <c r="A1908" s="54">
        <v>46070</v>
      </c>
      <c r="B1908" s="55" t="s">
        <v>5314</v>
      </c>
      <c r="C1908" s="55" t="s">
        <v>5315</v>
      </c>
      <c r="D1908" s="55" t="s">
        <v>89</v>
      </c>
      <c r="E1908" s="55">
        <v>86336</v>
      </c>
      <c r="F1908" s="55" t="s">
        <v>5316</v>
      </c>
      <c r="G1908" s="55" t="s">
        <v>5269</v>
      </c>
      <c r="H1908" s="55" t="s">
        <v>27</v>
      </c>
      <c r="I1908" s="55"/>
      <c r="J1908" s="55"/>
      <c r="K1908" s="55"/>
      <c r="L1908" s="55"/>
      <c r="M1908" s="55"/>
      <c r="N1908" s="55"/>
      <c r="O1908" s="55"/>
      <c r="P1908" s="55"/>
      <c r="Q1908" s="55"/>
      <c r="R1908" s="55"/>
      <c r="S1908" s="55"/>
      <c r="T1908" s="55"/>
      <c r="U1908" s="55"/>
      <c r="V1908" s="55"/>
    </row>
    <row r="1909" spans="1:22" s="46" customFormat="1">
      <c r="A1909" s="56">
        <v>46070</v>
      </c>
      <c r="B1909" s="57" t="s">
        <v>2046</v>
      </c>
      <c r="C1909" s="57" t="s">
        <v>3880</v>
      </c>
      <c r="D1909" s="57" t="s">
        <v>504</v>
      </c>
      <c r="E1909" s="57">
        <v>86004</v>
      </c>
      <c r="F1909" s="57" t="s">
        <v>5317</v>
      </c>
      <c r="G1909" s="57" t="s">
        <v>5269</v>
      </c>
      <c r="H1909" s="57">
        <v>4206800000</v>
      </c>
      <c r="I1909" s="57" t="s">
        <v>126</v>
      </c>
      <c r="J1909" s="57" t="s">
        <v>37</v>
      </c>
      <c r="K1909" s="57" t="s">
        <v>37</v>
      </c>
      <c r="L1909" s="57" t="s">
        <v>5318</v>
      </c>
      <c r="M1909" s="57" t="s">
        <v>37</v>
      </c>
      <c r="N1909" s="57" t="s">
        <v>37</v>
      </c>
      <c r="O1909" s="57" t="s">
        <v>38</v>
      </c>
      <c r="P1909" s="57"/>
      <c r="Q1909" s="57"/>
      <c r="R1909" s="57" t="s">
        <v>4004</v>
      </c>
      <c r="S1909" s="57"/>
      <c r="T1909" s="57"/>
      <c r="U1909" s="57"/>
      <c r="V1909" s="57"/>
    </row>
    <row r="1910" spans="1:22" s="46" customFormat="1">
      <c r="A1910" s="54">
        <v>46070</v>
      </c>
      <c r="B1910" s="55" t="s">
        <v>3002</v>
      </c>
      <c r="C1910" s="55" t="s">
        <v>1707</v>
      </c>
      <c r="D1910" s="55" t="s">
        <v>63</v>
      </c>
      <c r="E1910" s="55">
        <v>85012</v>
      </c>
      <c r="F1910" s="55" t="s">
        <v>5319</v>
      </c>
      <c r="G1910" s="55" t="s">
        <v>5269</v>
      </c>
      <c r="H1910" s="55">
        <v>1654610000</v>
      </c>
      <c r="I1910" s="55" t="s">
        <v>250</v>
      </c>
      <c r="J1910" s="55" t="s">
        <v>37</v>
      </c>
      <c r="K1910" s="55" t="s">
        <v>37</v>
      </c>
      <c r="L1910" s="55" t="s">
        <v>38</v>
      </c>
      <c r="M1910" s="55" t="s">
        <v>37</v>
      </c>
      <c r="N1910" s="55" t="s">
        <v>37</v>
      </c>
      <c r="O1910" s="55" t="s">
        <v>38</v>
      </c>
      <c r="P1910" s="55" t="s">
        <v>39</v>
      </c>
      <c r="Q1910" s="54">
        <v>46077</v>
      </c>
      <c r="R1910" s="55"/>
      <c r="S1910" s="55"/>
      <c r="T1910" s="55"/>
      <c r="U1910" s="55"/>
      <c r="V1910" s="55"/>
    </row>
    <row r="1911" spans="1:22" s="46" customFormat="1">
      <c r="A1911" s="54">
        <v>46070</v>
      </c>
      <c r="B1911" s="55" t="s">
        <v>1031</v>
      </c>
      <c r="C1911" s="55" t="s">
        <v>1310</v>
      </c>
      <c r="D1911" s="55" t="s">
        <v>89</v>
      </c>
      <c r="E1911" s="55">
        <v>86336</v>
      </c>
      <c r="F1911" s="55" t="s">
        <v>5320</v>
      </c>
      <c r="G1911" s="55" t="s">
        <v>5269</v>
      </c>
      <c r="H1911" s="55" t="s">
        <v>90</v>
      </c>
      <c r="I1911" s="55"/>
      <c r="J1911" s="55"/>
      <c r="K1911" s="55"/>
      <c r="L1911" s="55"/>
      <c r="M1911" s="55"/>
      <c r="N1911" s="55"/>
      <c r="O1911" s="55"/>
      <c r="P1911" s="55"/>
      <c r="Q1911" s="55"/>
      <c r="R1911" s="55"/>
      <c r="S1911" s="55"/>
      <c r="T1911" s="55"/>
      <c r="U1911" s="55"/>
      <c r="V1911" s="55"/>
    </row>
    <row r="1912" spans="1:22" s="46" customFormat="1">
      <c r="A1912" s="56">
        <v>46070</v>
      </c>
      <c r="B1912" s="57" t="s">
        <v>2046</v>
      </c>
      <c r="C1912" s="57" t="s">
        <v>2273</v>
      </c>
      <c r="D1912" s="57" t="s">
        <v>504</v>
      </c>
      <c r="E1912" s="57">
        <v>86004</v>
      </c>
      <c r="F1912" s="57" t="s">
        <v>5321</v>
      </c>
      <c r="G1912" s="57" t="s">
        <v>5269</v>
      </c>
      <c r="H1912" s="57">
        <v>8374031000</v>
      </c>
      <c r="I1912" s="57" t="s">
        <v>57</v>
      </c>
      <c r="J1912" s="57" t="s">
        <v>37</v>
      </c>
      <c r="K1912" s="57" t="s">
        <v>37</v>
      </c>
      <c r="L1912" s="57" t="s">
        <v>5322</v>
      </c>
      <c r="M1912" s="57" t="s">
        <v>37</v>
      </c>
      <c r="N1912" s="57" t="s">
        <v>37</v>
      </c>
      <c r="O1912" s="57" t="s">
        <v>38</v>
      </c>
      <c r="P1912" s="57"/>
      <c r="Q1912" s="56">
        <v>46077</v>
      </c>
      <c r="R1912" s="57" t="s">
        <v>4004</v>
      </c>
      <c r="S1912" s="57"/>
      <c r="T1912" s="57"/>
      <c r="U1912" s="57"/>
      <c r="V1912" s="57"/>
    </row>
    <row r="1913" spans="1:22" s="46" customFormat="1">
      <c r="A1913" s="54">
        <v>46070</v>
      </c>
      <c r="B1913" s="55" t="s">
        <v>5323</v>
      </c>
      <c r="C1913" s="55"/>
      <c r="D1913" s="55" t="s">
        <v>698</v>
      </c>
      <c r="E1913" s="55">
        <v>85375</v>
      </c>
      <c r="F1913" s="55" t="s">
        <v>5324</v>
      </c>
      <c r="G1913" s="55" t="s">
        <v>5325</v>
      </c>
      <c r="H1913" s="55"/>
      <c r="I1913" s="55"/>
      <c r="J1913" s="55"/>
      <c r="K1913" s="55"/>
      <c r="L1913" s="55"/>
      <c r="M1913" s="55"/>
      <c r="N1913" s="55"/>
      <c r="O1913" s="55"/>
      <c r="P1913" s="55"/>
      <c r="Q1913" s="55"/>
      <c r="R1913" s="55"/>
      <c r="S1913" s="55"/>
      <c r="T1913" s="55"/>
      <c r="U1913" s="55"/>
      <c r="V1913" s="55"/>
    </row>
    <row r="1914" spans="1:22" s="46" customFormat="1">
      <c r="A1914" s="54">
        <v>46071</v>
      </c>
      <c r="B1914" s="55" t="s">
        <v>5326</v>
      </c>
      <c r="C1914" s="55" t="s">
        <v>5327</v>
      </c>
      <c r="D1914" s="55" t="s">
        <v>24</v>
      </c>
      <c r="E1914" s="55">
        <v>85301</v>
      </c>
      <c r="F1914" s="55" t="s">
        <v>5328</v>
      </c>
      <c r="G1914" s="55" t="s">
        <v>5329</v>
      </c>
      <c r="H1914" s="55" t="s">
        <v>27</v>
      </c>
      <c r="I1914" s="55"/>
      <c r="J1914" s="55"/>
      <c r="K1914" s="55"/>
      <c r="L1914" s="55"/>
      <c r="M1914" s="55"/>
      <c r="N1914" s="55"/>
      <c r="O1914" s="55"/>
      <c r="P1914" s="55"/>
      <c r="Q1914" s="55"/>
      <c r="R1914" s="55"/>
      <c r="S1914" s="55"/>
      <c r="T1914" s="55"/>
      <c r="U1914" s="55"/>
      <c r="V1914" s="55"/>
    </row>
    <row r="1915" spans="1:22" s="46" customFormat="1">
      <c r="A1915" s="54">
        <v>46071</v>
      </c>
      <c r="B1915" s="55" t="s">
        <v>5330</v>
      </c>
      <c r="C1915" s="55" t="s">
        <v>225</v>
      </c>
      <c r="D1915" s="55" t="s">
        <v>3613</v>
      </c>
      <c r="E1915" s="55">
        <v>85553</v>
      </c>
      <c r="F1915" s="55" t="s">
        <v>5331</v>
      </c>
      <c r="G1915" s="55" t="s">
        <v>5329</v>
      </c>
      <c r="H1915" s="55">
        <v>5450260000</v>
      </c>
      <c r="I1915" s="55" t="s">
        <v>541</v>
      </c>
      <c r="J1915" s="55" t="s">
        <v>37</v>
      </c>
      <c r="K1915" s="55" t="s">
        <v>37</v>
      </c>
      <c r="L1915" s="55" t="s">
        <v>4079</v>
      </c>
      <c r="M1915" s="55" t="s">
        <v>37</v>
      </c>
      <c r="N1915" s="55" t="s">
        <v>37</v>
      </c>
      <c r="O1915" s="55" t="s">
        <v>38</v>
      </c>
      <c r="P1915" s="55" t="s">
        <v>39</v>
      </c>
      <c r="Q1915" s="54">
        <v>46077</v>
      </c>
      <c r="R1915" s="55"/>
      <c r="S1915" s="55"/>
      <c r="T1915" s="55"/>
      <c r="U1915" s="55"/>
      <c r="V1915" s="55"/>
    </row>
    <row r="1916" spans="1:22" s="46" customFormat="1">
      <c r="A1916" s="54">
        <v>46071</v>
      </c>
      <c r="B1916" s="55" t="s">
        <v>5332</v>
      </c>
      <c r="C1916" s="55" t="s">
        <v>4457</v>
      </c>
      <c r="D1916" s="55" t="s">
        <v>816</v>
      </c>
      <c r="E1916" s="55">
        <v>86303</v>
      </c>
      <c r="F1916" s="55" t="s">
        <v>5333</v>
      </c>
      <c r="G1916" s="55" t="s">
        <v>5329</v>
      </c>
      <c r="H1916" s="55">
        <v>6975921000</v>
      </c>
      <c r="I1916" s="55" t="s">
        <v>46</v>
      </c>
      <c r="J1916" s="55" t="s">
        <v>37</v>
      </c>
      <c r="K1916" s="55" t="s">
        <v>37</v>
      </c>
      <c r="L1916" s="55" t="s">
        <v>38</v>
      </c>
      <c r="M1916" s="55" t="s">
        <v>37</v>
      </c>
      <c r="N1916" s="55" t="s">
        <v>37</v>
      </c>
      <c r="O1916" s="55" t="s">
        <v>38</v>
      </c>
      <c r="P1916" s="55" t="s">
        <v>39</v>
      </c>
      <c r="Q1916" s="54">
        <v>46077</v>
      </c>
      <c r="R1916" s="55"/>
      <c r="S1916" s="55"/>
      <c r="T1916" s="55"/>
      <c r="U1916" s="55"/>
      <c r="V1916" s="55"/>
    </row>
    <row r="1917" spans="1:22" s="46" customFormat="1">
      <c r="A1917" s="54">
        <v>46071</v>
      </c>
      <c r="B1917" s="55" t="s">
        <v>5334</v>
      </c>
      <c r="C1917" s="55" t="s">
        <v>5335</v>
      </c>
      <c r="D1917" s="55" t="s">
        <v>63</v>
      </c>
      <c r="E1917" s="55">
        <v>85027</v>
      </c>
      <c r="F1917" s="55" t="s">
        <v>5336</v>
      </c>
      <c r="G1917" s="55" t="s">
        <v>5329</v>
      </c>
      <c r="H1917" s="55">
        <v>8004441000</v>
      </c>
      <c r="I1917" s="55" t="s">
        <v>3919</v>
      </c>
      <c r="J1917" s="55" t="s">
        <v>37</v>
      </c>
      <c r="K1917" s="55" t="s">
        <v>37</v>
      </c>
      <c r="L1917" s="55" t="s">
        <v>4079</v>
      </c>
      <c r="M1917" s="55" t="s">
        <v>37</v>
      </c>
      <c r="N1917" s="55" t="s">
        <v>37</v>
      </c>
      <c r="O1917" s="55" t="s">
        <v>38</v>
      </c>
      <c r="P1917" s="55" t="s">
        <v>39</v>
      </c>
      <c r="Q1917" s="54">
        <v>46077</v>
      </c>
      <c r="R1917" s="55" t="s">
        <v>4239</v>
      </c>
      <c r="S1917" s="55"/>
      <c r="T1917" s="55"/>
      <c r="U1917" s="55"/>
      <c r="V1917" s="55"/>
    </row>
    <row r="1918" spans="1:22" s="46" customFormat="1">
      <c r="A1918" s="54">
        <v>46071</v>
      </c>
      <c r="B1918" s="55" t="s">
        <v>3473</v>
      </c>
      <c r="C1918" s="55" t="s">
        <v>363</v>
      </c>
      <c r="D1918" s="55" t="s">
        <v>63</v>
      </c>
      <c r="E1918" s="55">
        <v>85022</v>
      </c>
      <c r="F1918" s="55" t="s">
        <v>5337</v>
      </c>
      <c r="G1918" s="55" t="s">
        <v>5329</v>
      </c>
      <c r="H1918" s="55">
        <v>4625460000</v>
      </c>
      <c r="I1918" s="55" t="s">
        <v>126</v>
      </c>
      <c r="J1918" s="55" t="s">
        <v>37</v>
      </c>
      <c r="K1918" s="55" t="s">
        <v>37</v>
      </c>
      <c r="L1918" s="55" t="s">
        <v>5338</v>
      </c>
      <c r="M1918" s="55" t="s">
        <v>37</v>
      </c>
      <c r="N1918" s="55" t="s">
        <v>37</v>
      </c>
      <c r="O1918" s="55" t="s">
        <v>38</v>
      </c>
      <c r="P1918" s="55" t="s">
        <v>39</v>
      </c>
      <c r="Q1918" s="54">
        <v>46077</v>
      </c>
      <c r="R1918" s="55" t="s">
        <v>5339</v>
      </c>
      <c r="S1918" s="55"/>
      <c r="T1918" s="55"/>
      <c r="U1918" s="55"/>
      <c r="V1918" s="55"/>
    </row>
    <row r="1919" spans="1:22" s="46" customFormat="1">
      <c r="A1919" s="54">
        <v>46071</v>
      </c>
      <c r="B1919" s="55" t="s">
        <v>5340</v>
      </c>
      <c r="C1919" s="55" t="s">
        <v>1707</v>
      </c>
      <c r="D1919" s="55" t="s">
        <v>3838</v>
      </c>
      <c r="E1919" s="55">
        <v>85354</v>
      </c>
      <c r="F1919" s="55" t="s">
        <v>5341</v>
      </c>
      <c r="G1919" s="55" t="s">
        <v>5329</v>
      </c>
      <c r="H1919" s="55" t="s">
        <v>90</v>
      </c>
      <c r="I1919" s="55"/>
      <c r="J1919" s="55"/>
      <c r="K1919" s="55"/>
      <c r="L1919" s="55"/>
      <c r="M1919" s="55"/>
      <c r="N1919" s="55"/>
      <c r="O1919" s="55"/>
      <c r="P1919" s="55"/>
      <c r="Q1919" s="55"/>
      <c r="R1919" s="55"/>
      <c r="S1919" s="55"/>
      <c r="T1919" s="55"/>
      <c r="U1919" s="55"/>
      <c r="V1919" s="55"/>
    </row>
    <row r="1920" spans="1:22" s="46" customFormat="1">
      <c r="A1920" s="54">
        <v>46071</v>
      </c>
      <c r="B1920" s="55" t="s">
        <v>5342</v>
      </c>
      <c r="C1920" s="55" t="s">
        <v>1268</v>
      </c>
      <c r="D1920" s="55" t="s">
        <v>24</v>
      </c>
      <c r="E1920" s="55">
        <v>85308</v>
      </c>
      <c r="F1920" s="55" t="s">
        <v>5343</v>
      </c>
      <c r="G1920" s="55" t="s">
        <v>5329</v>
      </c>
      <c r="H1920" s="55">
        <v>8540070000</v>
      </c>
      <c r="I1920" s="55" t="s">
        <v>250</v>
      </c>
      <c r="J1920" s="55" t="s">
        <v>37</v>
      </c>
      <c r="K1920" s="55" t="s">
        <v>37</v>
      </c>
      <c r="L1920" s="55" t="s">
        <v>38</v>
      </c>
      <c r="M1920" s="55" t="s">
        <v>37</v>
      </c>
      <c r="N1920" s="55" t="s">
        <v>37</v>
      </c>
      <c r="O1920" s="55" t="s">
        <v>38</v>
      </c>
      <c r="P1920" s="55" t="s">
        <v>39</v>
      </c>
      <c r="Q1920" s="54">
        <v>46077</v>
      </c>
      <c r="R1920" s="55"/>
      <c r="S1920" s="55"/>
      <c r="T1920" s="55"/>
      <c r="U1920" s="55"/>
      <c r="V1920" s="55"/>
    </row>
    <row r="1921" spans="1:22" s="46" customFormat="1">
      <c r="A1921" s="54">
        <v>46071</v>
      </c>
      <c r="B1921" s="55" t="s">
        <v>5344</v>
      </c>
      <c r="C1921" s="55" t="s">
        <v>355</v>
      </c>
      <c r="D1921" s="55" t="s">
        <v>2429</v>
      </c>
      <c r="E1921" s="55">
        <v>85132</v>
      </c>
      <c r="F1921" s="55" t="s">
        <v>5345</v>
      </c>
      <c r="G1921" s="55" t="s">
        <v>5329</v>
      </c>
      <c r="H1921" s="55">
        <v>7277849791</v>
      </c>
      <c r="I1921" s="55" t="s">
        <v>46</v>
      </c>
      <c r="J1921" s="55" t="s">
        <v>37</v>
      </c>
      <c r="K1921" s="55" t="s">
        <v>37</v>
      </c>
      <c r="L1921" s="55" t="s">
        <v>38</v>
      </c>
      <c r="M1921" s="55" t="s">
        <v>37</v>
      </c>
      <c r="N1921" s="55" t="s">
        <v>37</v>
      </c>
      <c r="O1921" s="55" t="s">
        <v>38</v>
      </c>
      <c r="P1921" s="55" t="s">
        <v>39</v>
      </c>
      <c r="Q1921" s="54">
        <v>46077</v>
      </c>
      <c r="R1921" s="55"/>
      <c r="S1921" s="55"/>
      <c r="T1921" s="55"/>
      <c r="U1921" s="55"/>
      <c r="V1921" s="55"/>
    </row>
    <row r="1922" spans="1:22" s="46" customFormat="1">
      <c r="A1922" s="54">
        <v>46071</v>
      </c>
      <c r="B1922" s="55" t="s">
        <v>4614</v>
      </c>
      <c r="C1922" s="55" t="s">
        <v>4760</v>
      </c>
      <c r="D1922" s="55" t="s">
        <v>169</v>
      </c>
      <c r="E1922" s="55">
        <v>85338</v>
      </c>
      <c r="F1922" s="55" t="s">
        <v>5346</v>
      </c>
      <c r="G1922" s="55" t="s">
        <v>5329</v>
      </c>
      <c r="H1922" s="55">
        <v>223345291</v>
      </c>
      <c r="I1922" s="55" t="s">
        <v>4214</v>
      </c>
      <c r="J1922" s="55" t="s">
        <v>37</v>
      </c>
      <c r="K1922" s="55" t="s">
        <v>37</v>
      </c>
      <c r="L1922" s="55" t="s">
        <v>4079</v>
      </c>
      <c r="M1922" s="55" t="s">
        <v>38</v>
      </c>
      <c r="N1922" s="75">
        <v>5.37</v>
      </c>
      <c r="O1922" s="55" t="s">
        <v>38</v>
      </c>
      <c r="P1922" s="55" t="s">
        <v>39</v>
      </c>
      <c r="Q1922" s="54">
        <v>46077</v>
      </c>
      <c r="R1922" s="55"/>
      <c r="S1922" s="55"/>
      <c r="T1922" s="55"/>
      <c r="U1922" s="55"/>
      <c r="V1922" s="55"/>
    </row>
    <row r="1923" spans="1:22" s="46" customFormat="1">
      <c r="A1923" s="54">
        <v>46071</v>
      </c>
      <c r="B1923" s="55" t="s">
        <v>5347</v>
      </c>
      <c r="C1923" s="55" t="s">
        <v>5348</v>
      </c>
      <c r="D1923" s="55" t="s">
        <v>3192</v>
      </c>
      <c r="E1923" s="55">
        <v>85253</v>
      </c>
      <c r="F1923" s="55" t="s">
        <v>5349</v>
      </c>
      <c r="G1923" s="55" t="s">
        <v>5329</v>
      </c>
      <c r="H1923" s="55">
        <v>6316480000</v>
      </c>
      <c r="I1923" s="55" t="s">
        <v>5350</v>
      </c>
      <c r="J1923" s="55" t="s">
        <v>37</v>
      </c>
      <c r="K1923" s="55" t="s">
        <v>37</v>
      </c>
      <c r="L1923" s="55" t="s">
        <v>38</v>
      </c>
      <c r="M1923" s="55" t="s">
        <v>37</v>
      </c>
      <c r="N1923" s="55" t="s">
        <v>37</v>
      </c>
      <c r="O1923" s="55" t="s">
        <v>38</v>
      </c>
      <c r="P1923" s="55" t="s">
        <v>39</v>
      </c>
      <c r="Q1923" s="54">
        <v>46077</v>
      </c>
      <c r="R1923" s="55"/>
      <c r="S1923" s="55"/>
      <c r="T1923" s="55"/>
      <c r="U1923" s="55"/>
      <c r="V1923" s="55"/>
    </row>
    <row r="1924" spans="1:22" s="46" customFormat="1">
      <c r="A1924" s="54">
        <v>46071</v>
      </c>
      <c r="B1924" s="55" t="s">
        <v>5351</v>
      </c>
      <c r="C1924" s="55" t="s">
        <v>312</v>
      </c>
      <c r="D1924" s="55" t="s">
        <v>816</v>
      </c>
      <c r="E1924" s="55">
        <v>86301</v>
      </c>
      <c r="F1924" s="55" t="s">
        <v>5352</v>
      </c>
      <c r="G1924" s="55" t="s">
        <v>5329</v>
      </c>
      <c r="H1924" s="55">
        <v>1490131000</v>
      </c>
      <c r="I1924" s="55" t="s">
        <v>250</v>
      </c>
      <c r="J1924" s="55" t="s">
        <v>37</v>
      </c>
      <c r="K1924" s="55" t="s">
        <v>37</v>
      </c>
      <c r="L1924" s="55" t="s">
        <v>5353</v>
      </c>
      <c r="M1924" s="55" t="s">
        <v>37</v>
      </c>
      <c r="N1924" s="55" t="s">
        <v>37</v>
      </c>
      <c r="O1924" s="55" t="s">
        <v>38</v>
      </c>
      <c r="P1924" s="55" t="s">
        <v>39</v>
      </c>
      <c r="Q1924" s="54">
        <v>46077</v>
      </c>
      <c r="R1924" s="55"/>
      <c r="S1924" s="55"/>
      <c r="T1924" s="55"/>
      <c r="U1924" s="55"/>
      <c r="V1924" s="55"/>
    </row>
    <row r="1925" spans="1:22" s="46" customFormat="1">
      <c r="A1925" s="54">
        <v>46071</v>
      </c>
      <c r="B1925" s="55" t="s">
        <v>5354</v>
      </c>
      <c r="C1925" s="55" t="s">
        <v>4248</v>
      </c>
      <c r="D1925" s="55" t="s">
        <v>63</v>
      </c>
      <c r="E1925" s="55">
        <v>85028</v>
      </c>
      <c r="F1925" s="55" t="s">
        <v>5355</v>
      </c>
      <c r="G1925" s="55" t="s">
        <v>5329</v>
      </c>
      <c r="H1925" s="55">
        <v>9899890000</v>
      </c>
      <c r="I1925" s="55" t="s">
        <v>3919</v>
      </c>
      <c r="J1925" s="55" t="s">
        <v>37</v>
      </c>
      <c r="K1925" s="55" t="s">
        <v>37</v>
      </c>
      <c r="L1925" s="55" t="s">
        <v>4079</v>
      </c>
      <c r="M1925" s="55" t="s">
        <v>37</v>
      </c>
      <c r="N1925" s="55" t="s">
        <v>37</v>
      </c>
      <c r="O1925" s="55" t="s">
        <v>38</v>
      </c>
      <c r="P1925" s="55" t="s">
        <v>39</v>
      </c>
      <c r="Q1925" s="54">
        <v>46077</v>
      </c>
      <c r="R1925" s="55"/>
      <c r="S1925" s="55"/>
      <c r="T1925" s="55"/>
      <c r="U1925" s="55"/>
      <c r="V1925" s="55"/>
    </row>
    <row r="1926" spans="1:22" s="46" customFormat="1">
      <c r="A1926" s="54">
        <v>46071</v>
      </c>
      <c r="B1926" s="55" t="s">
        <v>419</v>
      </c>
      <c r="C1926" s="55" t="s">
        <v>376</v>
      </c>
      <c r="D1926" s="55" t="s">
        <v>63</v>
      </c>
      <c r="E1926" s="55">
        <v>85016</v>
      </c>
      <c r="F1926" s="55" t="s">
        <v>5356</v>
      </c>
      <c r="G1926" s="55" t="s">
        <v>5357</v>
      </c>
      <c r="H1926" s="55" t="s">
        <v>27</v>
      </c>
      <c r="I1926" s="55"/>
      <c r="J1926" s="55"/>
      <c r="K1926" s="55"/>
      <c r="L1926" s="55"/>
      <c r="M1926" s="55"/>
      <c r="N1926" s="55"/>
      <c r="O1926" s="55"/>
      <c r="P1926" s="55"/>
      <c r="Q1926" s="55"/>
      <c r="R1926" s="55" t="s">
        <v>5358</v>
      </c>
      <c r="S1926" s="55"/>
      <c r="T1926" s="55"/>
      <c r="U1926" s="55"/>
      <c r="V1926" s="55"/>
    </row>
    <row r="1927" spans="1:22" s="46" customFormat="1">
      <c r="A1927" s="54">
        <v>46071</v>
      </c>
      <c r="B1927" s="55" t="s">
        <v>5359</v>
      </c>
      <c r="C1927" s="55" t="s">
        <v>991</v>
      </c>
      <c r="D1927" s="55" t="s">
        <v>261</v>
      </c>
      <c r="E1927" s="55">
        <v>86314</v>
      </c>
      <c r="F1927" s="55" t="s">
        <v>5360</v>
      </c>
      <c r="G1927" s="55" t="s">
        <v>5357</v>
      </c>
      <c r="H1927" s="55">
        <v>1675649579</v>
      </c>
      <c r="I1927" s="55" t="s">
        <v>73</v>
      </c>
      <c r="J1927" s="55" t="s">
        <v>38</v>
      </c>
      <c r="K1927" s="55" t="s">
        <v>37</v>
      </c>
      <c r="L1927" s="55" t="s">
        <v>38</v>
      </c>
      <c r="M1927" s="55" t="s">
        <v>37</v>
      </c>
      <c r="N1927" s="55" t="s">
        <v>37</v>
      </c>
      <c r="O1927" s="55" t="s">
        <v>38</v>
      </c>
      <c r="P1927" s="55" t="s">
        <v>39</v>
      </c>
      <c r="Q1927" s="54">
        <v>46077</v>
      </c>
      <c r="R1927" s="55"/>
      <c r="S1927" s="55"/>
      <c r="T1927" s="55"/>
      <c r="U1927" s="55"/>
      <c r="V1927" s="55"/>
    </row>
    <row r="1928" spans="1:22" s="46" customFormat="1">
      <c r="A1928" s="56">
        <v>46071</v>
      </c>
      <c r="B1928" s="57" t="s">
        <v>5361</v>
      </c>
      <c r="C1928" s="57" t="s">
        <v>1423</v>
      </c>
      <c r="D1928" s="57" t="s">
        <v>129</v>
      </c>
      <c r="E1928" s="57">
        <v>85234</v>
      </c>
      <c r="F1928" s="57" t="s">
        <v>5362</v>
      </c>
      <c r="G1928" s="57" t="s">
        <v>5357</v>
      </c>
      <c r="H1928" s="57">
        <v>1985520000</v>
      </c>
      <c r="I1928" s="57" t="s">
        <v>5350</v>
      </c>
      <c r="J1928" s="57" t="s">
        <v>37</v>
      </c>
      <c r="K1928" s="57" t="s">
        <v>37</v>
      </c>
      <c r="L1928" s="57" t="s">
        <v>5363</v>
      </c>
      <c r="M1928" s="57" t="s">
        <v>37</v>
      </c>
      <c r="N1928" s="57" t="s">
        <v>37</v>
      </c>
      <c r="O1928" s="57" t="s">
        <v>38</v>
      </c>
      <c r="P1928" s="57"/>
      <c r="Q1928" s="56">
        <v>46077</v>
      </c>
      <c r="R1928" s="57" t="s">
        <v>4004</v>
      </c>
      <c r="S1928" s="57"/>
      <c r="T1928" s="57"/>
      <c r="U1928" s="57"/>
      <c r="V1928" s="57"/>
    </row>
    <row r="1929" spans="1:22" s="46" customFormat="1">
      <c r="A1929" s="54">
        <v>46071</v>
      </c>
      <c r="B1929" s="55" t="s">
        <v>5364</v>
      </c>
      <c r="C1929" s="55" t="s">
        <v>5365</v>
      </c>
      <c r="D1929" s="55" t="s">
        <v>816</v>
      </c>
      <c r="E1929" s="55">
        <v>86303</v>
      </c>
      <c r="F1929" s="55" t="s">
        <v>5366</v>
      </c>
      <c r="G1929" s="55" t="s">
        <v>5357</v>
      </c>
      <c r="H1929" s="55">
        <v>3421360000</v>
      </c>
      <c r="I1929" s="55" t="s">
        <v>46</v>
      </c>
      <c r="J1929" s="55" t="s">
        <v>37</v>
      </c>
      <c r="K1929" s="55" t="s">
        <v>37</v>
      </c>
      <c r="L1929" s="55" t="s">
        <v>38</v>
      </c>
      <c r="M1929" s="55" t="s">
        <v>37</v>
      </c>
      <c r="N1929" s="55" t="s">
        <v>37</v>
      </c>
      <c r="O1929" s="55" t="s">
        <v>38</v>
      </c>
      <c r="P1929" s="55" t="s">
        <v>39</v>
      </c>
      <c r="Q1929" s="54">
        <v>46077</v>
      </c>
      <c r="R1929" s="55"/>
      <c r="S1929" s="55"/>
      <c r="T1929" s="55"/>
      <c r="U1929" s="55"/>
      <c r="V1929" s="55"/>
    </row>
    <row r="1930" spans="1:22" s="46" customFormat="1">
      <c r="A1930" s="54">
        <v>46071</v>
      </c>
      <c r="B1930" s="55" t="s">
        <v>5367</v>
      </c>
      <c r="C1930" s="55" t="s">
        <v>5368</v>
      </c>
      <c r="D1930" s="55" t="s">
        <v>63</v>
      </c>
      <c r="E1930" s="55">
        <v>85037</v>
      </c>
      <c r="F1930" s="55" t="s">
        <v>3756</v>
      </c>
      <c r="G1930" s="55" t="s">
        <v>5357</v>
      </c>
      <c r="H1930" s="55" t="s">
        <v>27</v>
      </c>
      <c r="I1930" s="55"/>
      <c r="J1930" s="55"/>
      <c r="K1930" s="55"/>
      <c r="L1930" s="55"/>
      <c r="M1930" s="55"/>
      <c r="N1930" s="55"/>
      <c r="O1930" s="55"/>
      <c r="P1930" s="55"/>
      <c r="Q1930" s="55"/>
      <c r="R1930" s="55"/>
      <c r="S1930" s="55"/>
      <c r="T1930" s="55"/>
      <c r="U1930" s="55"/>
      <c r="V1930" s="55"/>
    </row>
    <row r="1931" spans="1:22" s="46" customFormat="1">
      <c r="A1931" s="54">
        <v>46071</v>
      </c>
      <c r="B1931" s="55" t="s">
        <v>5369</v>
      </c>
      <c r="C1931" s="55" t="s">
        <v>208</v>
      </c>
      <c r="D1931" s="55" t="s">
        <v>504</v>
      </c>
      <c r="E1931" s="55">
        <v>86001</v>
      </c>
      <c r="F1931" s="55" t="s">
        <v>5370</v>
      </c>
      <c r="G1931" s="55" t="s">
        <v>5357</v>
      </c>
      <c r="H1931" s="55" t="s">
        <v>27</v>
      </c>
      <c r="I1931" s="55"/>
      <c r="J1931" s="55"/>
      <c r="K1931" s="55"/>
      <c r="L1931" s="55"/>
      <c r="M1931" s="55"/>
      <c r="N1931" s="55"/>
      <c r="O1931" s="55"/>
      <c r="P1931" s="55"/>
      <c r="Q1931" s="55"/>
      <c r="R1931" s="55"/>
      <c r="S1931" s="55"/>
      <c r="T1931" s="55"/>
      <c r="U1931" s="55"/>
      <c r="V1931" s="55"/>
    </row>
    <row r="1932" spans="1:22" s="46" customFormat="1">
      <c r="A1932" s="54">
        <v>46071</v>
      </c>
      <c r="B1932" s="55" t="s">
        <v>5371</v>
      </c>
      <c r="C1932" s="55" t="s">
        <v>575</v>
      </c>
      <c r="D1932" s="55" t="s">
        <v>3361</v>
      </c>
      <c r="E1932" s="55">
        <v>86322</v>
      </c>
      <c r="F1932" s="55" t="s">
        <v>5372</v>
      </c>
      <c r="G1932" s="55" t="s">
        <v>5357</v>
      </c>
      <c r="H1932" s="55">
        <v>3493863264</v>
      </c>
      <c r="I1932" s="55" t="s">
        <v>73</v>
      </c>
      <c r="J1932" s="55" t="s">
        <v>38</v>
      </c>
      <c r="K1932" s="55" t="s">
        <v>37</v>
      </c>
      <c r="L1932" s="55" t="s">
        <v>38</v>
      </c>
      <c r="M1932" s="55" t="s">
        <v>37</v>
      </c>
      <c r="N1932" s="55" t="s">
        <v>37</v>
      </c>
      <c r="O1932" s="55" t="s">
        <v>38</v>
      </c>
      <c r="P1932" s="55" t="s">
        <v>39</v>
      </c>
      <c r="Q1932" s="54">
        <v>46077</v>
      </c>
      <c r="R1932" s="55"/>
      <c r="S1932" s="55"/>
      <c r="T1932" s="55"/>
      <c r="U1932" s="55"/>
      <c r="V1932" s="55"/>
    </row>
    <row r="1933" spans="1:22" s="46" customFormat="1">
      <c r="A1933" s="54">
        <v>46071</v>
      </c>
      <c r="B1933" s="55" t="s">
        <v>5373</v>
      </c>
      <c r="C1933" s="55" t="s">
        <v>5374</v>
      </c>
      <c r="D1933" s="55" t="s">
        <v>169</v>
      </c>
      <c r="E1933" s="55">
        <v>85395</v>
      </c>
      <c r="F1933" s="55" t="s">
        <v>5375</v>
      </c>
      <c r="G1933" s="55" t="s">
        <v>5357</v>
      </c>
      <c r="H1933" s="55">
        <v>7082251000</v>
      </c>
      <c r="I1933" s="55" t="s">
        <v>36</v>
      </c>
      <c r="J1933" s="55" t="s">
        <v>37</v>
      </c>
      <c r="K1933" s="55" t="s">
        <v>37</v>
      </c>
      <c r="L1933" s="55" t="s">
        <v>38</v>
      </c>
      <c r="M1933" s="55" t="s">
        <v>37</v>
      </c>
      <c r="N1933" s="55" t="s">
        <v>37</v>
      </c>
      <c r="O1933" s="55" t="s">
        <v>38</v>
      </c>
      <c r="P1933" s="55" t="s">
        <v>39</v>
      </c>
      <c r="Q1933" s="54">
        <v>46077</v>
      </c>
      <c r="R1933" s="55"/>
      <c r="S1933" s="55"/>
      <c r="T1933" s="55"/>
      <c r="U1933" s="55"/>
      <c r="V1933" s="55"/>
    </row>
    <row r="1934" spans="1:22" s="46" customFormat="1">
      <c r="A1934" s="54">
        <v>46071</v>
      </c>
      <c r="B1934" s="55" t="s">
        <v>363</v>
      </c>
      <c r="C1934" s="55" t="s">
        <v>177</v>
      </c>
      <c r="D1934" s="55" t="s">
        <v>63</v>
      </c>
      <c r="E1934" s="55">
        <v>85050</v>
      </c>
      <c r="F1934" s="55" t="s">
        <v>5376</v>
      </c>
      <c r="G1934" s="55" t="s">
        <v>5357</v>
      </c>
      <c r="H1934" s="55">
        <v>3235933656</v>
      </c>
      <c r="I1934" s="55" t="s">
        <v>3887</v>
      </c>
      <c r="J1934" s="55" t="s">
        <v>37</v>
      </c>
      <c r="K1934" s="55" t="s">
        <v>37</v>
      </c>
      <c r="L1934" s="55" t="s">
        <v>4079</v>
      </c>
      <c r="M1934" s="55" t="s">
        <v>37</v>
      </c>
      <c r="N1934" s="55" t="s">
        <v>37</v>
      </c>
      <c r="O1934" s="55" t="s">
        <v>38</v>
      </c>
      <c r="P1934" s="55" t="s">
        <v>39</v>
      </c>
      <c r="Q1934" s="54">
        <v>46077</v>
      </c>
      <c r="R1934" s="55"/>
      <c r="S1934" s="55"/>
      <c r="T1934" s="55"/>
      <c r="U1934" s="55"/>
      <c r="V1934" s="55"/>
    </row>
    <row r="1935" spans="1:22" s="46" customFormat="1">
      <c r="A1935" s="54">
        <v>46071</v>
      </c>
      <c r="B1935" s="55" t="s">
        <v>5377</v>
      </c>
      <c r="C1935" s="55" t="s">
        <v>1876</v>
      </c>
      <c r="D1935" s="55" t="s">
        <v>63</v>
      </c>
      <c r="E1935" s="55">
        <v>85024</v>
      </c>
      <c r="F1935" s="55" t="s">
        <v>5378</v>
      </c>
      <c r="G1935" s="55" t="s">
        <v>5357</v>
      </c>
      <c r="H1935" s="55">
        <v>1486220000</v>
      </c>
      <c r="I1935" s="55" t="s">
        <v>36</v>
      </c>
      <c r="J1935" s="55" t="s">
        <v>37</v>
      </c>
      <c r="K1935" s="55" t="s">
        <v>37</v>
      </c>
      <c r="L1935" s="55" t="s">
        <v>38</v>
      </c>
      <c r="M1935" s="55" t="s">
        <v>37</v>
      </c>
      <c r="N1935" s="55" t="s">
        <v>37</v>
      </c>
      <c r="O1935" s="55" t="s">
        <v>38</v>
      </c>
      <c r="P1935" s="55" t="s">
        <v>39</v>
      </c>
      <c r="Q1935" s="54">
        <v>46077</v>
      </c>
      <c r="R1935" s="55"/>
      <c r="S1935" s="55"/>
      <c r="T1935" s="55"/>
      <c r="U1935" s="55"/>
      <c r="V1935" s="55"/>
    </row>
    <row r="1936" spans="1:22" s="46" customFormat="1">
      <c r="A1936" s="54">
        <v>46071</v>
      </c>
      <c r="B1936" s="55" t="s">
        <v>5379</v>
      </c>
      <c r="C1936" s="55" t="s">
        <v>5380</v>
      </c>
      <c r="D1936" s="55" t="s">
        <v>504</v>
      </c>
      <c r="E1936" s="55">
        <v>86005</v>
      </c>
      <c r="F1936" s="55" t="s">
        <v>5381</v>
      </c>
      <c r="G1936" s="55" t="s">
        <v>5357</v>
      </c>
      <c r="H1936" s="55">
        <v>3841761035</v>
      </c>
      <c r="I1936" s="55" t="s">
        <v>46</v>
      </c>
      <c r="J1936" s="55" t="s">
        <v>37</v>
      </c>
      <c r="K1936" s="55" t="s">
        <v>37</v>
      </c>
      <c r="L1936" s="55" t="s">
        <v>5382</v>
      </c>
      <c r="M1936" s="55" t="s">
        <v>37</v>
      </c>
      <c r="N1936" s="55" t="s">
        <v>37</v>
      </c>
      <c r="O1936" s="55" t="s">
        <v>38</v>
      </c>
      <c r="P1936" s="55" t="s">
        <v>39</v>
      </c>
      <c r="Q1936" s="54">
        <v>46077</v>
      </c>
      <c r="R1936" s="55"/>
      <c r="S1936" s="55"/>
      <c r="T1936" s="55"/>
      <c r="U1936" s="55"/>
      <c r="V1936" s="55"/>
    </row>
    <row r="1937" spans="1:22" s="46" customFormat="1">
      <c r="A1937" s="54">
        <v>46071</v>
      </c>
      <c r="B1937" s="55" t="s">
        <v>5383</v>
      </c>
      <c r="C1937" s="55" t="s">
        <v>5384</v>
      </c>
      <c r="D1937" s="55" t="s">
        <v>504</v>
      </c>
      <c r="E1937" s="55">
        <v>86005</v>
      </c>
      <c r="F1937" s="55" t="s">
        <v>5385</v>
      </c>
      <c r="G1937" s="55" t="s">
        <v>5357</v>
      </c>
      <c r="H1937" s="55">
        <v>3107890000</v>
      </c>
      <c r="I1937" s="55" t="s">
        <v>126</v>
      </c>
      <c r="J1937" s="55" t="s">
        <v>37</v>
      </c>
      <c r="K1937" s="55" t="s">
        <v>37</v>
      </c>
      <c r="L1937" s="55" t="s">
        <v>5386</v>
      </c>
      <c r="M1937" s="55" t="s">
        <v>37</v>
      </c>
      <c r="N1937" s="55" t="s">
        <v>37</v>
      </c>
      <c r="O1937" s="55" t="s">
        <v>38</v>
      </c>
      <c r="P1937" s="55" t="s">
        <v>39</v>
      </c>
      <c r="Q1937" s="54">
        <v>46077</v>
      </c>
      <c r="R1937" s="55"/>
      <c r="S1937" s="55"/>
      <c r="T1937" s="55"/>
      <c r="U1937" s="55"/>
      <c r="V1937" s="55"/>
    </row>
    <row r="1938" spans="1:22" s="46" customFormat="1">
      <c r="A1938" s="54">
        <v>46071</v>
      </c>
      <c r="B1938" s="55" t="s">
        <v>747</v>
      </c>
      <c r="C1938" s="55" t="s">
        <v>2961</v>
      </c>
      <c r="D1938" s="55" t="s">
        <v>698</v>
      </c>
      <c r="E1938" s="55">
        <v>85375</v>
      </c>
      <c r="F1938" s="55" t="s">
        <v>5387</v>
      </c>
      <c r="G1938" s="55" t="s">
        <v>5388</v>
      </c>
      <c r="H1938" s="55">
        <v>1235903059</v>
      </c>
      <c r="I1938" s="55" t="s">
        <v>46</v>
      </c>
      <c r="J1938" s="55" t="s">
        <v>37</v>
      </c>
      <c r="K1938" s="55" t="s">
        <v>37</v>
      </c>
      <c r="L1938" s="55" t="s">
        <v>5389</v>
      </c>
      <c r="M1938" s="55" t="s">
        <v>37</v>
      </c>
      <c r="N1938" s="55" t="s">
        <v>37</v>
      </c>
      <c r="O1938" s="55" t="s">
        <v>38</v>
      </c>
      <c r="P1938" s="55" t="s">
        <v>39</v>
      </c>
      <c r="Q1938" s="54">
        <v>46077</v>
      </c>
      <c r="R1938" s="55"/>
      <c r="S1938" s="55"/>
      <c r="T1938" s="55"/>
      <c r="U1938" s="55"/>
      <c r="V1938" s="55"/>
    </row>
    <row r="1939" spans="1:22" s="46" customFormat="1">
      <c r="A1939" s="54">
        <v>46071</v>
      </c>
      <c r="B1939" s="55" t="s">
        <v>4369</v>
      </c>
      <c r="C1939" s="55" t="s">
        <v>1533</v>
      </c>
      <c r="D1939" s="55" t="s">
        <v>30</v>
      </c>
      <c r="E1939" s="55" t="s">
        <v>30</v>
      </c>
      <c r="F1939" s="55" t="s">
        <v>5390</v>
      </c>
      <c r="G1939" s="55" t="s">
        <v>5391</v>
      </c>
      <c r="H1939" s="55" t="s">
        <v>27</v>
      </c>
      <c r="I1939" s="55"/>
      <c r="J1939" s="55"/>
      <c r="K1939" s="55"/>
      <c r="L1939" s="55"/>
      <c r="M1939" s="55"/>
      <c r="N1939" s="55"/>
      <c r="O1939" s="55"/>
      <c r="P1939" s="55"/>
      <c r="Q1939" s="55"/>
      <c r="R1939" s="55" t="s">
        <v>5358</v>
      </c>
      <c r="S1939" s="55"/>
      <c r="T1939" s="55"/>
      <c r="U1939" s="55"/>
      <c r="V1939" s="55"/>
    </row>
    <row r="1940" spans="1:22" s="46" customFormat="1">
      <c r="A1940" s="54">
        <v>46072</v>
      </c>
      <c r="B1940" s="55" t="s">
        <v>5392</v>
      </c>
      <c r="C1940" s="55" t="s">
        <v>5393</v>
      </c>
      <c r="D1940" s="55" t="s">
        <v>93</v>
      </c>
      <c r="E1940" s="55">
        <v>85373</v>
      </c>
      <c r="F1940" s="55" t="s">
        <v>5394</v>
      </c>
      <c r="G1940" s="55" t="s">
        <v>5395</v>
      </c>
      <c r="H1940" s="55">
        <v>6579001000</v>
      </c>
      <c r="I1940" s="55" t="s">
        <v>126</v>
      </c>
      <c r="J1940" s="55" t="s">
        <v>37</v>
      </c>
      <c r="K1940" s="55" t="s">
        <v>37</v>
      </c>
      <c r="L1940" s="55" t="s">
        <v>38</v>
      </c>
      <c r="M1940" s="55" t="s">
        <v>37</v>
      </c>
      <c r="N1940" s="55" t="s">
        <v>37</v>
      </c>
      <c r="O1940" s="55" t="s">
        <v>38</v>
      </c>
      <c r="P1940" s="55" t="s">
        <v>39</v>
      </c>
      <c r="Q1940" s="54">
        <v>46077</v>
      </c>
      <c r="R1940" s="55"/>
      <c r="S1940" s="55"/>
      <c r="T1940" s="55"/>
      <c r="U1940" s="55"/>
      <c r="V1940" s="55"/>
    </row>
    <row r="1941" spans="1:22" s="46" customFormat="1">
      <c r="A1941" s="54">
        <v>46072</v>
      </c>
      <c r="B1941" s="55" t="s">
        <v>5396</v>
      </c>
      <c r="C1941" s="55" t="s">
        <v>5397</v>
      </c>
      <c r="D1941" s="55" t="s">
        <v>3538</v>
      </c>
      <c r="E1941" s="55">
        <v>85746</v>
      </c>
      <c r="F1941" s="55" t="s">
        <v>5398</v>
      </c>
      <c r="G1941" s="55" t="s">
        <v>5395</v>
      </c>
      <c r="H1941" s="55" t="s">
        <v>27</v>
      </c>
      <c r="I1941" s="55"/>
      <c r="J1941" s="55"/>
      <c r="K1941" s="55"/>
      <c r="L1941" s="55"/>
      <c r="M1941" s="55"/>
      <c r="N1941" s="55"/>
      <c r="O1941" s="55"/>
      <c r="P1941" s="55"/>
      <c r="Q1941" s="55"/>
      <c r="R1941" s="55"/>
      <c r="S1941" s="55"/>
      <c r="T1941" s="55"/>
      <c r="U1941" s="55"/>
      <c r="V1941" s="55"/>
    </row>
    <row r="1942" spans="1:22" s="46" customFormat="1">
      <c r="A1942" s="54">
        <v>46072</v>
      </c>
      <c r="B1942" s="55" t="s">
        <v>4347</v>
      </c>
      <c r="C1942" s="55" t="s">
        <v>284</v>
      </c>
      <c r="D1942" s="55" t="s">
        <v>63</v>
      </c>
      <c r="E1942" s="55">
        <v>85020</v>
      </c>
      <c r="F1942" s="55" t="s">
        <v>5399</v>
      </c>
      <c r="G1942" s="55" t="s">
        <v>5395</v>
      </c>
      <c r="H1942" s="55">
        <v>8135001000</v>
      </c>
      <c r="I1942" s="55" t="s">
        <v>4787</v>
      </c>
      <c r="J1942" s="55" t="s">
        <v>37</v>
      </c>
      <c r="K1942" s="55" t="s">
        <v>37</v>
      </c>
      <c r="L1942" s="55" t="s">
        <v>38</v>
      </c>
      <c r="M1942" s="55" t="s">
        <v>37</v>
      </c>
      <c r="N1942" s="55" t="s">
        <v>37</v>
      </c>
      <c r="O1942" s="55" t="s">
        <v>38</v>
      </c>
      <c r="P1942" s="55" t="s">
        <v>39</v>
      </c>
      <c r="Q1942" s="54">
        <v>45712</v>
      </c>
      <c r="R1942" s="55"/>
      <c r="S1942" s="55"/>
      <c r="T1942" s="55"/>
      <c r="U1942" s="55"/>
      <c r="V1942" s="55"/>
    </row>
    <row r="1943" spans="1:22" s="46" customFormat="1">
      <c r="A1943" s="54">
        <v>46072</v>
      </c>
      <c r="B1943" s="55" t="s">
        <v>5400</v>
      </c>
      <c r="C1943" s="55" t="s">
        <v>965</v>
      </c>
      <c r="D1943" s="55" t="s">
        <v>63</v>
      </c>
      <c r="E1943" s="55">
        <v>85020</v>
      </c>
      <c r="F1943" s="55" t="s">
        <v>5401</v>
      </c>
      <c r="G1943" s="55" t="s">
        <v>5395</v>
      </c>
      <c r="H1943" s="55">
        <v>8135001000</v>
      </c>
      <c r="I1943" s="55" t="s">
        <v>4787</v>
      </c>
      <c r="J1943" s="55" t="s">
        <v>37</v>
      </c>
      <c r="K1943" s="55" t="s">
        <v>37</v>
      </c>
      <c r="L1943" s="55" t="s">
        <v>38</v>
      </c>
      <c r="M1943" s="55" t="s">
        <v>37</v>
      </c>
      <c r="N1943" s="55" t="s">
        <v>37</v>
      </c>
      <c r="O1943" s="55" t="s">
        <v>38</v>
      </c>
      <c r="P1943" s="55" t="s">
        <v>39</v>
      </c>
      <c r="Q1943" s="54">
        <v>45712</v>
      </c>
      <c r="R1943" s="55"/>
      <c r="S1943" s="55"/>
      <c r="T1943" s="55"/>
      <c r="U1943" s="55"/>
      <c r="V1943" s="55"/>
    </row>
    <row r="1944" spans="1:22" s="46" customFormat="1">
      <c r="A1944" s="54">
        <v>46072</v>
      </c>
      <c r="B1944" s="55" t="s">
        <v>5402</v>
      </c>
      <c r="C1944" s="55" t="s">
        <v>965</v>
      </c>
      <c r="D1944" s="55" t="s">
        <v>89</v>
      </c>
      <c r="E1944" s="55">
        <v>86351</v>
      </c>
      <c r="F1944" s="55" t="s">
        <v>5403</v>
      </c>
      <c r="G1944" s="55" t="s">
        <v>5404</v>
      </c>
      <c r="H1944" s="55">
        <v>2790433981</v>
      </c>
      <c r="I1944" s="55" t="s">
        <v>73</v>
      </c>
      <c r="J1944" s="55" t="s">
        <v>37</v>
      </c>
      <c r="K1944" s="55" t="s">
        <v>5405</v>
      </c>
      <c r="L1944" s="55" t="s">
        <v>38</v>
      </c>
      <c r="M1944" s="55" t="s">
        <v>37</v>
      </c>
      <c r="N1944" s="55" t="s">
        <v>37</v>
      </c>
      <c r="O1944" s="55" t="s">
        <v>38</v>
      </c>
      <c r="P1944" s="55" t="s">
        <v>39</v>
      </c>
      <c r="Q1944" s="54">
        <v>46077</v>
      </c>
      <c r="R1944" s="55"/>
      <c r="S1944" s="55"/>
      <c r="T1944" s="55"/>
      <c r="U1944" s="55"/>
      <c r="V1944" s="55"/>
    </row>
    <row r="1945" spans="1:22" s="46" customFormat="1">
      <c r="A1945" s="54">
        <v>46072</v>
      </c>
      <c r="B1945" s="55" t="s">
        <v>5406</v>
      </c>
      <c r="C1945" s="55" t="s">
        <v>5156</v>
      </c>
      <c r="D1945" s="55" t="s">
        <v>504</v>
      </c>
      <c r="E1945" s="55">
        <v>86004</v>
      </c>
      <c r="F1945" s="55" t="s">
        <v>5407</v>
      </c>
      <c r="G1945" s="55" t="s">
        <v>5404</v>
      </c>
      <c r="H1945" s="55">
        <v>5799850000</v>
      </c>
      <c r="I1945" s="55" t="s">
        <v>73</v>
      </c>
      <c r="J1945" s="55" t="s">
        <v>37</v>
      </c>
      <c r="K1945" s="55" t="s">
        <v>37</v>
      </c>
      <c r="L1945" s="55" t="s">
        <v>38</v>
      </c>
      <c r="M1945" s="55" t="s">
        <v>37</v>
      </c>
      <c r="N1945" s="55" t="s">
        <v>37</v>
      </c>
      <c r="O1945" s="55" t="s">
        <v>38</v>
      </c>
      <c r="P1945" s="55" t="s">
        <v>39</v>
      </c>
      <c r="Q1945" s="54">
        <v>46077</v>
      </c>
      <c r="R1945" s="55"/>
      <c r="S1945" s="55"/>
      <c r="T1945" s="55"/>
      <c r="U1945" s="55"/>
      <c r="V1945" s="55"/>
    </row>
    <row r="1946" spans="1:22" s="46" customFormat="1">
      <c r="A1946" s="54">
        <v>46072</v>
      </c>
      <c r="B1946" s="55" t="s">
        <v>5135</v>
      </c>
      <c r="C1946" s="55" t="s">
        <v>4611</v>
      </c>
      <c r="D1946" s="55" t="s">
        <v>174</v>
      </c>
      <c r="E1946" s="55" t="s">
        <v>4536</v>
      </c>
      <c r="F1946" s="55" t="s">
        <v>5408</v>
      </c>
      <c r="G1946" s="55" t="s">
        <v>5404</v>
      </c>
      <c r="H1946" s="55" t="s">
        <v>27</v>
      </c>
      <c r="I1946" s="55"/>
      <c r="J1946" s="55"/>
      <c r="K1946" s="55"/>
      <c r="L1946" s="55"/>
      <c r="M1946" s="55"/>
      <c r="N1946" s="55"/>
      <c r="O1946" s="55"/>
      <c r="P1946" s="55"/>
      <c r="Q1946" s="55"/>
      <c r="R1946" s="55"/>
      <c r="S1946" s="55"/>
      <c r="T1946" s="55"/>
      <c r="U1946" s="55"/>
      <c r="V1946" s="55"/>
    </row>
    <row r="1947" spans="1:22" s="46" customFormat="1">
      <c r="A1947" s="54">
        <v>46072</v>
      </c>
      <c r="B1947" s="55" t="s">
        <v>1136</v>
      </c>
      <c r="C1947" s="55" t="s">
        <v>5409</v>
      </c>
      <c r="D1947" s="55" t="s">
        <v>63</v>
      </c>
      <c r="E1947" s="55">
        <v>85016</v>
      </c>
      <c r="F1947" s="55" t="s">
        <v>5410</v>
      </c>
      <c r="G1947" s="55" t="s">
        <v>5404</v>
      </c>
      <c r="H1947" s="55" t="s">
        <v>90</v>
      </c>
      <c r="I1947" s="55"/>
      <c r="J1947" s="55"/>
      <c r="K1947" s="55"/>
      <c r="L1947" s="55"/>
      <c r="M1947" s="55"/>
      <c r="N1947" s="55"/>
      <c r="O1947" s="55"/>
      <c r="P1947" s="55"/>
      <c r="Q1947" s="55"/>
      <c r="R1947" s="55"/>
      <c r="S1947" s="55"/>
      <c r="T1947" s="55"/>
      <c r="U1947" s="55"/>
      <c r="V1947" s="55"/>
    </row>
    <row r="1948" spans="1:22" s="46" customFormat="1">
      <c r="A1948" s="54">
        <v>46073</v>
      </c>
      <c r="B1948" s="55" t="s">
        <v>5411</v>
      </c>
      <c r="C1948" s="55" t="s">
        <v>230</v>
      </c>
      <c r="D1948" s="55" t="s">
        <v>202</v>
      </c>
      <c r="E1948" s="55">
        <v>85383</v>
      </c>
      <c r="F1948" s="55" t="s">
        <v>5412</v>
      </c>
      <c r="G1948" s="55" t="s">
        <v>5413</v>
      </c>
      <c r="H1948" s="55">
        <v>6626220000</v>
      </c>
      <c r="I1948" s="55" t="s">
        <v>4787</v>
      </c>
      <c r="J1948" s="55" t="s">
        <v>37</v>
      </c>
      <c r="K1948" s="55" t="s">
        <v>37</v>
      </c>
      <c r="L1948" s="55" t="s">
        <v>38</v>
      </c>
      <c r="M1948" s="55" t="s">
        <v>37</v>
      </c>
      <c r="N1948" s="55" t="s">
        <v>37</v>
      </c>
      <c r="O1948" s="55" t="s">
        <v>38</v>
      </c>
      <c r="P1948" s="55" t="s">
        <v>39</v>
      </c>
      <c r="Q1948" s="54">
        <v>46077</v>
      </c>
      <c r="R1948" s="55"/>
      <c r="S1948" s="55"/>
      <c r="T1948" s="55"/>
      <c r="U1948" s="55"/>
      <c r="V1948" s="55"/>
    </row>
    <row r="1949" spans="1:22" s="46" customFormat="1">
      <c r="A1949" s="54">
        <v>46073</v>
      </c>
      <c r="B1949" s="55" t="s">
        <v>5414</v>
      </c>
      <c r="C1949" s="55" t="s">
        <v>1007</v>
      </c>
      <c r="D1949" s="55" t="s">
        <v>1919</v>
      </c>
      <c r="E1949" s="55">
        <v>85201</v>
      </c>
      <c r="F1949" s="55" t="s">
        <v>5415</v>
      </c>
      <c r="G1949" s="55" t="s">
        <v>5413</v>
      </c>
      <c r="H1949" s="55" t="s">
        <v>27</v>
      </c>
      <c r="I1949" s="55"/>
      <c r="J1949" s="55"/>
      <c r="K1949" s="55"/>
      <c r="L1949" s="55"/>
      <c r="M1949" s="55"/>
      <c r="N1949" s="55"/>
      <c r="O1949" s="55"/>
      <c r="P1949" s="55"/>
      <c r="Q1949" s="55"/>
      <c r="R1949" s="55"/>
      <c r="S1949" s="55"/>
      <c r="T1949" s="55"/>
      <c r="U1949" s="55"/>
      <c r="V1949" s="55"/>
    </row>
    <row r="1950" spans="1:22" s="46" customFormat="1">
      <c r="A1950" s="56">
        <v>46073</v>
      </c>
      <c r="B1950" s="57" t="s">
        <v>5416</v>
      </c>
      <c r="C1950" s="57" t="s">
        <v>650</v>
      </c>
      <c r="D1950" s="57" t="s">
        <v>63</v>
      </c>
      <c r="E1950" s="57">
        <v>85020</v>
      </c>
      <c r="F1950" s="57" t="s">
        <v>5417</v>
      </c>
      <c r="G1950" s="57" t="s">
        <v>5418</v>
      </c>
      <c r="H1950" s="57">
        <v>5875521000</v>
      </c>
      <c r="I1950" s="57" t="s">
        <v>5350</v>
      </c>
      <c r="J1950" s="57" t="s">
        <v>37</v>
      </c>
      <c r="K1950" s="57" t="s">
        <v>37</v>
      </c>
      <c r="L1950" s="57" t="s">
        <v>5419</v>
      </c>
      <c r="M1950" s="57" t="s">
        <v>37</v>
      </c>
      <c r="N1950" s="57" t="s">
        <v>37</v>
      </c>
      <c r="O1950" s="57" t="s">
        <v>38</v>
      </c>
      <c r="P1950" s="57"/>
      <c r="Q1950" s="56">
        <v>45712</v>
      </c>
      <c r="R1950" s="57" t="s">
        <v>4004</v>
      </c>
      <c r="S1950" s="57"/>
      <c r="T1950" s="57"/>
      <c r="U1950" s="57"/>
      <c r="V1950" s="57"/>
    </row>
    <row r="1951" spans="1:22" s="46" customFormat="1">
      <c r="A1951" s="54">
        <v>46076</v>
      </c>
      <c r="B1951" s="55" t="s">
        <v>91</v>
      </c>
      <c r="C1951" s="55" t="s">
        <v>92</v>
      </c>
      <c r="D1951" s="55" t="s">
        <v>93</v>
      </c>
      <c r="E1951" s="55">
        <v>85351</v>
      </c>
      <c r="F1951" s="55" t="s">
        <v>5420</v>
      </c>
      <c r="G1951" s="55" t="s">
        <v>5421</v>
      </c>
      <c r="H1951" s="55">
        <v>1163301000</v>
      </c>
      <c r="I1951" s="55" t="s">
        <v>73</v>
      </c>
      <c r="J1951" s="55" t="s">
        <v>37</v>
      </c>
      <c r="K1951" s="55" t="s">
        <v>37</v>
      </c>
      <c r="L1951" s="55" t="s">
        <v>38</v>
      </c>
      <c r="M1951" s="55" t="s">
        <v>37</v>
      </c>
      <c r="N1951" s="55" t="s">
        <v>37</v>
      </c>
      <c r="O1951" s="55" t="s">
        <v>38</v>
      </c>
      <c r="P1951" s="55" t="s">
        <v>39</v>
      </c>
      <c r="Q1951" s="54">
        <v>46077</v>
      </c>
      <c r="R1951" s="55"/>
      <c r="S1951" s="55"/>
      <c r="T1951" s="55"/>
      <c r="U1951" s="55"/>
      <c r="V1951" s="55"/>
    </row>
    <row r="1952" spans="1:22" s="46" customFormat="1">
      <c r="A1952" s="54">
        <v>46076</v>
      </c>
      <c r="B1952" s="55" t="s">
        <v>5422</v>
      </c>
      <c r="C1952" s="55" t="s">
        <v>5423</v>
      </c>
      <c r="D1952" s="55" t="s">
        <v>125</v>
      </c>
      <c r="E1952" s="55">
        <v>85251</v>
      </c>
      <c r="F1952" s="55" t="s">
        <v>5424</v>
      </c>
      <c r="G1952" s="55" t="s">
        <v>5421</v>
      </c>
      <c r="H1952" s="55" t="s">
        <v>27</v>
      </c>
      <c r="I1952" s="55"/>
      <c r="J1952" s="55"/>
      <c r="K1952" s="55"/>
      <c r="L1952" s="55"/>
      <c r="M1952" s="55"/>
      <c r="N1952" s="55"/>
      <c r="O1952" s="55"/>
      <c r="P1952" s="55"/>
      <c r="Q1952" s="55"/>
      <c r="R1952" s="55"/>
      <c r="S1952" s="55"/>
      <c r="T1952" s="55"/>
      <c r="U1952" s="55"/>
      <c r="V1952" s="55"/>
    </row>
  </sheetData>
  <hyperlinks>
    <hyperlink ref="G1387" r:id="rId1" xr:uid="{DA231809-9E44-4D83-AC35-430A0FF16C89}"/>
  </hyperlinks>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464D8-8EC6-4930-AE28-491F8A234E88}">
  <sheetPr codeName="Sheet2">
    <tabColor rgb="FF2E75B6"/>
  </sheetPr>
  <dimension ref="A1:AC1418"/>
  <sheetViews>
    <sheetView workbookViewId="0">
      <pane ySplit="1" topLeftCell="A2" activePane="bottomLeft" state="frozen"/>
      <selection pane="bottomLeft"/>
    </sheetView>
  </sheetViews>
  <sheetFormatPr defaultRowHeight="15" outlineLevelCol="2"/>
  <cols>
    <col min="1" max="1" width="15.28515625" customWidth="1"/>
    <col min="2" max="2" width="18.140625" customWidth="1"/>
    <col min="3" max="3" width="15.28515625" customWidth="1"/>
    <col min="4" max="4" width="16.140625" customWidth="1"/>
    <col min="5" max="5" width="11.42578125" customWidth="1"/>
    <col min="6" max="6" width="26.7109375" customWidth="1"/>
    <col min="7" max="9" width="19" customWidth="1"/>
    <col min="10" max="11" width="7.5703125" customWidth="1"/>
    <col min="12" max="12" width="26.7109375" customWidth="1"/>
    <col min="13" max="13" width="7.5703125" customWidth="1"/>
    <col min="14" max="14" width="14.28515625" customWidth="1"/>
    <col min="15" max="15" width="15.28515625" customWidth="1"/>
    <col min="16" max="16" width="19" customWidth="1"/>
    <col min="17" max="17" width="18.140625" customWidth="1"/>
    <col min="18" max="18" width="28.5703125" customWidth="1"/>
    <col min="19" max="20" width="17.140625" customWidth="1"/>
    <col min="21" max="21" width="28.5703125" customWidth="1"/>
    <col min="22" max="22" width="18.140625" customWidth="1"/>
    <col min="23" max="23" width="16.140625" customWidth="1"/>
    <col min="24" max="24" width="8.5703125" customWidth="1"/>
    <col min="25" max="25" width="21" customWidth="1"/>
    <col min="26" max="26" width="34.28515625" customWidth="1"/>
    <col min="27" max="28" width="0" hidden="1" customWidth="1" outlineLevel="2"/>
    <col min="29" max="29" width="9.140625" collapsed="1"/>
  </cols>
  <sheetData>
    <row r="1" spans="1:28" ht="30" customHeight="1" thickBot="1">
      <c r="A1" s="80" t="s">
        <v>0</v>
      </c>
      <c r="B1" s="81" t="s">
        <v>1</v>
      </c>
      <c r="C1" s="81" t="s">
        <v>2</v>
      </c>
      <c r="D1" s="81" t="s">
        <v>3</v>
      </c>
      <c r="E1" s="81" t="s">
        <v>5482</v>
      </c>
      <c r="F1" s="81" t="s">
        <v>5</v>
      </c>
      <c r="G1" s="81" t="s">
        <v>6</v>
      </c>
      <c r="H1" s="81" t="s">
        <v>7</v>
      </c>
      <c r="I1" s="81" t="s">
        <v>8</v>
      </c>
      <c r="J1" s="81" t="s">
        <v>9</v>
      </c>
      <c r="K1" s="81" t="s">
        <v>10</v>
      </c>
      <c r="L1" s="81" t="s">
        <v>11</v>
      </c>
      <c r="M1" s="81" t="s">
        <v>12</v>
      </c>
      <c r="N1" s="81" t="s">
        <v>13</v>
      </c>
      <c r="O1" s="81" t="s">
        <v>14</v>
      </c>
      <c r="P1" s="81" t="s">
        <v>15</v>
      </c>
      <c r="Q1" s="81" t="s">
        <v>5483</v>
      </c>
      <c r="R1" s="81" t="s">
        <v>17</v>
      </c>
      <c r="S1" s="81" t="s">
        <v>18</v>
      </c>
      <c r="T1" s="81" t="s">
        <v>19</v>
      </c>
      <c r="U1" s="81" t="s">
        <v>20</v>
      </c>
      <c r="V1" s="82" t="s">
        <v>5427</v>
      </c>
      <c r="W1" s="82" t="s">
        <v>5428</v>
      </c>
      <c r="X1" s="82" t="s">
        <v>5429</v>
      </c>
      <c r="Y1" s="82" t="s">
        <v>5430</v>
      </c>
      <c r="Z1" s="83" t="s">
        <v>5484</v>
      </c>
      <c r="AA1" s="133" t="s">
        <v>5633</v>
      </c>
      <c r="AB1" s="133" t="s">
        <v>5634</v>
      </c>
    </row>
    <row r="2" spans="1:28">
      <c r="A2" s="76">
        <v>45797</v>
      </c>
      <c r="B2" s="77" t="s">
        <v>33</v>
      </c>
      <c r="C2" s="77" t="s">
        <v>34</v>
      </c>
      <c r="D2" s="77" t="s">
        <v>24</v>
      </c>
      <c r="E2" s="77" t="s">
        <v>30</v>
      </c>
      <c r="F2" s="77" t="s">
        <v>31</v>
      </c>
      <c r="G2" s="77" t="s">
        <v>35</v>
      </c>
      <c r="H2" s="77">
        <v>5494061000</v>
      </c>
      <c r="I2" s="77" t="s">
        <v>36</v>
      </c>
      <c r="J2" s="77" t="s">
        <v>37</v>
      </c>
      <c r="K2" s="77" t="s">
        <v>37</v>
      </c>
      <c r="L2" s="77" t="s">
        <v>38</v>
      </c>
      <c r="M2" s="77" t="s">
        <v>37</v>
      </c>
      <c r="N2" s="77" t="s">
        <v>37</v>
      </c>
      <c r="O2" s="77" t="s">
        <v>38</v>
      </c>
      <c r="P2" s="77" t="s">
        <v>39</v>
      </c>
      <c r="Q2" s="76">
        <v>45589</v>
      </c>
      <c r="R2" s="77"/>
      <c r="S2" s="77"/>
      <c r="T2" s="77"/>
      <c r="U2" s="77" t="s">
        <v>40</v>
      </c>
      <c r="V2" s="78" t="s">
        <v>5432</v>
      </c>
      <c r="W2" s="79">
        <v>45997</v>
      </c>
      <c r="X2" s="78" t="s">
        <v>38</v>
      </c>
      <c r="Y2" s="78"/>
      <c r="Z2" s="78" t="s">
        <v>5458</v>
      </c>
      <c r="AA2">
        <f>IF(COUNTIF('Call Queue'!$H$6:$H$20,V2)&gt;0,0,IF(AND(ISNUMBER(N2),N2&gt;0),10000000+N2,IF(ISNUMBER(N2*1),IF(N2*1&gt;0,10000000+N2*1,0),0))+IF(ISNUMBER(SEARCH("(",L2)),1000000+IFERROR(VALUE(SUBSTITUTE(SUBSTITUTE(SUBSTITUTE(MID(L2,SEARCH("(",L2)+1,SEARCH(")",L2)-SEARCH("(",L2)-1),"$",""),",","")," ","")),0),0))</f>
        <v>0</v>
      </c>
    </row>
    <row r="3" spans="1:28">
      <c r="A3" s="76">
        <v>45798</v>
      </c>
      <c r="B3" s="77" t="s">
        <v>41</v>
      </c>
      <c r="C3" s="77" t="s">
        <v>42</v>
      </c>
      <c r="D3" s="77" t="s">
        <v>43</v>
      </c>
      <c r="E3" s="77">
        <v>85363</v>
      </c>
      <c r="F3" s="77" t="s">
        <v>31</v>
      </c>
      <c r="G3" s="77" t="s">
        <v>44</v>
      </c>
      <c r="H3" s="77">
        <v>2074850000</v>
      </c>
      <c r="I3" s="77" t="s">
        <v>46</v>
      </c>
      <c r="J3" s="77" t="s">
        <v>37</v>
      </c>
      <c r="K3" s="77" t="s">
        <v>37</v>
      </c>
      <c r="L3" s="77" t="s">
        <v>47</v>
      </c>
      <c r="M3" s="77" t="s">
        <v>37</v>
      </c>
      <c r="N3" s="77" t="s">
        <v>37</v>
      </c>
      <c r="O3" s="77" t="s">
        <v>38</v>
      </c>
      <c r="P3" s="77" t="s">
        <v>39</v>
      </c>
      <c r="Q3" s="76">
        <v>45589</v>
      </c>
      <c r="R3" s="77" t="s">
        <v>48</v>
      </c>
      <c r="S3" s="77"/>
      <c r="T3" s="77"/>
      <c r="U3" s="77"/>
      <c r="V3" s="78" t="s">
        <v>5432</v>
      </c>
      <c r="W3" s="79">
        <v>45997</v>
      </c>
      <c r="X3" s="78"/>
      <c r="Y3" s="78"/>
      <c r="Z3" s="78" t="s">
        <v>5535</v>
      </c>
      <c r="AA3">
        <f>IF(COUNTIF('Call Queue'!$H$6:$H$20,V3)&gt;0,0,IF(AND(ISNUMBER(N3),N3&gt;0),10000000+N3,IF(ISNUMBER(N3*1),IF(N3*1&gt;0,10000000+N3*1,0),0))+IF(ISNUMBER(SEARCH("(",L3)),1000000+IFERROR(VALUE(SUBSTITUTE(SUBSTITUTE(SUBSTITUTE(MID(L3,SEARCH("(",L3)+1,SEARCH(")",L3)-SEARCH("(",L3)-1),"$",""),",","")," ","")),0),0))</f>
        <v>0</v>
      </c>
    </row>
    <row r="4" spans="1:28">
      <c r="A4" s="76">
        <v>45798</v>
      </c>
      <c r="B4" s="77" t="s">
        <v>49</v>
      </c>
      <c r="C4" s="77" t="s">
        <v>50</v>
      </c>
      <c r="D4" s="77" t="s">
        <v>51</v>
      </c>
      <c r="E4" s="77">
        <v>85554</v>
      </c>
      <c r="F4" s="77" t="s">
        <v>31</v>
      </c>
      <c r="G4" s="77" t="s">
        <v>44</v>
      </c>
      <c r="H4" s="77">
        <v>4823746138</v>
      </c>
      <c r="I4" s="77" t="s">
        <v>36</v>
      </c>
      <c r="J4" s="77" t="s">
        <v>37</v>
      </c>
      <c r="K4" s="77" t="s">
        <v>37</v>
      </c>
      <c r="L4" s="77" t="s">
        <v>38</v>
      </c>
      <c r="M4" s="77" t="s">
        <v>37</v>
      </c>
      <c r="N4" s="77" t="s">
        <v>37</v>
      </c>
      <c r="O4" s="77" t="s">
        <v>38</v>
      </c>
      <c r="P4" s="77" t="s">
        <v>39</v>
      </c>
      <c r="Q4" s="76">
        <v>45589</v>
      </c>
      <c r="R4" s="77"/>
      <c r="S4" s="77"/>
      <c r="T4" s="77"/>
      <c r="U4" s="77"/>
      <c r="V4" s="78" t="s">
        <v>5432</v>
      </c>
      <c r="W4" s="79">
        <v>45997</v>
      </c>
      <c r="X4" s="78" t="s">
        <v>38</v>
      </c>
      <c r="Y4" s="78"/>
      <c r="Z4" s="78" t="s">
        <v>5458</v>
      </c>
      <c r="AA4">
        <f>IF(COUNTIF('Call Queue'!$H$6:$H$20,V4)&gt;0,0,IF(AND(ISNUMBER(N4),N4&gt;0),10000000+N4,IF(ISNUMBER(N4*1),IF(N4*1&gt;0,10000000+N4*1,0),0))+IF(ISNUMBER(SEARCH("(",L4)),1000000+IFERROR(VALUE(SUBSTITUTE(SUBSTITUTE(SUBSTITUTE(MID(L4,SEARCH("(",L4)+1,SEARCH(")",L4)-SEARCH("(",L4)-1),"$",""),",","")," ","")),0),0))</f>
        <v>0</v>
      </c>
    </row>
    <row r="5" spans="1:28">
      <c r="A5" s="76">
        <v>45799</v>
      </c>
      <c r="B5" s="77" t="s">
        <v>52</v>
      </c>
      <c r="C5" s="77" t="s">
        <v>53</v>
      </c>
      <c r="D5" s="77" t="s">
        <v>30</v>
      </c>
      <c r="E5" s="77" t="s">
        <v>30</v>
      </c>
      <c r="F5" s="77" t="s">
        <v>54</v>
      </c>
      <c r="G5" s="77" t="s">
        <v>55</v>
      </c>
      <c r="H5" s="77">
        <v>8991140195</v>
      </c>
      <c r="I5" s="77" t="s">
        <v>57</v>
      </c>
      <c r="J5" s="77" t="s">
        <v>37</v>
      </c>
      <c r="K5" s="77" t="s">
        <v>37</v>
      </c>
      <c r="L5" s="77" t="s">
        <v>58</v>
      </c>
      <c r="M5" s="77" t="s">
        <v>37</v>
      </c>
      <c r="N5" s="77" t="s">
        <v>37</v>
      </c>
      <c r="O5" s="77" t="s">
        <v>38</v>
      </c>
      <c r="P5" s="77">
        <v>45964</v>
      </c>
      <c r="Q5" s="76">
        <v>45954</v>
      </c>
      <c r="R5" s="77" t="s">
        <v>59</v>
      </c>
      <c r="S5" s="77"/>
      <c r="T5" s="77"/>
      <c r="U5" s="77" t="s">
        <v>60</v>
      </c>
      <c r="V5" s="78" t="s">
        <v>5432</v>
      </c>
      <c r="W5" s="79">
        <v>45997</v>
      </c>
      <c r="X5" s="78"/>
      <c r="Y5" s="78"/>
      <c r="Z5" s="78" t="s">
        <v>5433</v>
      </c>
      <c r="AA5">
        <f>IF(COUNTIF('Call Queue'!$H$6:$H$20,V5)&gt;0,0,IF(AND(ISNUMBER(N5),N5&gt;0),10000000+N5,IF(ISNUMBER(N5*1),IF(N5*1&gt;0,10000000+N5*1,0),0))+IF(ISNUMBER(SEARCH("(",L5)),1000000+IFERROR(VALUE(SUBSTITUTE(SUBSTITUTE(SUBSTITUTE(MID(L5,SEARCH("(",L5)+1,SEARCH(")",L5)-SEARCH("(",L5)-1),"$",""),",","")," ","")),0),0))</f>
        <v>0</v>
      </c>
    </row>
    <row r="6" spans="1:28">
      <c r="A6" s="76">
        <v>45804</v>
      </c>
      <c r="B6" s="77" t="s">
        <v>66</v>
      </c>
      <c r="C6" s="77" t="s">
        <v>67</v>
      </c>
      <c r="D6" s="77" t="s">
        <v>68</v>
      </c>
      <c r="E6" s="77">
        <v>85331</v>
      </c>
      <c r="F6" s="77" t="s">
        <v>31</v>
      </c>
      <c r="G6" s="77" t="s">
        <v>69</v>
      </c>
      <c r="H6" s="77">
        <v>5900820000</v>
      </c>
      <c r="I6" s="77" t="s">
        <v>36</v>
      </c>
      <c r="J6" s="77" t="s">
        <v>37</v>
      </c>
      <c r="K6" s="77" t="s">
        <v>37</v>
      </c>
      <c r="L6" s="77" t="s">
        <v>38</v>
      </c>
      <c r="M6" s="77" t="s">
        <v>37</v>
      </c>
      <c r="N6" s="77" t="s">
        <v>37</v>
      </c>
      <c r="O6" s="77" t="s">
        <v>38</v>
      </c>
      <c r="P6" s="77" t="s">
        <v>39</v>
      </c>
      <c r="Q6" s="76">
        <v>45954</v>
      </c>
      <c r="R6" s="77"/>
      <c r="S6" s="77"/>
      <c r="T6" s="77"/>
      <c r="U6" s="77"/>
      <c r="V6" s="78" t="s">
        <v>117</v>
      </c>
      <c r="W6" s="79">
        <v>46060</v>
      </c>
      <c r="X6" s="78" t="s">
        <v>38</v>
      </c>
      <c r="Y6" s="78"/>
      <c r="Z6" s="78"/>
      <c r="AA6">
        <f>IF(COUNTIF('Call Queue'!$H$6:$H$20,V6)&gt;0,0,IF(AND(ISNUMBER(N6),N6&gt;0),10000000+N6,IF(ISNUMBER(N6*1),IF(N6*1&gt;0,10000000+N6*1,0),0))+IF(ISNUMBER(SEARCH("(",L6)),1000000+IFERROR(VALUE(SUBSTITUTE(SUBSTITUTE(SUBSTITUTE(MID(L6,SEARCH("(",L6)+1,SEARCH(")",L6)-SEARCH("(",L6)-1),"$",""),",","")," ","")),0),0))</f>
        <v>0</v>
      </c>
    </row>
    <row r="7" spans="1:28">
      <c r="A7" s="76">
        <v>45805</v>
      </c>
      <c r="B7" s="77" t="s">
        <v>70</v>
      </c>
      <c r="C7" s="77" t="s">
        <v>71</v>
      </c>
      <c r="D7" s="77" t="s">
        <v>30</v>
      </c>
      <c r="E7" s="77" t="s">
        <v>30</v>
      </c>
      <c r="F7" s="77" t="s">
        <v>31</v>
      </c>
      <c r="G7" s="77" t="s">
        <v>72</v>
      </c>
      <c r="H7" s="77">
        <v>1569851000</v>
      </c>
      <c r="I7" s="77" t="s">
        <v>73</v>
      </c>
      <c r="J7" s="77" t="s">
        <v>37</v>
      </c>
      <c r="K7" s="77" t="s">
        <v>37</v>
      </c>
      <c r="L7" s="77" t="s">
        <v>38</v>
      </c>
      <c r="M7" s="77" t="s">
        <v>37</v>
      </c>
      <c r="N7" s="77" t="s">
        <v>37</v>
      </c>
      <c r="O7" s="77" t="s">
        <v>38</v>
      </c>
      <c r="P7" s="77" t="s">
        <v>39</v>
      </c>
      <c r="Q7" s="76">
        <v>45954</v>
      </c>
      <c r="R7" s="77"/>
      <c r="S7" s="77"/>
      <c r="T7" s="77"/>
      <c r="U7" s="77"/>
      <c r="V7" s="78"/>
      <c r="W7" s="79"/>
      <c r="X7" s="78"/>
      <c r="Y7" s="78"/>
      <c r="Z7" s="78"/>
      <c r="AA7">
        <f>IF(COUNTIF('Call Queue'!$H$6:$H$20,V7)&gt;0,0,IF(AND(ISNUMBER(N7),N7&gt;0),10000000+N7,IF(ISNUMBER(N7*1),IF(N7*1&gt;0,10000000+N7*1,0),0))+IF(ISNUMBER(SEARCH("(",L7)),1000000+IFERROR(VALUE(SUBSTITUTE(SUBSTITUTE(SUBSTITUTE(MID(L7,SEARCH("(",L7)+1,SEARCH(")",L7)-SEARCH("(",L7)-1),"$",""),",","")," ","")),0),0))</f>
        <v>0</v>
      </c>
    </row>
    <row r="8" spans="1:28">
      <c r="A8" s="76">
        <v>45812</v>
      </c>
      <c r="B8" s="77" t="s">
        <v>78</v>
      </c>
      <c r="C8" s="77" t="s">
        <v>79</v>
      </c>
      <c r="D8" s="77" t="s">
        <v>30</v>
      </c>
      <c r="E8" s="77" t="s">
        <v>30</v>
      </c>
      <c r="F8" s="77" t="s">
        <v>31</v>
      </c>
      <c r="G8" s="77" t="s">
        <v>76</v>
      </c>
      <c r="H8" s="77">
        <v>7938430000</v>
      </c>
      <c r="I8" s="77" t="s">
        <v>81</v>
      </c>
      <c r="J8" s="77" t="s">
        <v>37</v>
      </c>
      <c r="K8" s="77" t="s">
        <v>37</v>
      </c>
      <c r="L8" s="77" t="s">
        <v>82</v>
      </c>
      <c r="M8" s="77" t="s">
        <v>37</v>
      </c>
      <c r="N8" s="77" t="s">
        <v>37</v>
      </c>
      <c r="O8" s="77" t="s">
        <v>38</v>
      </c>
      <c r="P8" s="77" t="s">
        <v>39</v>
      </c>
      <c r="Q8" s="76">
        <v>45957</v>
      </c>
      <c r="R8" s="77"/>
      <c r="S8" s="77"/>
      <c r="T8" s="77"/>
      <c r="U8" s="77"/>
      <c r="V8" s="78" t="s">
        <v>5432</v>
      </c>
      <c r="W8" s="79">
        <v>45997</v>
      </c>
      <c r="X8" s="78" t="s">
        <v>38</v>
      </c>
      <c r="Y8" s="78"/>
      <c r="Z8" s="78"/>
      <c r="AA8">
        <f>IF(COUNTIF('Call Queue'!$H$6:$H$20,V8)&gt;0,0,IF(AND(ISNUMBER(N8),N8&gt;0),10000000+N8,IF(ISNUMBER(N8*1),IF(N8*1&gt;0,10000000+N8*1,0),0))+IF(ISNUMBER(SEARCH("(",L8)),1000000+IFERROR(VALUE(SUBSTITUTE(SUBSTITUTE(SUBSTITUTE(MID(L8,SEARCH("(",L8)+1,SEARCH(")",L8)-SEARCH("(",L8)-1),"$",""),",","")," ","")),0),0))</f>
        <v>0</v>
      </c>
    </row>
    <row r="9" spans="1:28">
      <c r="A9" s="76">
        <v>45813</v>
      </c>
      <c r="B9" s="77" t="s">
        <v>83</v>
      </c>
      <c r="C9" s="77" t="s">
        <v>84</v>
      </c>
      <c r="D9" s="77" t="s">
        <v>85</v>
      </c>
      <c r="E9" s="77" t="s">
        <v>30</v>
      </c>
      <c r="F9" s="77" t="s">
        <v>31</v>
      </c>
      <c r="G9" s="77" t="s">
        <v>86</v>
      </c>
      <c r="H9" s="77">
        <v>2009184288</v>
      </c>
      <c r="I9" s="77" t="s">
        <v>46</v>
      </c>
      <c r="J9" s="77" t="s">
        <v>37</v>
      </c>
      <c r="K9" s="77" t="s">
        <v>37</v>
      </c>
      <c r="L9" s="77" t="s">
        <v>38</v>
      </c>
      <c r="M9" s="77" t="s">
        <v>37</v>
      </c>
      <c r="N9" s="77" t="s">
        <v>37</v>
      </c>
      <c r="O9" s="77" t="s">
        <v>38</v>
      </c>
      <c r="P9" s="77" t="s">
        <v>39</v>
      </c>
      <c r="Q9" s="76">
        <v>45957</v>
      </c>
      <c r="R9" s="77"/>
      <c r="S9" s="77"/>
      <c r="T9" s="77"/>
      <c r="U9" s="77"/>
      <c r="V9" s="78" t="s">
        <v>5432</v>
      </c>
      <c r="W9" s="79">
        <v>45997</v>
      </c>
      <c r="X9" s="78"/>
      <c r="Y9" s="78"/>
      <c r="Z9" s="78" t="s">
        <v>5536</v>
      </c>
      <c r="AA9">
        <f>IF(COUNTIF('Call Queue'!$H$6:$H$20,V9)&gt;0,0,IF(AND(ISNUMBER(N9),N9&gt;0),10000000+N9,IF(ISNUMBER(N9*1),IF(N9*1&gt;0,10000000+N9*1,0),0))+IF(ISNUMBER(SEARCH("(",L9)),1000000+IFERROR(VALUE(SUBSTITUTE(SUBSTITUTE(SUBSTITUTE(MID(L9,SEARCH("(",L9)+1,SEARCH(")",L9)-SEARCH("(",L9)-1),"$",""),",","")," ","")),0),0))</f>
        <v>0</v>
      </c>
    </row>
    <row r="10" spans="1:28">
      <c r="A10" s="76">
        <v>45814</v>
      </c>
      <c r="B10" s="77" t="s">
        <v>91</v>
      </c>
      <c r="C10" s="77" t="s">
        <v>92</v>
      </c>
      <c r="D10" s="77" t="s">
        <v>93</v>
      </c>
      <c r="E10" s="77">
        <v>85351</v>
      </c>
      <c r="F10" s="77" t="s">
        <v>31</v>
      </c>
      <c r="G10" s="77" t="s">
        <v>94</v>
      </c>
      <c r="H10" s="77">
        <v>1163301000</v>
      </c>
      <c r="I10" s="77" t="s">
        <v>73</v>
      </c>
      <c r="J10" s="77" t="s">
        <v>37</v>
      </c>
      <c r="K10" s="77" t="s">
        <v>37</v>
      </c>
      <c r="L10" s="77" t="s">
        <v>38</v>
      </c>
      <c r="M10" s="77" t="s">
        <v>37</v>
      </c>
      <c r="N10" s="77" t="s">
        <v>37</v>
      </c>
      <c r="O10" s="77" t="s">
        <v>38</v>
      </c>
      <c r="P10" s="77" t="s">
        <v>39</v>
      </c>
      <c r="Q10" s="76">
        <v>45957</v>
      </c>
      <c r="R10" s="77"/>
      <c r="S10" s="77"/>
      <c r="T10" s="77"/>
      <c r="U10" s="77"/>
      <c r="V10" s="78" t="s">
        <v>5432</v>
      </c>
      <c r="W10" s="79">
        <v>45997</v>
      </c>
      <c r="X10" s="78" t="s">
        <v>38</v>
      </c>
      <c r="Y10" s="78"/>
      <c r="Z10" s="78" t="s">
        <v>5537</v>
      </c>
      <c r="AA10">
        <f>IF(COUNTIF('Call Queue'!$H$6:$H$20,V10)&gt;0,0,IF(AND(ISNUMBER(N10),N10&gt;0),10000000+N10,IF(ISNUMBER(N10*1),IF(N10*1&gt;0,10000000+N10*1,0),0))+IF(ISNUMBER(SEARCH("(",L10)),1000000+IFERROR(VALUE(SUBSTITUTE(SUBSTITUTE(SUBSTITUTE(MID(L10,SEARCH("(",L10)+1,SEARCH(")",L10)-SEARCH("(",L10)-1),"$",""),",","")," ","")),0),0))</f>
        <v>0</v>
      </c>
    </row>
    <row r="11" spans="1:28">
      <c r="A11" s="76">
        <v>45821</v>
      </c>
      <c r="B11" s="77" t="s">
        <v>95</v>
      </c>
      <c r="C11" s="77" t="s">
        <v>96</v>
      </c>
      <c r="D11" s="77" t="s">
        <v>30</v>
      </c>
      <c r="E11" s="77" t="s">
        <v>30</v>
      </c>
      <c r="F11" s="77" t="s">
        <v>31</v>
      </c>
      <c r="G11" s="77" t="s">
        <v>97</v>
      </c>
      <c r="H11" s="77">
        <v>6242500593</v>
      </c>
      <c r="I11" s="77" t="s">
        <v>46</v>
      </c>
      <c r="J11" s="77" t="s">
        <v>37</v>
      </c>
      <c r="K11" s="77" t="s">
        <v>37</v>
      </c>
      <c r="L11" s="77" t="s">
        <v>99</v>
      </c>
      <c r="M11" s="77" t="s">
        <v>37</v>
      </c>
      <c r="N11" s="77" t="s">
        <v>37</v>
      </c>
      <c r="O11" s="77" t="s">
        <v>38</v>
      </c>
      <c r="P11" s="77" t="s">
        <v>39</v>
      </c>
      <c r="Q11" s="76">
        <v>45957</v>
      </c>
      <c r="R11" s="77" t="s">
        <v>100</v>
      </c>
      <c r="S11" s="77"/>
      <c r="T11" s="77"/>
      <c r="U11" s="77"/>
      <c r="V11" s="78" t="s">
        <v>5432</v>
      </c>
      <c r="W11" s="79">
        <v>45997</v>
      </c>
      <c r="X11" s="78" t="s">
        <v>38</v>
      </c>
      <c r="Y11" s="78"/>
      <c r="Z11" s="78" t="s">
        <v>5537</v>
      </c>
      <c r="AA11">
        <f>IF(COUNTIF('Call Queue'!$H$6:$H$20,V11)&gt;0,0,IF(AND(ISNUMBER(N11),N11&gt;0),10000000+N11,IF(ISNUMBER(N11*1),IF(N11*1&gt;0,10000000+N11*1,0),0))+IF(ISNUMBER(SEARCH("(",L11)),1000000+IFERROR(VALUE(SUBSTITUTE(SUBSTITUTE(SUBSTITUTE(MID(L11,SEARCH("(",L11)+1,SEARCH(")",L11)-SEARCH("(",L11)-1),"$",""),",","")," ","")),0),0))</f>
        <v>0</v>
      </c>
    </row>
    <row r="12" spans="1:28">
      <c r="A12" s="76">
        <v>45825</v>
      </c>
      <c r="B12" s="77" t="s">
        <v>116</v>
      </c>
      <c r="C12" s="77" t="s">
        <v>117</v>
      </c>
      <c r="D12" s="77" t="s">
        <v>24</v>
      </c>
      <c r="E12" s="77">
        <v>85308</v>
      </c>
      <c r="F12" s="77" t="s">
        <v>31</v>
      </c>
      <c r="G12" s="77" t="s">
        <v>113</v>
      </c>
      <c r="H12" s="77">
        <v>1565756559</v>
      </c>
      <c r="I12" s="77" t="s">
        <v>36</v>
      </c>
      <c r="J12" s="77" t="s">
        <v>37</v>
      </c>
      <c r="K12" s="77" t="s">
        <v>37</v>
      </c>
      <c r="L12" s="77" t="s">
        <v>38</v>
      </c>
      <c r="M12" s="77" t="s">
        <v>37</v>
      </c>
      <c r="N12" s="77" t="s">
        <v>37</v>
      </c>
      <c r="O12" s="77" t="s">
        <v>38</v>
      </c>
      <c r="P12" s="77" t="s">
        <v>39</v>
      </c>
      <c r="Q12" s="76">
        <v>45957</v>
      </c>
      <c r="R12" s="77"/>
      <c r="S12" s="77"/>
      <c r="T12" s="77"/>
      <c r="U12" s="77"/>
      <c r="V12" s="78" t="s">
        <v>5432</v>
      </c>
      <c r="W12" s="79">
        <v>45997</v>
      </c>
      <c r="X12" s="78" t="s">
        <v>38</v>
      </c>
      <c r="Y12" s="78"/>
      <c r="Z12" s="78" t="s">
        <v>5538</v>
      </c>
      <c r="AA12">
        <f>IF(COUNTIF('Call Queue'!$H$6:$H$20,V12)&gt;0,0,IF(AND(ISNUMBER(N12),N12&gt;0),10000000+N12,IF(ISNUMBER(N12*1),IF(N12*1&gt;0,10000000+N12*1,0),0))+IF(ISNUMBER(SEARCH("(",L12)),1000000+IFERROR(VALUE(SUBSTITUTE(SUBSTITUTE(SUBSTITUTE(MID(L12,SEARCH("(",L12)+1,SEARCH(")",L12)-SEARCH("(",L12)-1),"$",""),",","")," ","")),0),0))</f>
        <v>0</v>
      </c>
    </row>
    <row r="13" spans="1:28">
      <c r="A13" s="76">
        <v>45826</v>
      </c>
      <c r="B13" s="77" t="s">
        <v>123</v>
      </c>
      <c r="C13" s="77" t="s">
        <v>124</v>
      </c>
      <c r="D13" s="77" t="s">
        <v>125</v>
      </c>
      <c r="E13" s="77">
        <v>85254</v>
      </c>
      <c r="F13" s="77" t="s">
        <v>31</v>
      </c>
      <c r="G13" s="77" t="s">
        <v>121</v>
      </c>
      <c r="H13" s="77">
        <v>7413433376</v>
      </c>
      <c r="I13" s="77" t="s">
        <v>126</v>
      </c>
      <c r="J13" s="77" t="s">
        <v>37</v>
      </c>
      <c r="K13" s="77" t="s">
        <v>37</v>
      </c>
      <c r="L13" s="77" t="s">
        <v>38</v>
      </c>
      <c r="M13" s="77" t="s">
        <v>37</v>
      </c>
      <c r="N13" s="77" t="s">
        <v>37</v>
      </c>
      <c r="O13" s="77" t="s">
        <v>38</v>
      </c>
      <c r="P13" s="77" t="s">
        <v>39</v>
      </c>
      <c r="Q13" s="76">
        <v>45957</v>
      </c>
      <c r="R13" s="77"/>
      <c r="S13" s="77"/>
      <c r="T13" s="77"/>
      <c r="U13" s="77"/>
      <c r="V13" s="78"/>
      <c r="W13" s="79"/>
      <c r="X13" s="78"/>
      <c r="Y13" s="78"/>
      <c r="Z13" s="78"/>
      <c r="AA13">
        <f>IF(COUNTIF('Call Queue'!$H$6:$H$20,V13)&gt;0,0,IF(AND(ISNUMBER(N13),N13&gt;0),10000000+N13,IF(ISNUMBER(N13*1),IF(N13*1&gt;0,10000000+N13*1,0),0))+IF(ISNUMBER(SEARCH("(",L13)),1000000+IFERROR(VALUE(SUBSTITUTE(SUBSTITUTE(SUBSTITUTE(MID(L13,SEARCH("(",L13)+1,SEARCH(")",L13)-SEARCH("(",L13)-1),"$",""),",","")," ","")),0),0))</f>
        <v>0</v>
      </c>
    </row>
    <row r="14" spans="1:28">
      <c r="A14" s="76">
        <v>45826</v>
      </c>
      <c r="B14" s="77" t="s">
        <v>127</v>
      </c>
      <c r="C14" s="77" t="s">
        <v>128</v>
      </c>
      <c r="D14" s="77" t="s">
        <v>129</v>
      </c>
      <c r="E14" s="77">
        <v>85233</v>
      </c>
      <c r="F14" s="77" t="s">
        <v>31</v>
      </c>
      <c r="G14" s="77" t="s">
        <v>121</v>
      </c>
      <c r="H14" s="77">
        <v>6601188228</v>
      </c>
      <c r="I14" s="77" t="s">
        <v>36</v>
      </c>
      <c r="J14" s="77" t="s">
        <v>37</v>
      </c>
      <c r="K14" s="77" t="s">
        <v>37</v>
      </c>
      <c r="L14" s="77" t="s">
        <v>38</v>
      </c>
      <c r="M14" s="77" t="s">
        <v>37</v>
      </c>
      <c r="N14" s="77" t="s">
        <v>37</v>
      </c>
      <c r="O14" s="77" t="s">
        <v>38</v>
      </c>
      <c r="P14" s="77" t="s">
        <v>39</v>
      </c>
      <c r="Q14" s="76">
        <v>45957</v>
      </c>
      <c r="R14" s="77"/>
      <c r="S14" s="77"/>
      <c r="T14" s="77"/>
      <c r="U14" s="77"/>
      <c r="V14" s="78" t="s">
        <v>117</v>
      </c>
      <c r="W14" s="79">
        <v>45997</v>
      </c>
      <c r="X14" s="78" t="s">
        <v>37</v>
      </c>
      <c r="Y14" s="78"/>
      <c r="Z14" s="78" t="s">
        <v>5435</v>
      </c>
      <c r="AA14">
        <f>IF(COUNTIF('Call Queue'!$H$6:$H$20,V14)&gt;0,0,IF(AND(ISNUMBER(N14),N14&gt;0),10000000+N14,IF(ISNUMBER(N14*1),IF(N14*1&gt;0,10000000+N14*1,0),0))+IF(ISNUMBER(SEARCH("(",L14)),1000000+IFERROR(VALUE(SUBSTITUTE(SUBSTITUTE(SUBSTITUTE(MID(L14,SEARCH("(",L14)+1,SEARCH(")",L14)-SEARCH("(",L14)-1),"$",""),",","")," ","")),0),0))</f>
        <v>0</v>
      </c>
    </row>
    <row r="15" spans="1:28">
      <c r="A15" s="76">
        <v>45826</v>
      </c>
      <c r="B15" s="77" t="s">
        <v>130</v>
      </c>
      <c r="C15" s="77" t="s">
        <v>131</v>
      </c>
      <c r="D15" s="77" t="s">
        <v>112</v>
      </c>
      <c r="E15" s="77">
        <v>85388</v>
      </c>
      <c r="F15" s="77" t="s">
        <v>31</v>
      </c>
      <c r="G15" s="77" t="s">
        <v>121</v>
      </c>
      <c r="H15" s="77">
        <v>7397110970</v>
      </c>
      <c r="I15" s="77" t="s">
        <v>36</v>
      </c>
      <c r="J15" s="77" t="s">
        <v>37</v>
      </c>
      <c r="K15" s="77" t="s">
        <v>37</v>
      </c>
      <c r="L15" s="77" t="s">
        <v>38</v>
      </c>
      <c r="M15" s="77" t="s">
        <v>37</v>
      </c>
      <c r="N15" s="77" t="s">
        <v>37</v>
      </c>
      <c r="O15" s="77" t="s">
        <v>38</v>
      </c>
      <c r="P15" s="77" t="s">
        <v>39</v>
      </c>
      <c r="Q15" s="76">
        <v>45957</v>
      </c>
      <c r="R15" s="77"/>
      <c r="S15" s="77"/>
      <c r="T15" s="77"/>
      <c r="U15" s="77"/>
      <c r="V15" s="78"/>
      <c r="W15" s="79"/>
      <c r="X15" s="78"/>
      <c r="Y15" s="78"/>
      <c r="Z15" s="78"/>
      <c r="AA15">
        <f>IF(COUNTIF('Call Queue'!$H$6:$H$20,V15)&gt;0,0,IF(AND(ISNUMBER(N15),N15&gt;0),10000000+N15,IF(ISNUMBER(N15*1),IF(N15*1&gt;0,10000000+N15*1,0),0))+IF(ISNUMBER(SEARCH("(",L15)),1000000+IFERROR(VALUE(SUBSTITUTE(SUBSTITUTE(SUBSTITUTE(MID(L15,SEARCH("(",L15)+1,SEARCH(")",L15)-SEARCH("(",L15)-1),"$",""),",","")," ","")),0),0))</f>
        <v>0</v>
      </c>
    </row>
    <row r="16" spans="1:28">
      <c r="A16" s="76">
        <v>45826</v>
      </c>
      <c r="B16" s="77" t="s">
        <v>132</v>
      </c>
      <c r="C16" s="77" t="s">
        <v>133</v>
      </c>
      <c r="D16" s="77" t="s">
        <v>125</v>
      </c>
      <c r="E16" s="77">
        <v>85266</v>
      </c>
      <c r="F16" s="77" t="s">
        <v>31</v>
      </c>
      <c r="G16" s="77" t="s">
        <v>121</v>
      </c>
      <c r="H16" s="77">
        <v>5288831000</v>
      </c>
      <c r="I16" s="77" t="s">
        <v>36</v>
      </c>
      <c r="J16" s="77" t="s">
        <v>37</v>
      </c>
      <c r="K16" s="77" t="s">
        <v>37</v>
      </c>
      <c r="L16" s="77" t="s">
        <v>38</v>
      </c>
      <c r="M16" s="77" t="s">
        <v>37</v>
      </c>
      <c r="N16" s="77" t="s">
        <v>37</v>
      </c>
      <c r="O16" s="77" t="s">
        <v>38</v>
      </c>
      <c r="P16" s="77" t="s">
        <v>39</v>
      </c>
      <c r="Q16" s="76">
        <v>45957</v>
      </c>
      <c r="R16" s="77"/>
      <c r="S16" s="77"/>
      <c r="T16" s="77"/>
      <c r="U16" s="77"/>
      <c r="V16" s="78" t="s">
        <v>117</v>
      </c>
      <c r="W16" s="79">
        <v>46060</v>
      </c>
      <c r="X16" s="78" t="s">
        <v>37</v>
      </c>
      <c r="Y16" s="78"/>
      <c r="Z16" s="78" t="s">
        <v>5539</v>
      </c>
      <c r="AA16">
        <f>IF(COUNTIF('Call Queue'!$H$6:$H$20,V16)&gt;0,0,IF(AND(ISNUMBER(N16),N16&gt;0),10000000+N16,IF(ISNUMBER(N16*1),IF(N16*1&gt;0,10000000+N16*1,0),0))+IF(ISNUMBER(SEARCH("(",L16)),1000000+IFERROR(VALUE(SUBSTITUTE(SUBSTITUTE(SUBSTITUTE(MID(L16,SEARCH("(",L16)+1,SEARCH(")",L16)-SEARCH("(",L16)-1),"$",""),",","")," ","")),0),0))</f>
        <v>0</v>
      </c>
    </row>
    <row r="17" spans="1:27">
      <c r="A17" s="76">
        <v>45826</v>
      </c>
      <c r="B17" s="77" t="s">
        <v>138</v>
      </c>
      <c r="C17" s="77" t="s">
        <v>139</v>
      </c>
      <c r="D17" s="77" t="s">
        <v>125</v>
      </c>
      <c r="E17" s="77">
        <v>85254</v>
      </c>
      <c r="F17" s="77" t="s">
        <v>31</v>
      </c>
      <c r="G17" s="77" t="s">
        <v>137</v>
      </c>
      <c r="H17" s="77">
        <v>7528633936</v>
      </c>
      <c r="I17" s="77" t="s">
        <v>57</v>
      </c>
      <c r="J17" s="77" t="s">
        <v>141</v>
      </c>
      <c r="K17" s="77" t="s">
        <v>37</v>
      </c>
      <c r="L17" s="77" t="s">
        <v>142</v>
      </c>
      <c r="M17" s="77" t="s">
        <v>37</v>
      </c>
      <c r="N17" s="77" t="s">
        <v>37</v>
      </c>
      <c r="O17" s="77" t="s">
        <v>38</v>
      </c>
      <c r="P17" s="77" t="s">
        <v>39</v>
      </c>
      <c r="Q17" s="76">
        <v>45957</v>
      </c>
      <c r="R17" s="77"/>
      <c r="S17" s="77"/>
      <c r="T17" s="77"/>
      <c r="U17" s="77" t="s">
        <v>143</v>
      </c>
      <c r="V17" s="78" t="s">
        <v>5432</v>
      </c>
      <c r="W17" s="79">
        <v>46011</v>
      </c>
      <c r="X17" s="78" t="s">
        <v>37</v>
      </c>
      <c r="Y17" s="78"/>
      <c r="Z17" s="78" t="s">
        <v>5540</v>
      </c>
      <c r="AA17">
        <f>IF(COUNTIF('Call Queue'!$H$6:$H$20,V17)&gt;0,0,IF(AND(ISNUMBER(N17),N17&gt;0),10000000+N17,IF(ISNUMBER(N17*1),IF(N17*1&gt;0,10000000+N17*1,0),0))+IF(ISNUMBER(SEARCH("(",L17)),1000000+IFERROR(VALUE(SUBSTITUTE(SUBSTITUTE(SUBSTITUTE(MID(L17,SEARCH("(",L17)+1,SEARCH(")",L17)-SEARCH("(",L17)-1),"$",""),",","")," ","")),0),0))</f>
        <v>0</v>
      </c>
    </row>
    <row r="18" spans="1:27">
      <c r="A18" s="76">
        <v>45826</v>
      </c>
      <c r="B18" s="77" t="s">
        <v>144</v>
      </c>
      <c r="C18" s="77" t="s">
        <v>145</v>
      </c>
      <c r="D18" s="77" t="s">
        <v>63</v>
      </c>
      <c r="E18" s="77">
        <v>85029</v>
      </c>
      <c r="F18" s="77" t="s">
        <v>31</v>
      </c>
      <c r="G18" s="77" t="s">
        <v>137</v>
      </c>
      <c r="H18" s="77">
        <v>4262494925</v>
      </c>
      <c r="I18" s="77" t="s">
        <v>36</v>
      </c>
      <c r="J18" s="77" t="s">
        <v>37</v>
      </c>
      <c r="K18" s="77" t="s">
        <v>37</v>
      </c>
      <c r="L18" s="77" t="s">
        <v>147</v>
      </c>
      <c r="M18" s="77" t="s">
        <v>37</v>
      </c>
      <c r="N18" s="77" t="s">
        <v>37</v>
      </c>
      <c r="O18" s="77" t="s">
        <v>38</v>
      </c>
      <c r="P18" s="77">
        <v>45964</v>
      </c>
      <c r="Q18" s="76">
        <v>45957</v>
      </c>
      <c r="R18" s="77" t="s">
        <v>148</v>
      </c>
      <c r="S18" s="77"/>
      <c r="T18" s="77"/>
      <c r="U18" s="77" t="s">
        <v>149</v>
      </c>
      <c r="V18" s="78" t="s">
        <v>117</v>
      </c>
      <c r="W18" s="79">
        <v>45997</v>
      </c>
      <c r="X18" s="78" t="s">
        <v>37</v>
      </c>
      <c r="Y18" s="78"/>
      <c r="Z18" s="78" t="s">
        <v>5436</v>
      </c>
      <c r="AA18">
        <f>IF(COUNTIF('Call Queue'!$H$6:$H$20,V18)&gt;0,0,IF(AND(ISNUMBER(N18),N18&gt;0),10000000+N18,IF(ISNUMBER(N18*1),IF(N18*1&gt;0,10000000+N18*1,0),0))+IF(ISNUMBER(SEARCH("(",L18)),1000000+IFERROR(VALUE(SUBSTITUTE(SUBSTITUTE(SUBSTITUTE(MID(L18,SEARCH("(",L18)+1,SEARCH(")",L18)-SEARCH("(",L18)-1),"$",""),",","")," ","")),0),0))</f>
        <v>0</v>
      </c>
    </row>
    <row r="19" spans="1:27">
      <c r="A19" s="76">
        <v>45826</v>
      </c>
      <c r="B19" s="77" t="s">
        <v>152</v>
      </c>
      <c r="C19" s="77" t="s">
        <v>153</v>
      </c>
      <c r="D19" s="77" t="s">
        <v>30</v>
      </c>
      <c r="E19" s="77" t="s">
        <v>30</v>
      </c>
      <c r="F19" s="77" t="s">
        <v>31</v>
      </c>
      <c r="G19" s="77" t="s">
        <v>151</v>
      </c>
      <c r="H19" s="77">
        <v>4273250000</v>
      </c>
      <c r="I19" s="77" t="s">
        <v>73</v>
      </c>
      <c r="J19" s="77" t="s">
        <v>37</v>
      </c>
      <c r="K19" s="77" t="s">
        <v>37</v>
      </c>
      <c r="L19" s="77" t="s">
        <v>38</v>
      </c>
      <c r="M19" s="77" t="s">
        <v>37</v>
      </c>
      <c r="N19" s="77" t="s">
        <v>37</v>
      </c>
      <c r="O19" s="77" t="s">
        <v>38</v>
      </c>
      <c r="P19" s="77" t="s">
        <v>39</v>
      </c>
      <c r="Q19" s="76">
        <v>45957</v>
      </c>
      <c r="R19" s="77"/>
      <c r="S19" s="77"/>
      <c r="T19" s="77"/>
      <c r="U19" s="77"/>
      <c r="V19" s="78" t="s">
        <v>117</v>
      </c>
      <c r="W19" s="79">
        <v>45997</v>
      </c>
      <c r="X19" s="78" t="s">
        <v>37</v>
      </c>
      <c r="Y19" s="78"/>
      <c r="Z19" s="78" t="s">
        <v>5437</v>
      </c>
      <c r="AA19">
        <f>IF(COUNTIF('Call Queue'!$H$6:$H$20,V19)&gt;0,0,IF(AND(ISNUMBER(N19),N19&gt;0),10000000+N19,IF(ISNUMBER(N19*1),IF(N19*1&gt;0,10000000+N19*1,0),0))+IF(ISNUMBER(SEARCH("(",L19)),1000000+IFERROR(VALUE(SUBSTITUTE(SUBSTITUTE(SUBSTITUTE(MID(L19,SEARCH("(",L19)+1,SEARCH(")",L19)-SEARCH("(",L19)-1),"$",""),",","")," ","")),0),0))</f>
        <v>0</v>
      </c>
    </row>
    <row r="20" spans="1:27">
      <c r="A20" s="76">
        <v>45826</v>
      </c>
      <c r="B20" s="77" t="s">
        <v>155</v>
      </c>
      <c r="C20" s="77" t="s">
        <v>156</v>
      </c>
      <c r="D20" s="77" t="s">
        <v>30</v>
      </c>
      <c r="E20" s="77" t="s">
        <v>30</v>
      </c>
      <c r="F20" s="77" t="s">
        <v>31</v>
      </c>
      <c r="G20" s="77" t="s">
        <v>151</v>
      </c>
      <c r="H20" s="77">
        <v>8714231000</v>
      </c>
      <c r="I20" s="77" t="s">
        <v>36</v>
      </c>
      <c r="J20" s="77" t="s">
        <v>37</v>
      </c>
      <c r="K20" s="77" t="s">
        <v>37</v>
      </c>
      <c r="L20" s="77" t="s">
        <v>38</v>
      </c>
      <c r="M20" s="77" t="s">
        <v>37</v>
      </c>
      <c r="N20" s="77" t="s">
        <v>37</v>
      </c>
      <c r="O20" s="77" t="s">
        <v>38</v>
      </c>
      <c r="P20" s="77" t="s">
        <v>39</v>
      </c>
      <c r="Q20" s="76">
        <v>45957</v>
      </c>
      <c r="R20" s="77" t="s">
        <v>158</v>
      </c>
      <c r="S20" s="77"/>
      <c r="T20" s="77"/>
      <c r="U20" s="77" t="s">
        <v>159</v>
      </c>
      <c r="V20" s="78" t="s">
        <v>117</v>
      </c>
      <c r="W20" s="79">
        <v>46060</v>
      </c>
      <c r="X20" s="78" t="s">
        <v>38</v>
      </c>
      <c r="Y20" s="78"/>
      <c r="Z20" s="78" t="s">
        <v>5452</v>
      </c>
      <c r="AA20">
        <f>IF(COUNTIF('Call Queue'!$H$6:$H$20,V20)&gt;0,0,IF(AND(ISNUMBER(N20),N20&gt;0),10000000+N20,IF(ISNUMBER(N20*1),IF(N20*1&gt;0,10000000+N20*1,0),0))+IF(ISNUMBER(SEARCH("(",L20)),1000000+IFERROR(VALUE(SUBSTITUTE(SUBSTITUTE(SUBSTITUTE(MID(L20,SEARCH("(",L20)+1,SEARCH(")",L20)-SEARCH("(",L20)-1),"$",""),",","")," ","")),0),0))</f>
        <v>0</v>
      </c>
    </row>
    <row r="21" spans="1:27">
      <c r="A21" s="76">
        <v>45826</v>
      </c>
      <c r="B21" s="77" t="s">
        <v>161</v>
      </c>
      <c r="C21" s="77" t="s">
        <v>162</v>
      </c>
      <c r="D21" s="77" t="s">
        <v>68</v>
      </c>
      <c r="E21" s="77">
        <v>85331</v>
      </c>
      <c r="F21" s="77" t="s">
        <v>31</v>
      </c>
      <c r="G21" s="77" t="s">
        <v>151</v>
      </c>
      <c r="H21" s="77">
        <v>7980600000</v>
      </c>
      <c r="I21" s="77" t="s">
        <v>164</v>
      </c>
      <c r="J21" s="77" t="s">
        <v>37</v>
      </c>
      <c r="K21" s="77" t="s">
        <v>37</v>
      </c>
      <c r="L21" s="77" t="s">
        <v>165</v>
      </c>
      <c r="M21" s="77" t="s">
        <v>37</v>
      </c>
      <c r="N21" s="77" t="s">
        <v>37</v>
      </c>
      <c r="O21" s="77" t="s">
        <v>38</v>
      </c>
      <c r="P21" s="77">
        <v>45964</v>
      </c>
      <c r="Q21" s="76">
        <v>45957</v>
      </c>
      <c r="R21" s="77" t="s">
        <v>148</v>
      </c>
      <c r="S21" s="77"/>
      <c r="T21" s="77"/>
      <c r="U21" s="77" t="s">
        <v>166</v>
      </c>
      <c r="V21" s="78" t="s">
        <v>5432</v>
      </c>
      <c r="W21" s="79">
        <v>46011</v>
      </c>
      <c r="X21" s="78" t="s">
        <v>38</v>
      </c>
      <c r="Y21" s="78"/>
      <c r="Z21" s="78" t="s">
        <v>5467</v>
      </c>
      <c r="AA21">
        <f>IF(COUNTIF('Call Queue'!$H$6:$H$20,V21)&gt;0,0,IF(AND(ISNUMBER(N21),N21&gt;0),10000000+N21,IF(ISNUMBER(N21*1),IF(N21*1&gt;0,10000000+N21*1,0),0))+IF(ISNUMBER(SEARCH("(",L21)),1000000+IFERROR(VALUE(SUBSTITUTE(SUBSTITUTE(SUBSTITUTE(MID(L21,SEARCH("(",L21)+1,SEARCH(")",L21)-SEARCH("(",L21)-1),"$",""),",","")," ","")),0),0))</f>
        <v>0</v>
      </c>
    </row>
    <row r="22" spans="1:27">
      <c r="A22" s="76">
        <v>45827</v>
      </c>
      <c r="B22" s="77" t="s">
        <v>178</v>
      </c>
      <c r="C22" s="77" t="s">
        <v>179</v>
      </c>
      <c r="D22" s="77" t="s">
        <v>30</v>
      </c>
      <c r="E22" s="77" t="s">
        <v>30</v>
      </c>
      <c r="F22" s="77" t="s">
        <v>31</v>
      </c>
      <c r="G22" s="77" t="s">
        <v>175</v>
      </c>
      <c r="H22" s="77">
        <v>3007031000</v>
      </c>
      <c r="I22" s="77" t="s">
        <v>36</v>
      </c>
      <c r="J22" s="77" t="s">
        <v>37</v>
      </c>
      <c r="K22" s="77" t="s">
        <v>37</v>
      </c>
      <c r="L22" s="77" t="s">
        <v>38</v>
      </c>
      <c r="M22" s="77" t="s">
        <v>37</v>
      </c>
      <c r="N22" s="77" t="s">
        <v>37</v>
      </c>
      <c r="O22" s="77" t="s">
        <v>38</v>
      </c>
      <c r="P22" s="77" t="s">
        <v>39</v>
      </c>
      <c r="Q22" s="76">
        <v>45957</v>
      </c>
      <c r="R22" s="77"/>
      <c r="S22" s="77"/>
      <c r="T22" s="77"/>
      <c r="U22" s="77"/>
      <c r="V22" s="78" t="s">
        <v>117</v>
      </c>
      <c r="W22" s="79">
        <v>46060</v>
      </c>
      <c r="X22" s="78" t="s">
        <v>37</v>
      </c>
      <c r="Y22" s="78"/>
      <c r="Z22" s="78" t="s">
        <v>5541</v>
      </c>
      <c r="AA22">
        <f>IF(COUNTIF('Call Queue'!$H$6:$H$20,V22)&gt;0,0,IF(AND(ISNUMBER(N22),N22&gt;0),10000000+N22,IF(ISNUMBER(N22*1),IF(N22*1&gt;0,10000000+N22*1,0),0))+IF(ISNUMBER(SEARCH("(",L22)),1000000+IFERROR(VALUE(SUBSTITUTE(SUBSTITUTE(SUBSTITUTE(MID(L22,SEARCH("(",L22)+1,SEARCH(")",L22)-SEARCH("(",L22)-1),"$",""),",","")," ","")),0),0))</f>
        <v>0</v>
      </c>
    </row>
    <row r="23" spans="1:27">
      <c r="A23" s="76">
        <v>45827</v>
      </c>
      <c r="B23" s="77" t="s">
        <v>183</v>
      </c>
      <c r="C23" s="77" t="s">
        <v>184</v>
      </c>
      <c r="D23" s="77" t="s">
        <v>112</v>
      </c>
      <c r="E23" s="77">
        <v>85374</v>
      </c>
      <c r="F23" s="77" t="s">
        <v>31</v>
      </c>
      <c r="G23" s="77" t="s">
        <v>182</v>
      </c>
      <c r="H23" s="77">
        <v>8025299133</v>
      </c>
      <c r="I23" s="77" t="s">
        <v>126</v>
      </c>
      <c r="J23" s="77" t="s">
        <v>37</v>
      </c>
      <c r="K23" s="77" t="s">
        <v>37</v>
      </c>
      <c r="L23" s="77" t="s">
        <v>38</v>
      </c>
      <c r="M23" s="77" t="s">
        <v>37</v>
      </c>
      <c r="N23" s="77" t="s">
        <v>37</v>
      </c>
      <c r="O23" s="77" t="s">
        <v>38</v>
      </c>
      <c r="P23" s="77" t="s">
        <v>39</v>
      </c>
      <c r="Q23" s="76">
        <v>45957</v>
      </c>
      <c r="R23" s="77"/>
      <c r="S23" s="77"/>
      <c r="T23" s="77"/>
      <c r="U23" s="77"/>
      <c r="V23" s="78"/>
      <c r="W23" s="79"/>
      <c r="X23" s="78"/>
      <c r="Y23" s="78"/>
      <c r="Z23" s="78"/>
      <c r="AA23">
        <f>IF(COUNTIF('Call Queue'!$H$6:$H$20,V23)&gt;0,0,IF(AND(ISNUMBER(N23),N23&gt;0),10000000+N23,IF(ISNUMBER(N23*1),IF(N23*1&gt;0,10000000+N23*1,0),0))+IF(ISNUMBER(SEARCH("(",L23)),1000000+IFERROR(VALUE(SUBSTITUTE(SUBSTITUTE(SUBSTITUTE(MID(L23,SEARCH("(",L23)+1,SEARCH(")",L23)-SEARCH("(",L23)-1),"$",""),",","")," ","")),0),0))</f>
        <v>0</v>
      </c>
    </row>
    <row r="24" spans="1:27">
      <c r="A24" s="76">
        <v>45831</v>
      </c>
      <c r="B24" s="77" t="s">
        <v>189</v>
      </c>
      <c r="C24" s="77" t="s">
        <v>190</v>
      </c>
      <c r="D24" s="77" t="s">
        <v>174</v>
      </c>
      <c r="E24" s="77" t="s">
        <v>30</v>
      </c>
      <c r="F24" s="77" t="s">
        <v>25</v>
      </c>
      <c r="G24" s="77"/>
      <c r="H24" s="77">
        <v>799340889</v>
      </c>
      <c r="I24" s="77" t="s">
        <v>126</v>
      </c>
      <c r="J24" s="77" t="s">
        <v>37</v>
      </c>
      <c r="K24" s="77" t="s">
        <v>37</v>
      </c>
      <c r="L24" s="77" t="s">
        <v>192</v>
      </c>
      <c r="M24" s="77" t="s">
        <v>37</v>
      </c>
      <c r="N24" s="77" t="s">
        <v>37</v>
      </c>
      <c r="O24" s="77" t="s">
        <v>38</v>
      </c>
      <c r="P24" s="77" t="s">
        <v>39</v>
      </c>
      <c r="Q24" s="76">
        <v>45957</v>
      </c>
      <c r="R24" s="77"/>
      <c r="S24" s="77"/>
      <c r="T24" s="77"/>
      <c r="U24" s="77"/>
      <c r="V24" s="78" t="s">
        <v>5432</v>
      </c>
      <c r="W24" s="79">
        <v>46011</v>
      </c>
      <c r="X24" s="78" t="s">
        <v>38</v>
      </c>
      <c r="Y24" s="78"/>
      <c r="Z24" s="78" t="s">
        <v>5467</v>
      </c>
      <c r="AA24">
        <f>IF(COUNTIF('Call Queue'!$H$6:$H$20,V24)&gt;0,0,IF(AND(ISNUMBER(N24),N24&gt;0),10000000+N24,IF(ISNUMBER(N24*1),IF(N24*1&gt;0,10000000+N24*1,0),0))+IF(ISNUMBER(SEARCH("(",L24)),1000000+IFERROR(VALUE(SUBSTITUTE(SUBSTITUTE(SUBSTITUTE(MID(L24,SEARCH("(",L24)+1,SEARCH(")",L24)-SEARCH("(",L24)-1),"$",""),",","")," ","")),0),0))</f>
        <v>0</v>
      </c>
    </row>
    <row r="25" spans="1:27">
      <c r="A25" s="76">
        <v>45831</v>
      </c>
      <c r="B25" s="77" t="s">
        <v>193</v>
      </c>
      <c r="C25" s="77" t="s">
        <v>194</v>
      </c>
      <c r="D25" s="77" t="s">
        <v>63</v>
      </c>
      <c r="E25" s="77">
        <v>85006</v>
      </c>
      <c r="F25" s="77" t="s">
        <v>25</v>
      </c>
      <c r="G25" s="77"/>
      <c r="H25" s="77">
        <v>9229380000</v>
      </c>
      <c r="I25" s="77" t="s">
        <v>196</v>
      </c>
      <c r="J25" s="77" t="s">
        <v>37</v>
      </c>
      <c r="K25" s="77" t="s">
        <v>37</v>
      </c>
      <c r="L25" s="77" t="s">
        <v>197</v>
      </c>
      <c r="M25" s="77" t="s">
        <v>37</v>
      </c>
      <c r="N25" s="77" t="s">
        <v>37</v>
      </c>
      <c r="O25" s="77" t="s">
        <v>38</v>
      </c>
      <c r="P25" s="77" t="s">
        <v>39</v>
      </c>
      <c r="Q25" s="76">
        <v>45957</v>
      </c>
      <c r="R25" s="77"/>
      <c r="S25" s="77"/>
      <c r="T25" s="77"/>
      <c r="U25" s="77"/>
      <c r="V25" s="78" t="s">
        <v>5432</v>
      </c>
      <c r="W25" s="79">
        <v>46011</v>
      </c>
      <c r="X25" s="78" t="s">
        <v>38</v>
      </c>
      <c r="Y25" s="78"/>
      <c r="Z25" s="78" t="s">
        <v>5467</v>
      </c>
      <c r="AA25">
        <f>IF(COUNTIF('Call Queue'!$H$6:$H$20,V25)&gt;0,0,IF(AND(ISNUMBER(N25),N25&gt;0),10000000+N25,IF(ISNUMBER(N25*1),IF(N25*1&gt;0,10000000+N25*1,0),0))+IF(ISNUMBER(SEARCH("(",L25)),1000000+IFERROR(VALUE(SUBSTITUTE(SUBSTITUTE(SUBSTITUTE(MID(L25,SEARCH("(",L25)+1,SEARCH(")",L25)-SEARCH("(",L25)-1),"$",""),",","")," ","")),0),0))</f>
        <v>0</v>
      </c>
    </row>
    <row r="26" spans="1:27">
      <c r="A26" s="76">
        <v>45831</v>
      </c>
      <c r="B26" s="77" t="s">
        <v>200</v>
      </c>
      <c r="C26" s="77" t="s">
        <v>201</v>
      </c>
      <c r="D26" s="77" t="s">
        <v>202</v>
      </c>
      <c r="E26" s="77">
        <v>85383</v>
      </c>
      <c r="F26" s="77" t="s">
        <v>25</v>
      </c>
      <c r="G26" s="77"/>
      <c r="H26" s="77">
        <v>7501590000</v>
      </c>
      <c r="I26" s="77" t="s">
        <v>36</v>
      </c>
      <c r="J26" s="77" t="s">
        <v>37</v>
      </c>
      <c r="K26" s="77" t="s">
        <v>37</v>
      </c>
      <c r="L26" s="77" t="s">
        <v>204</v>
      </c>
      <c r="M26" s="77" t="s">
        <v>37</v>
      </c>
      <c r="N26" s="77" t="s">
        <v>37</v>
      </c>
      <c r="O26" s="77" t="s">
        <v>38</v>
      </c>
      <c r="P26" s="77" t="s">
        <v>39</v>
      </c>
      <c r="Q26" s="76">
        <v>45957</v>
      </c>
      <c r="R26" s="77"/>
      <c r="S26" s="77"/>
      <c r="T26" s="77"/>
      <c r="U26" s="77"/>
      <c r="V26" s="78" t="s">
        <v>117</v>
      </c>
      <c r="W26" s="79">
        <v>46060</v>
      </c>
      <c r="X26" s="78" t="s">
        <v>37</v>
      </c>
      <c r="Y26" s="78"/>
      <c r="Z26" s="78" t="s">
        <v>5453</v>
      </c>
      <c r="AA26">
        <f>IF(COUNTIF('Call Queue'!$H$6:$H$20,V26)&gt;0,0,IF(AND(ISNUMBER(N26),N26&gt;0),10000000+N26,IF(ISNUMBER(N26*1),IF(N26*1&gt;0,10000000+N26*1,0),0))+IF(ISNUMBER(SEARCH("(",L26)),1000000+IFERROR(VALUE(SUBSTITUTE(SUBSTITUTE(SUBSTITUTE(MID(L26,SEARCH("(",L26)+1,SEARCH(")",L26)-SEARCH("(",L26)-1),"$",""),",","")," ","")),0),0))</f>
        <v>0</v>
      </c>
    </row>
    <row r="27" spans="1:27">
      <c r="A27" s="76">
        <v>45831</v>
      </c>
      <c r="B27" s="77" t="s">
        <v>207</v>
      </c>
      <c r="C27" s="77" t="s">
        <v>208</v>
      </c>
      <c r="D27" s="77" t="s">
        <v>30</v>
      </c>
      <c r="E27" s="77" t="s">
        <v>30</v>
      </c>
      <c r="F27" s="77" t="s">
        <v>25</v>
      </c>
      <c r="G27" s="77"/>
      <c r="H27" s="77" t="s">
        <v>209</v>
      </c>
      <c r="I27" s="77"/>
      <c r="J27" s="77"/>
      <c r="K27" s="77"/>
      <c r="L27" s="77"/>
      <c r="M27" s="77"/>
      <c r="N27" s="77"/>
      <c r="O27" s="77"/>
      <c r="P27" s="77"/>
      <c r="Q27" s="76"/>
      <c r="R27" s="77"/>
      <c r="S27" s="77"/>
      <c r="T27" s="77"/>
      <c r="U27" s="77"/>
      <c r="V27" s="78"/>
      <c r="W27" s="79"/>
      <c r="X27" s="78"/>
      <c r="Y27" s="78"/>
      <c r="Z27" s="78"/>
      <c r="AA27">
        <f>IF(COUNTIF('Call Queue'!$H$6:$H$20,V27)&gt;0,0,IF(AND(ISNUMBER(N27),N27&gt;0),10000000+N27,IF(ISNUMBER(N27*1),IF(N27*1&gt;0,10000000+N27*1,0),0))+IF(ISNUMBER(SEARCH("(",L27)),1000000+IFERROR(VALUE(SUBSTITUTE(SUBSTITUTE(SUBSTITUTE(MID(L27,SEARCH("(",L27)+1,SEARCH(")",L27)-SEARCH("(",L27)-1),"$",""),",","")," ","")),0),0))</f>
        <v>0</v>
      </c>
    </row>
    <row r="28" spans="1:27">
      <c r="A28" s="76">
        <v>45831</v>
      </c>
      <c r="B28" s="77" t="s">
        <v>210</v>
      </c>
      <c r="C28" s="77" t="s">
        <v>211</v>
      </c>
      <c r="D28" s="77" t="s">
        <v>85</v>
      </c>
      <c r="E28" s="77">
        <v>86323</v>
      </c>
      <c r="F28" s="77" t="s">
        <v>31</v>
      </c>
      <c r="G28" s="77" t="s">
        <v>212</v>
      </c>
      <c r="H28" s="77">
        <v>4707610000</v>
      </c>
      <c r="I28" s="77" t="s">
        <v>73</v>
      </c>
      <c r="J28" s="77" t="s">
        <v>37</v>
      </c>
      <c r="K28" s="77" t="s">
        <v>37</v>
      </c>
      <c r="L28" s="77" t="s">
        <v>38</v>
      </c>
      <c r="M28" s="77" t="s">
        <v>37</v>
      </c>
      <c r="N28" s="77" t="s">
        <v>37</v>
      </c>
      <c r="O28" s="77" t="s">
        <v>38</v>
      </c>
      <c r="P28" s="77" t="s">
        <v>39</v>
      </c>
      <c r="Q28" s="76">
        <v>45958</v>
      </c>
      <c r="R28" s="77"/>
      <c r="S28" s="77"/>
      <c r="T28" s="77"/>
      <c r="U28" s="77"/>
      <c r="V28" s="78" t="s">
        <v>5432</v>
      </c>
      <c r="W28" s="79">
        <v>46067</v>
      </c>
      <c r="X28" s="78" t="s">
        <v>38</v>
      </c>
      <c r="Y28" s="78"/>
      <c r="Z28" s="78" t="s">
        <v>5467</v>
      </c>
      <c r="AA28">
        <f>IF(COUNTIF('Call Queue'!$H$6:$H$20,V28)&gt;0,0,IF(AND(ISNUMBER(N28),N28&gt;0),10000000+N28,IF(ISNUMBER(N28*1),IF(N28*1&gt;0,10000000+N28*1,0),0))+IF(ISNUMBER(SEARCH("(",L28)),1000000+IFERROR(VALUE(SUBSTITUTE(SUBSTITUTE(SUBSTITUTE(MID(L28,SEARCH("(",L28)+1,SEARCH(")",L28)-SEARCH("(",L28)-1),"$",""),",","")," ","")),0),0))</f>
        <v>0</v>
      </c>
    </row>
    <row r="29" spans="1:27">
      <c r="A29" s="76">
        <v>45839</v>
      </c>
      <c r="B29" s="77" t="s">
        <v>219</v>
      </c>
      <c r="C29" s="77" t="s">
        <v>220</v>
      </c>
      <c r="D29" s="77" t="s">
        <v>63</v>
      </c>
      <c r="E29" s="77">
        <v>85032</v>
      </c>
      <c r="F29" s="77" t="s">
        <v>31</v>
      </c>
      <c r="G29" s="77" t="s">
        <v>221</v>
      </c>
      <c r="H29" s="77">
        <v>1164092226</v>
      </c>
      <c r="I29" s="77" t="s">
        <v>126</v>
      </c>
      <c r="J29" s="77" t="s">
        <v>37</v>
      </c>
      <c r="K29" s="77" t="s">
        <v>37</v>
      </c>
      <c r="L29" s="77" t="s">
        <v>38</v>
      </c>
      <c r="M29" s="77" t="s">
        <v>37</v>
      </c>
      <c r="N29" s="77" t="s">
        <v>37</v>
      </c>
      <c r="O29" s="77" t="s">
        <v>38</v>
      </c>
      <c r="P29" s="77" t="s">
        <v>39</v>
      </c>
      <c r="Q29" s="76">
        <v>45958</v>
      </c>
      <c r="R29" s="77"/>
      <c r="S29" s="77"/>
      <c r="T29" s="77"/>
      <c r="U29" s="77" t="s">
        <v>223</v>
      </c>
      <c r="V29" s="78" t="s">
        <v>117</v>
      </c>
      <c r="W29" s="79">
        <v>46060</v>
      </c>
      <c r="X29" s="78" t="s">
        <v>38</v>
      </c>
      <c r="Y29" s="78"/>
      <c r="Z29" s="78" t="s">
        <v>5454</v>
      </c>
      <c r="AA29">
        <f>IF(COUNTIF('Call Queue'!$H$6:$H$20,V29)&gt;0,0,IF(AND(ISNUMBER(N29),N29&gt;0),10000000+N29,IF(ISNUMBER(N29*1),IF(N29*1&gt;0,10000000+N29*1,0),0))+IF(ISNUMBER(SEARCH("(",L29)),1000000+IFERROR(VALUE(SUBSTITUTE(SUBSTITUTE(SUBSTITUTE(MID(L29,SEARCH("(",L29)+1,SEARCH(")",L29)-SEARCH("(",L29)-1),"$",""),",","")," ","")),0),0))</f>
        <v>0</v>
      </c>
    </row>
    <row r="30" spans="1:27">
      <c r="A30" s="76">
        <v>45846</v>
      </c>
      <c r="B30" s="77" t="s">
        <v>232</v>
      </c>
      <c r="C30" s="77" t="s">
        <v>233</v>
      </c>
      <c r="D30" s="77" t="s">
        <v>89</v>
      </c>
      <c r="E30" s="77">
        <v>86351</v>
      </c>
      <c r="F30" s="77" t="s">
        <v>31</v>
      </c>
      <c r="G30" s="77" t="s">
        <v>234</v>
      </c>
      <c r="H30" s="77">
        <v>7150589750</v>
      </c>
      <c r="I30" s="77" t="s">
        <v>57</v>
      </c>
      <c r="J30" s="77" t="s">
        <v>37</v>
      </c>
      <c r="K30" s="77" t="s">
        <v>37</v>
      </c>
      <c r="L30" s="77" t="s">
        <v>236</v>
      </c>
      <c r="M30" s="77" t="s">
        <v>37</v>
      </c>
      <c r="N30" s="77" t="s">
        <v>37</v>
      </c>
      <c r="O30" s="77" t="s">
        <v>38</v>
      </c>
      <c r="P30" s="77">
        <v>45964</v>
      </c>
      <c r="Q30" s="76">
        <v>45958</v>
      </c>
      <c r="R30" s="77" t="s">
        <v>237</v>
      </c>
      <c r="S30" s="77"/>
      <c r="T30" s="77"/>
      <c r="U30" s="77"/>
      <c r="V30" s="78" t="s">
        <v>5432</v>
      </c>
      <c r="W30" s="79">
        <v>46011</v>
      </c>
      <c r="X30" s="78"/>
      <c r="Y30" s="78" t="s">
        <v>5438</v>
      </c>
      <c r="Z30" s="78" t="s">
        <v>5542</v>
      </c>
      <c r="AA30">
        <f>IF(COUNTIF('Call Queue'!$H$6:$H$20,V30)&gt;0,0,IF(AND(ISNUMBER(N30),N30&gt;0),10000000+N30,IF(ISNUMBER(N30*1),IF(N30*1&gt;0,10000000+N30*1,0),0))+IF(ISNUMBER(SEARCH("(",L30)),1000000+IFERROR(VALUE(SUBSTITUTE(SUBSTITUTE(SUBSTITUTE(MID(L30,SEARCH("(",L30)+1,SEARCH(")",L30)-SEARCH("(",L30)-1),"$",""),",","")," ","")),0),0))</f>
        <v>0</v>
      </c>
    </row>
    <row r="31" spans="1:27">
      <c r="A31" s="76">
        <v>45847</v>
      </c>
      <c r="B31" s="77" t="s">
        <v>238</v>
      </c>
      <c r="C31" s="77" t="s">
        <v>239</v>
      </c>
      <c r="D31" s="77" t="s">
        <v>240</v>
      </c>
      <c r="E31" s="77">
        <v>85340</v>
      </c>
      <c r="F31" s="77" t="s">
        <v>31</v>
      </c>
      <c r="G31" s="77" t="s">
        <v>241</v>
      </c>
      <c r="H31" s="77">
        <v>9558930000</v>
      </c>
      <c r="I31" s="77" t="s">
        <v>243</v>
      </c>
      <c r="J31" s="77" t="s">
        <v>37</v>
      </c>
      <c r="K31" s="77" t="s">
        <v>37</v>
      </c>
      <c r="L31" s="77" t="s">
        <v>244</v>
      </c>
      <c r="M31" s="77" t="s">
        <v>37</v>
      </c>
      <c r="N31" s="77" t="s">
        <v>37</v>
      </c>
      <c r="O31" s="77" t="s">
        <v>38</v>
      </c>
      <c r="P31" s="77" t="s">
        <v>39</v>
      </c>
      <c r="Q31" s="76">
        <v>45958</v>
      </c>
      <c r="R31" s="77"/>
      <c r="S31" s="77"/>
      <c r="T31" s="77"/>
      <c r="U31" s="77"/>
      <c r="V31" s="78" t="s">
        <v>117</v>
      </c>
      <c r="W31" s="79">
        <v>46060</v>
      </c>
      <c r="X31" s="78" t="s">
        <v>38</v>
      </c>
      <c r="Y31" s="78"/>
      <c r="Z31" s="78" t="s">
        <v>5434</v>
      </c>
      <c r="AA31">
        <f>IF(COUNTIF('Call Queue'!$H$6:$H$20,V31)&gt;0,0,IF(AND(ISNUMBER(N31),N31&gt;0),10000000+N31,IF(ISNUMBER(N31*1),IF(N31*1&gt;0,10000000+N31*1,0),0))+IF(ISNUMBER(SEARCH("(",L31)),1000000+IFERROR(VALUE(SUBSTITUTE(SUBSTITUTE(SUBSTITUTE(MID(L31,SEARCH("(",L31)+1,SEARCH(")",L31)-SEARCH("(",L31)-1),"$",""),",","")," ","")),0),0))</f>
        <v>0</v>
      </c>
    </row>
    <row r="32" spans="1:27">
      <c r="A32" s="76">
        <v>45847</v>
      </c>
      <c r="B32" s="77" t="s">
        <v>245</v>
      </c>
      <c r="C32" s="77" t="s">
        <v>246</v>
      </c>
      <c r="D32" s="77" t="s">
        <v>63</v>
      </c>
      <c r="E32" s="77">
        <v>85029</v>
      </c>
      <c r="F32" s="77" t="s">
        <v>247</v>
      </c>
      <c r="G32" s="77" t="s">
        <v>248</v>
      </c>
      <c r="H32" s="77">
        <v>7633370000</v>
      </c>
      <c r="I32" s="77" t="s">
        <v>250</v>
      </c>
      <c r="J32" s="77" t="s">
        <v>37</v>
      </c>
      <c r="K32" s="77" t="s">
        <v>37</v>
      </c>
      <c r="L32" s="77" t="s">
        <v>38</v>
      </c>
      <c r="M32" s="77" t="s">
        <v>37</v>
      </c>
      <c r="N32" s="77" t="s">
        <v>37</v>
      </c>
      <c r="O32" s="77" t="s">
        <v>38</v>
      </c>
      <c r="P32" s="77" t="s">
        <v>39</v>
      </c>
      <c r="Q32" s="76">
        <v>45958</v>
      </c>
      <c r="R32" s="77"/>
      <c r="S32" s="77"/>
      <c r="T32" s="77"/>
      <c r="U32" s="77"/>
      <c r="V32" s="78"/>
      <c r="W32" s="79"/>
      <c r="X32" s="78"/>
      <c r="Y32" s="78"/>
      <c r="Z32" s="78"/>
      <c r="AA32">
        <f>IF(COUNTIF('Call Queue'!$H$6:$H$20,V32)&gt;0,0,IF(AND(ISNUMBER(N32),N32&gt;0),10000000+N32,IF(ISNUMBER(N32*1),IF(N32*1&gt;0,10000000+N32*1,0),0))+IF(ISNUMBER(SEARCH("(",L32)),1000000+IFERROR(VALUE(SUBSTITUTE(SUBSTITUTE(SUBSTITUTE(MID(L32,SEARCH("(",L32)+1,SEARCH(")",L32)-SEARCH("(",L32)-1),"$",""),",","")," ","")),0),0))</f>
        <v>0</v>
      </c>
    </row>
    <row r="33" spans="1:27">
      <c r="A33" s="76">
        <v>45852</v>
      </c>
      <c r="B33" s="77" t="s">
        <v>258</v>
      </c>
      <c r="C33" s="77" t="s">
        <v>230</v>
      </c>
      <c r="D33" s="77" t="s">
        <v>30</v>
      </c>
      <c r="E33" s="77" t="s">
        <v>30</v>
      </c>
      <c r="F33" s="77" t="s">
        <v>31</v>
      </c>
      <c r="G33" s="77" t="s">
        <v>259</v>
      </c>
      <c r="H33" s="77">
        <v>3049940000</v>
      </c>
      <c r="I33" s="77" t="s">
        <v>73</v>
      </c>
      <c r="J33" s="77" t="s">
        <v>37</v>
      </c>
      <c r="K33" s="77" t="s">
        <v>37</v>
      </c>
      <c r="L33" s="77" t="s">
        <v>260</v>
      </c>
      <c r="M33" s="77" t="s">
        <v>37</v>
      </c>
      <c r="N33" s="77" t="s">
        <v>37</v>
      </c>
      <c r="O33" s="77" t="s">
        <v>38</v>
      </c>
      <c r="P33" s="77" t="s">
        <v>39</v>
      </c>
      <c r="Q33" s="76">
        <v>45958</v>
      </c>
      <c r="R33" s="77"/>
      <c r="S33" s="77"/>
      <c r="T33" s="77"/>
      <c r="U33" s="77"/>
      <c r="V33" s="78" t="s">
        <v>117</v>
      </c>
      <c r="W33" s="79">
        <v>46067</v>
      </c>
      <c r="X33" s="78" t="s">
        <v>38</v>
      </c>
      <c r="Y33" s="78"/>
      <c r="Z33" s="78"/>
      <c r="AA33">
        <f>IF(COUNTIF('Call Queue'!$H$6:$H$20,V33)&gt;0,0,IF(AND(ISNUMBER(N33),N33&gt;0),10000000+N33,IF(ISNUMBER(N33*1),IF(N33*1&gt;0,10000000+N33*1,0),0))+IF(ISNUMBER(SEARCH("(",L33)),1000000+IFERROR(VALUE(SUBSTITUTE(SUBSTITUTE(SUBSTITUTE(MID(L33,SEARCH("(",L33)+1,SEARCH(")",L33)-SEARCH("(",L33)-1),"$",""),",","")," ","")),0),0))</f>
        <v>0</v>
      </c>
    </row>
    <row r="34" spans="1:27">
      <c r="A34" s="76">
        <v>45852</v>
      </c>
      <c r="B34" s="77" t="s">
        <v>144</v>
      </c>
      <c r="C34" s="77" t="s">
        <v>145</v>
      </c>
      <c r="D34" s="77" t="s">
        <v>261</v>
      </c>
      <c r="E34" s="77">
        <v>86314</v>
      </c>
      <c r="F34" s="77" t="s">
        <v>31</v>
      </c>
      <c r="G34" s="77" t="s">
        <v>259</v>
      </c>
      <c r="H34" s="77">
        <v>3736855436</v>
      </c>
      <c r="I34" s="77" t="s">
        <v>250</v>
      </c>
      <c r="J34" s="77" t="s">
        <v>37</v>
      </c>
      <c r="K34" s="77" t="s">
        <v>37</v>
      </c>
      <c r="L34" s="77" t="s">
        <v>38</v>
      </c>
      <c r="M34" s="77" t="s">
        <v>37</v>
      </c>
      <c r="N34" s="77" t="s">
        <v>37</v>
      </c>
      <c r="O34" s="77" t="s">
        <v>38</v>
      </c>
      <c r="P34" s="77" t="s">
        <v>39</v>
      </c>
      <c r="Q34" s="76">
        <v>45958</v>
      </c>
      <c r="R34" s="77"/>
      <c r="S34" s="77"/>
      <c r="T34" s="77"/>
      <c r="U34" s="77"/>
      <c r="V34" s="78"/>
      <c r="W34" s="79"/>
      <c r="X34" s="78"/>
      <c r="Y34" s="78"/>
      <c r="Z34" s="78"/>
      <c r="AA34">
        <f>IF(COUNTIF('Call Queue'!$H$6:$H$20,V34)&gt;0,0,IF(AND(ISNUMBER(N34),N34&gt;0),10000000+N34,IF(ISNUMBER(N34*1),IF(N34*1&gt;0,10000000+N34*1,0),0))+IF(ISNUMBER(SEARCH("(",L34)),1000000+IFERROR(VALUE(SUBSTITUTE(SUBSTITUTE(SUBSTITUTE(MID(L34,SEARCH("(",L34)+1,SEARCH(")",L34)-SEARCH("(",L34)-1),"$",""),",","")," ","")),0),0))</f>
        <v>0</v>
      </c>
    </row>
    <row r="35" spans="1:27">
      <c r="A35" s="76">
        <v>45854</v>
      </c>
      <c r="B35" s="77" t="s">
        <v>262</v>
      </c>
      <c r="C35" s="77" t="s">
        <v>263</v>
      </c>
      <c r="D35" s="77" t="s">
        <v>264</v>
      </c>
      <c r="E35" s="77">
        <v>85541</v>
      </c>
      <c r="F35" s="77" t="s">
        <v>257</v>
      </c>
      <c r="G35" s="77" t="s">
        <v>265</v>
      </c>
      <c r="H35" s="77">
        <v>8135798464</v>
      </c>
      <c r="I35" s="77" t="s">
        <v>57</v>
      </c>
      <c r="J35" s="77" t="s">
        <v>37</v>
      </c>
      <c r="K35" s="77" t="s">
        <v>37</v>
      </c>
      <c r="L35" s="77" t="s">
        <v>267</v>
      </c>
      <c r="M35" s="77" t="s">
        <v>37</v>
      </c>
      <c r="N35" s="77" t="s">
        <v>37</v>
      </c>
      <c r="O35" s="77" t="s">
        <v>38</v>
      </c>
      <c r="P35" s="77">
        <v>45964</v>
      </c>
      <c r="Q35" s="76">
        <v>45958</v>
      </c>
      <c r="R35" s="77" t="s">
        <v>148</v>
      </c>
      <c r="S35" s="77"/>
      <c r="T35" s="77"/>
      <c r="U35" s="77" t="s">
        <v>268</v>
      </c>
      <c r="V35" s="78" t="s">
        <v>5432</v>
      </c>
      <c r="W35" s="79">
        <v>46011</v>
      </c>
      <c r="X35" s="78" t="s">
        <v>38</v>
      </c>
      <c r="Y35" s="78"/>
      <c r="Z35" s="78" t="s">
        <v>5543</v>
      </c>
      <c r="AA35">
        <f>IF(COUNTIF('Call Queue'!$H$6:$H$20,V35)&gt;0,0,IF(AND(ISNUMBER(N35),N35&gt;0),10000000+N35,IF(ISNUMBER(N35*1),IF(N35*1&gt;0,10000000+N35*1,0),0))+IF(ISNUMBER(SEARCH("(",L35)),1000000+IFERROR(VALUE(SUBSTITUTE(SUBSTITUTE(SUBSTITUTE(MID(L35,SEARCH("(",L35)+1,SEARCH(")",L35)-SEARCH("(",L35)-1),"$",""),",","")," ","")),0),0))</f>
        <v>0</v>
      </c>
    </row>
    <row r="36" spans="1:27">
      <c r="A36" s="76">
        <v>45859</v>
      </c>
      <c r="B36" s="77" t="s">
        <v>269</v>
      </c>
      <c r="C36" s="77" t="s">
        <v>270</v>
      </c>
      <c r="D36" s="77" t="s">
        <v>63</v>
      </c>
      <c r="E36" s="77">
        <v>85029</v>
      </c>
      <c r="F36" s="77" t="s">
        <v>271</v>
      </c>
      <c r="G36" s="77" t="s">
        <v>272</v>
      </c>
      <c r="H36" s="77">
        <v>5307300000</v>
      </c>
      <c r="I36" s="77" t="s">
        <v>36</v>
      </c>
      <c r="J36" s="77" t="s">
        <v>37</v>
      </c>
      <c r="K36" s="77" t="s">
        <v>37</v>
      </c>
      <c r="L36" s="77" t="s">
        <v>274</v>
      </c>
      <c r="M36" s="77" t="s">
        <v>37</v>
      </c>
      <c r="N36" s="77" t="s">
        <v>37</v>
      </c>
      <c r="O36" s="77" t="s">
        <v>38</v>
      </c>
      <c r="P36" s="77">
        <v>45964</v>
      </c>
      <c r="Q36" s="76">
        <v>45958</v>
      </c>
      <c r="R36" s="77" t="s">
        <v>275</v>
      </c>
      <c r="S36" s="77"/>
      <c r="T36" s="77"/>
      <c r="U36" s="77"/>
      <c r="V36" s="78" t="s">
        <v>5432</v>
      </c>
      <c r="W36" s="79">
        <v>46011</v>
      </c>
      <c r="X36" s="78"/>
      <c r="Y36" s="78" t="s">
        <v>5438</v>
      </c>
      <c r="Z36" s="78" t="s">
        <v>5544</v>
      </c>
      <c r="AA36">
        <f>IF(COUNTIF('Call Queue'!$H$6:$H$20,V36)&gt;0,0,IF(AND(ISNUMBER(N36),N36&gt;0),10000000+N36,IF(ISNUMBER(N36*1),IF(N36*1&gt;0,10000000+N36*1,0),0))+IF(ISNUMBER(SEARCH("(",L36)),1000000+IFERROR(VALUE(SUBSTITUTE(SUBSTITUTE(SUBSTITUTE(MID(L36,SEARCH("(",L36)+1,SEARCH(")",L36)-SEARCH("(",L36)-1),"$",""),",","")," ","")),0),0))</f>
        <v>0</v>
      </c>
    </row>
    <row r="37" spans="1:27">
      <c r="A37" s="76">
        <v>45861</v>
      </c>
      <c r="B37" s="77" t="s">
        <v>276</v>
      </c>
      <c r="C37" s="77" t="s">
        <v>117</v>
      </c>
      <c r="D37" s="77" t="s">
        <v>63</v>
      </c>
      <c r="E37" s="77">
        <v>85054</v>
      </c>
      <c r="F37" s="77" t="s">
        <v>31</v>
      </c>
      <c r="G37" s="77" t="s">
        <v>277</v>
      </c>
      <c r="H37" s="77">
        <v>3616936085</v>
      </c>
      <c r="I37" s="77" t="s">
        <v>57</v>
      </c>
      <c r="J37" s="77" t="s">
        <v>37</v>
      </c>
      <c r="K37" s="77" t="s">
        <v>37</v>
      </c>
      <c r="L37" s="77" t="s">
        <v>279</v>
      </c>
      <c r="M37" s="77" t="s">
        <v>37</v>
      </c>
      <c r="N37" s="77" t="s">
        <v>37</v>
      </c>
      <c r="O37" s="77" t="s">
        <v>38</v>
      </c>
      <c r="P37" s="77" t="s">
        <v>39</v>
      </c>
      <c r="Q37" s="76">
        <v>45958</v>
      </c>
      <c r="R37" s="77" t="s">
        <v>280</v>
      </c>
      <c r="S37" s="77"/>
      <c r="T37" s="77"/>
      <c r="U37" s="77"/>
      <c r="V37" s="78" t="s">
        <v>5432</v>
      </c>
      <c r="W37" s="79">
        <v>46011</v>
      </c>
      <c r="X37" s="78" t="s">
        <v>37</v>
      </c>
      <c r="Y37" s="78"/>
      <c r="Z37" s="78" t="s">
        <v>5545</v>
      </c>
      <c r="AA37">
        <f>IF(COUNTIF('Call Queue'!$H$6:$H$20,V37)&gt;0,0,IF(AND(ISNUMBER(N37),N37&gt;0),10000000+N37,IF(ISNUMBER(N37*1),IF(N37*1&gt;0,10000000+N37*1,0),0))+IF(ISNUMBER(SEARCH("(",L37)),1000000+IFERROR(VALUE(SUBSTITUTE(SUBSTITUTE(SUBSTITUTE(MID(L37,SEARCH("(",L37)+1,SEARCH(")",L37)-SEARCH("(",L37)-1),"$",""),",","")," ","")),0),0))</f>
        <v>0</v>
      </c>
    </row>
    <row r="38" spans="1:27">
      <c r="A38" s="76">
        <v>45883</v>
      </c>
      <c r="B38" s="77" t="s">
        <v>283</v>
      </c>
      <c r="C38" s="77" t="s">
        <v>284</v>
      </c>
      <c r="D38" s="77" t="s">
        <v>89</v>
      </c>
      <c r="E38" s="77">
        <v>85336</v>
      </c>
      <c r="F38" s="77" t="s">
        <v>285</v>
      </c>
      <c r="G38" s="77" t="s">
        <v>286</v>
      </c>
      <c r="H38" s="77">
        <v>4285810000</v>
      </c>
      <c r="I38" s="77" t="s">
        <v>288</v>
      </c>
      <c r="J38" s="77" t="s">
        <v>37</v>
      </c>
      <c r="K38" s="77" t="s">
        <v>37</v>
      </c>
      <c r="L38" s="77" t="s">
        <v>38</v>
      </c>
      <c r="M38" s="77" t="s">
        <v>37</v>
      </c>
      <c r="N38" s="77" t="s">
        <v>37</v>
      </c>
      <c r="O38" s="77" t="s">
        <v>38</v>
      </c>
      <c r="P38" s="77" t="s">
        <v>39</v>
      </c>
      <c r="Q38" s="76">
        <v>45958</v>
      </c>
      <c r="R38" s="77"/>
      <c r="S38" s="77"/>
      <c r="T38" s="77"/>
      <c r="U38" s="77" t="s">
        <v>289</v>
      </c>
      <c r="V38" s="78"/>
      <c r="W38" s="79"/>
      <c r="X38" s="78"/>
      <c r="Y38" s="78"/>
      <c r="Z38" s="78"/>
      <c r="AA38">
        <f>IF(COUNTIF('Call Queue'!$H$6:$H$20,V38)&gt;0,0,IF(AND(ISNUMBER(N38),N38&gt;0),10000000+N38,IF(ISNUMBER(N38*1),IF(N38*1&gt;0,10000000+N38*1,0),0))+IF(ISNUMBER(SEARCH("(",L38)),1000000+IFERROR(VALUE(SUBSTITUTE(SUBSTITUTE(SUBSTITUTE(MID(L38,SEARCH("(",L38)+1,SEARCH(")",L38)-SEARCH("(",L38)-1),"$",""),",","")," ","")),0),0))</f>
        <v>0</v>
      </c>
    </row>
    <row r="39" spans="1:27">
      <c r="A39" s="76">
        <v>45898</v>
      </c>
      <c r="B39" s="77" t="s">
        <v>296</v>
      </c>
      <c r="C39" s="77" t="s">
        <v>297</v>
      </c>
      <c r="D39" s="77" t="s">
        <v>30</v>
      </c>
      <c r="E39" s="77" t="s">
        <v>30</v>
      </c>
      <c r="F39" s="77" t="s">
        <v>25</v>
      </c>
      <c r="G39" s="77" t="s">
        <v>298</v>
      </c>
      <c r="H39" s="77">
        <v>9376851000</v>
      </c>
      <c r="I39" s="77" t="s">
        <v>196</v>
      </c>
      <c r="J39" s="77" t="s">
        <v>38</v>
      </c>
      <c r="K39" s="77" t="s">
        <v>37</v>
      </c>
      <c r="L39" s="77" t="s">
        <v>300</v>
      </c>
      <c r="M39" s="77" t="s">
        <v>37</v>
      </c>
      <c r="N39" s="77" t="s">
        <v>37</v>
      </c>
      <c r="O39" s="77" t="s">
        <v>38</v>
      </c>
      <c r="P39" s="77" t="s">
        <v>39</v>
      </c>
      <c r="Q39" s="76">
        <v>45958</v>
      </c>
      <c r="R39" s="77"/>
      <c r="S39" s="77"/>
      <c r="T39" s="77"/>
      <c r="U39" s="77"/>
      <c r="V39" s="78" t="s">
        <v>117</v>
      </c>
      <c r="W39" s="79">
        <v>45997</v>
      </c>
      <c r="X39" s="78" t="s">
        <v>37</v>
      </c>
      <c r="Y39" s="78"/>
      <c r="Z39" s="78" t="s">
        <v>5439</v>
      </c>
      <c r="AA39">
        <f>IF(COUNTIF('Call Queue'!$H$6:$H$20,V39)&gt;0,0,IF(AND(ISNUMBER(N39),N39&gt;0),10000000+N39,IF(ISNUMBER(N39*1),IF(N39*1&gt;0,10000000+N39*1,0),0))+IF(ISNUMBER(SEARCH("(",L39)),1000000+IFERROR(VALUE(SUBSTITUTE(SUBSTITUTE(SUBSTITUTE(MID(L39,SEARCH("(",L39)+1,SEARCH(")",L39)-SEARCH("(",L39)-1),"$",""),",","")," ","")),0),0))</f>
        <v>0</v>
      </c>
    </row>
    <row r="40" spans="1:27">
      <c r="A40" s="76">
        <v>45902</v>
      </c>
      <c r="B40" s="77" t="s">
        <v>301</v>
      </c>
      <c r="C40" s="77" t="s">
        <v>302</v>
      </c>
      <c r="D40" s="77" t="s">
        <v>112</v>
      </c>
      <c r="E40" s="77">
        <v>85374</v>
      </c>
      <c r="F40" s="77" t="s">
        <v>31</v>
      </c>
      <c r="G40" s="77" t="s">
        <v>303</v>
      </c>
      <c r="H40" s="77">
        <v>2721067262</v>
      </c>
      <c r="I40" s="77" t="s">
        <v>126</v>
      </c>
      <c r="J40" s="77" t="s">
        <v>39</v>
      </c>
      <c r="K40" s="77" t="s">
        <v>37</v>
      </c>
      <c r="L40" s="77" t="s">
        <v>204</v>
      </c>
      <c r="M40" s="77" t="s">
        <v>37</v>
      </c>
      <c r="N40" s="77" t="s">
        <v>37</v>
      </c>
      <c r="O40" s="77" t="s">
        <v>38</v>
      </c>
      <c r="P40" s="77" t="s">
        <v>39</v>
      </c>
      <c r="Q40" s="76">
        <v>45967</v>
      </c>
      <c r="R40" s="77"/>
      <c r="S40" s="77"/>
      <c r="T40" s="77"/>
      <c r="U40" s="77"/>
      <c r="V40" s="78"/>
      <c r="W40" s="79"/>
      <c r="X40" s="78"/>
      <c r="Y40" s="78"/>
      <c r="Z40" s="78"/>
      <c r="AA40">
        <f>IF(COUNTIF('Call Queue'!$H$6:$H$20,V40)&gt;0,0,IF(AND(ISNUMBER(N40),N40&gt;0),10000000+N40,IF(ISNUMBER(N40*1),IF(N40*1&gt;0,10000000+N40*1,0),0))+IF(ISNUMBER(SEARCH("(",L40)),1000000+IFERROR(VALUE(SUBSTITUTE(SUBSTITUTE(SUBSTITUTE(MID(L40,SEARCH("(",L40)+1,SEARCH(")",L40)-SEARCH("(",L40)-1),"$",""),",","")," ","")),0),0))</f>
        <v>0</v>
      </c>
    </row>
    <row r="41" spans="1:27">
      <c r="A41" s="76">
        <v>45902</v>
      </c>
      <c r="B41" s="77" t="s">
        <v>311</v>
      </c>
      <c r="C41" s="77" t="s">
        <v>312</v>
      </c>
      <c r="D41" s="77" t="s">
        <v>313</v>
      </c>
      <c r="E41" s="77">
        <v>85381</v>
      </c>
      <c r="F41" s="77" t="s">
        <v>31</v>
      </c>
      <c r="G41" s="77" t="s">
        <v>303</v>
      </c>
      <c r="H41" s="77">
        <v>5237011424</v>
      </c>
      <c r="I41" s="77" t="s">
        <v>196</v>
      </c>
      <c r="J41" s="77" t="s">
        <v>37</v>
      </c>
      <c r="K41" s="77" t="s">
        <v>37</v>
      </c>
      <c r="L41" s="77" t="s">
        <v>38</v>
      </c>
      <c r="M41" s="77" t="s">
        <v>37</v>
      </c>
      <c r="N41" s="77" t="s">
        <v>37</v>
      </c>
      <c r="O41" s="77" t="s">
        <v>38</v>
      </c>
      <c r="P41" s="77" t="s">
        <v>39</v>
      </c>
      <c r="Q41" s="76">
        <v>45958</v>
      </c>
      <c r="R41" s="77"/>
      <c r="S41" s="77"/>
      <c r="T41" s="77"/>
      <c r="U41" s="77"/>
      <c r="V41" s="78" t="s">
        <v>117</v>
      </c>
      <c r="W41" s="79">
        <v>46067</v>
      </c>
      <c r="X41" s="78" t="s">
        <v>37</v>
      </c>
      <c r="Y41" s="78"/>
      <c r="Z41" s="78" t="s">
        <v>5434</v>
      </c>
      <c r="AA41">
        <f>IF(COUNTIF('Call Queue'!$H$6:$H$20,V41)&gt;0,0,IF(AND(ISNUMBER(N41),N41&gt;0),10000000+N41,IF(ISNUMBER(N41*1),IF(N41*1&gt;0,10000000+N41*1,0),0))+IF(ISNUMBER(SEARCH("(",L41)),1000000+IFERROR(VALUE(SUBSTITUTE(SUBSTITUTE(SUBSTITUTE(MID(L41,SEARCH("(",L41)+1,SEARCH(")",L41)-SEARCH("(",L41)-1),"$",""),",","")," ","")),0),0))</f>
        <v>0</v>
      </c>
    </row>
    <row r="42" spans="1:27">
      <c r="A42" s="76">
        <v>45902</v>
      </c>
      <c r="B42" s="77" t="s">
        <v>316</v>
      </c>
      <c r="C42" s="77" t="s">
        <v>317</v>
      </c>
      <c r="D42" s="77" t="s">
        <v>174</v>
      </c>
      <c r="E42" s="77">
        <v>85326</v>
      </c>
      <c r="F42" s="77" t="s">
        <v>31</v>
      </c>
      <c r="G42" s="77" t="s">
        <v>303</v>
      </c>
      <c r="H42" s="77">
        <v>6062541000</v>
      </c>
      <c r="I42" s="77" t="s">
        <v>36</v>
      </c>
      <c r="J42" s="77" t="s">
        <v>37</v>
      </c>
      <c r="K42" s="77" t="s">
        <v>37</v>
      </c>
      <c r="L42" s="77" t="s">
        <v>38</v>
      </c>
      <c r="M42" s="77" t="s">
        <v>37</v>
      </c>
      <c r="N42" s="77" t="s">
        <v>37</v>
      </c>
      <c r="O42" s="77" t="s">
        <v>38</v>
      </c>
      <c r="P42" s="77" t="s">
        <v>39</v>
      </c>
      <c r="Q42" s="76">
        <v>45958</v>
      </c>
      <c r="R42" s="77"/>
      <c r="S42" s="77"/>
      <c r="T42" s="77"/>
      <c r="U42" s="77"/>
      <c r="V42" s="78"/>
      <c r="W42" s="79"/>
      <c r="X42" s="78"/>
      <c r="Y42" s="78"/>
      <c r="Z42" s="78"/>
      <c r="AA42">
        <f>IF(COUNTIF('Call Queue'!$H$6:$H$20,V42)&gt;0,0,IF(AND(ISNUMBER(N42),N42&gt;0),10000000+N42,IF(ISNUMBER(N42*1),IF(N42*1&gt;0,10000000+N42*1,0),0))+IF(ISNUMBER(SEARCH("(",L42)),1000000+IFERROR(VALUE(SUBSTITUTE(SUBSTITUTE(SUBSTITUTE(MID(L42,SEARCH("(",L42)+1,SEARCH(")",L42)-SEARCH("(",L42)-1),"$",""),",","")," ","")),0),0))</f>
        <v>0</v>
      </c>
    </row>
    <row r="43" spans="1:27">
      <c r="A43" s="76">
        <v>45902</v>
      </c>
      <c r="B43" s="77" t="s">
        <v>318</v>
      </c>
      <c r="C43" s="77" t="s">
        <v>75</v>
      </c>
      <c r="D43" s="77" t="s">
        <v>63</v>
      </c>
      <c r="E43" s="77">
        <v>85016</v>
      </c>
      <c r="F43" s="77" t="s">
        <v>310</v>
      </c>
      <c r="G43" s="77" t="s">
        <v>303</v>
      </c>
      <c r="H43" s="77" t="s">
        <v>209</v>
      </c>
      <c r="I43" s="77"/>
      <c r="J43" s="77"/>
      <c r="K43" s="77"/>
      <c r="L43" s="77"/>
      <c r="M43" s="77"/>
      <c r="N43" s="77"/>
      <c r="O43" s="77"/>
      <c r="P43" s="77"/>
      <c r="Q43" s="76"/>
      <c r="R43" s="77"/>
      <c r="S43" s="77"/>
      <c r="T43" s="77"/>
      <c r="U43" s="77"/>
      <c r="V43" s="78"/>
      <c r="W43" s="79"/>
      <c r="X43" s="78"/>
      <c r="Y43" s="78"/>
      <c r="Z43" s="78"/>
      <c r="AA43">
        <f>IF(COUNTIF('Call Queue'!$H$6:$H$20,V43)&gt;0,0,IF(AND(ISNUMBER(N43),N43&gt;0),10000000+N43,IF(ISNUMBER(N43*1),IF(N43*1&gt;0,10000000+N43*1,0),0))+IF(ISNUMBER(SEARCH("(",L43)),1000000+IFERROR(VALUE(SUBSTITUTE(SUBSTITUTE(SUBSTITUTE(MID(L43,SEARCH("(",L43)+1,SEARCH(")",L43)-SEARCH("(",L43)-1),"$",""),",","")," ","")),0),0))</f>
        <v>0</v>
      </c>
    </row>
    <row r="44" spans="1:27">
      <c r="A44" s="76">
        <v>45902</v>
      </c>
      <c r="B44" s="77" t="s">
        <v>319</v>
      </c>
      <c r="C44" s="77" t="s">
        <v>320</v>
      </c>
      <c r="D44" s="77" t="s">
        <v>125</v>
      </c>
      <c r="E44" s="77">
        <v>85260</v>
      </c>
      <c r="F44" s="77" t="s">
        <v>31</v>
      </c>
      <c r="G44" s="77" t="s">
        <v>303</v>
      </c>
      <c r="H44" s="77">
        <v>2882986476</v>
      </c>
      <c r="I44" s="77" t="s">
        <v>196</v>
      </c>
      <c r="J44" s="77" t="s">
        <v>37</v>
      </c>
      <c r="K44" s="77" t="s">
        <v>37</v>
      </c>
      <c r="L44" s="77" t="s">
        <v>322</v>
      </c>
      <c r="M44" s="77" t="s">
        <v>37</v>
      </c>
      <c r="N44" s="77" t="s">
        <v>37</v>
      </c>
      <c r="O44" s="77" t="s">
        <v>38</v>
      </c>
      <c r="P44" s="77" t="s">
        <v>39</v>
      </c>
      <c r="Q44" s="76">
        <v>45957</v>
      </c>
      <c r="R44" s="77"/>
      <c r="S44" s="77"/>
      <c r="T44" s="77"/>
      <c r="U44" s="77"/>
      <c r="V44" s="78" t="s">
        <v>5432</v>
      </c>
      <c r="W44" s="79">
        <v>46011</v>
      </c>
      <c r="X44" s="78" t="s">
        <v>38</v>
      </c>
      <c r="Y44" s="78"/>
      <c r="Z44" s="78" t="s">
        <v>5543</v>
      </c>
      <c r="AA44">
        <f>IF(COUNTIF('Call Queue'!$H$6:$H$20,V44)&gt;0,0,IF(AND(ISNUMBER(N44),N44&gt;0),10000000+N44,IF(ISNUMBER(N44*1),IF(N44*1&gt;0,10000000+N44*1,0),0))+IF(ISNUMBER(SEARCH("(",L44)),1000000+IFERROR(VALUE(SUBSTITUTE(SUBSTITUTE(SUBSTITUTE(MID(L44,SEARCH("(",L44)+1,SEARCH(")",L44)-SEARCH("(",L44)-1),"$",""),",","")," ","")),0),0))</f>
        <v>0</v>
      </c>
    </row>
    <row r="45" spans="1:27">
      <c r="A45" s="76">
        <v>45902</v>
      </c>
      <c r="B45" s="77" t="s">
        <v>323</v>
      </c>
      <c r="C45" s="77" t="s">
        <v>324</v>
      </c>
      <c r="D45" s="77" t="s">
        <v>63</v>
      </c>
      <c r="E45" s="77">
        <v>85085</v>
      </c>
      <c r="F45" s="77" t="s">
        <v>310</v>
      </c>
      <c r="G45" s="77" t="s">
        <v>303</v>
      </c>
      <c r="H45" s="77">
        <v>7846277073</v>
      </c>
      <c r="I45" s="77" t="s">
        <v>36</v>
      </c>
      <c r="J45" s="77" t="s">
        <v>37</v>
      </c>
      <c r="K45" s="77" t="s">
        <v>37</v>
      </c>
      <c r="L45" s="77" t="s">
        <v>38</v>
      </c>
      <c r="M45" s="77" t="s">
        <v>37</v>
      </c>
      <c r="N45" s="77" t="s">
        <v>37</v>
      </c>
      <c r="O45" s="77" t="s">
        <v>38</v>
      </c>
      <c r="P45" s="77" t="s">
        <v>39</v>
      </c>
      <c r="Q45" s="76">
        <v>45958</v>
      </c>
      <c r="R45" s="77"/>
      <c r="S45" s="77"/>
      <c r="T45" s="77"/>
      <c r="U45" s="77"/>
      <c r="V45" s="78"/>
      <c r="W45" s="79"/>
      <c r="X45" s="78"/>
      <c r="Y45" s="78"/>
      <c r="Z45" s="78"/>
      <c r="AA45">
        <f>IF(COUNTIF('Call Queue'!$H$6:$H$20,V45)&gt;0,0,IF(AND(ISNUMBER(N45),N45&gt;0),10000000+N45,IF(ISNUMBER(N45*1),IF(N45*1&gt;0,10000000+N45*1,0),0))+IF(ISNUMBER(SEARCH("(",L45)),1000000+IFERROR(VALUE(SUBSTITUTE(SUBSTITUTE(SUBSTITUTE(MID(L45,SEARCH("(",L45)+1,SEARCH(")",L45)-SEARCH("(",L45)-1),"$",""),",","")," ","")),0),0))</f>
        <v>0</v>
      </c>
    </row>
    <row r="46" spans="1:27">
      <c r="A46" s="76">
        <v>45902</v>
      </c>
      <c r="B46" s="77" t="s">
        <v>325</v>
      </c>
      <c r="C46" s="77" t="s">
        <v>135</v>
      </c>
      <c r="D46" s="77" t="s">
        <v>63</v>
      </c>
      <c r="E46" s="77">
        <v>85027</v>
      </c>
      <c r="F46" s="77" t="s">
        <v>31</v>
      </c>
      <c r="G46" s="77" t="s">
        <v>303</v>
      </c>
      <c r="H46" s="77">
        <v>7692260000</v>
      </c>
      <c r="I46" s="77" t="s">
        <v>36</v>
      </c>
      <c r="J46" s="77" t="s">
        <v>37</v>
      </c>
      <c r="K46" s="77" t="s">
        <v>37</v>
      </c>
      <c r="L46" s="77" t="s">
        <v>38</v>
      </c>
      <c r="M46" s="77" t="s">
        <v>37</v>
      </c>
      <c r="N46" s="77" t="s">
        <v>37</v>
      </c>
      <c r="O46" s="77" t="s">
        <v>38</v>
      </c>
      <c r="P46" s="77" t="s">
        <v>39</v>
      </c>
      <c r="Q46" s="76">
        <v>45958</v>
      </c>
      <c r="R46" s="77"/>
      <c r="S46" s="77"/>
      <c r="T46" s="77"/>
      <c r="U46" s="77"/>
      <c r="V46" s="78" t="s">
        <v>117</v>
      </c>
      <c r="W46" s="79">
        <v>46067</v>
      </c>
      <c r="X46" s="78" t="s">
        <v>38</v>
      </c>
      <c r="Y46" s="78"/>
      <c r="Z46" s="78"/>
      <c r="AA46">
        <f>IF(COUNTIF('Call Queue'!$H$6:$H$20,V46)&gt;0,0,IF(AND(ISNUMBER(N46),N46&gt;0),10000000+N46,IF(ISNUMBER(N46*1),IF(N46*1&gt;0,10000000+N46*1,0),0))+IF(ISNUMBER(SEARCH("(",L46)),1000000+IFERROR(VALUE(SUBSTITUTE(SUBSTITUTE(SUBSTITUTE(MID(L46,SEARCH("(",L46)+1,SEARCH(")",L46)-SEARCH("(",L46)-1),"$",""),",","")," ","")),0),0))</f>
        <v>0</v>
      </c>
    </row>
    <row r="47" spans="1:27">
      <c r="A47" s="76">
        <v>45902</v>
      </c>
      <c r="B47" s="77" t="s">
        <v>327</v>
      </c>
      <c r="C47" s="77" t="s">
        <v>328</v>
      </c>
      <c r="D47" s="77" t="s">
        <v>63</v>
      </c>
      <c r="E47" s="77">
        <v>85027</v>
      </c>
      <c r="F47" s="77" t="s">
        <v>310</v>
      </c>
      <c r="G47" s="77" t="s">
        <v>303</v>
      </c>
      <c r="H47" s="77">
        <v>1113187095</v>
      </c>
      <c r="I47" s="77" t="s">
        <v>126</v>
      </c>
      <c r="J47" s="77" t="s">
        <v>37</v>
      </c>
      <c r="K47" s="77" t="s">
        <v>37</v>
      </c>
      <c r="L47" s="77" t="s">
        <v>38</v>
      </c>
      <c r="M47" s="77" t="s">
        <v>37</v>
      </c>
      <c r="N47" s="77" t="s">
        <v>37</v>
      </c>
      <c r="O47" s="77" t="s">
        <v>38</v>
      </c>
      <c r="P47" s="77" t="s">
        <v>39</v>
      </c>
      <c r="Q47" s="76">
        <v>45958</v>
      </c>
      <c r="R47" s="77"/>
      <c r="S47" s="77"/>
      <c r="T47" s="77"/>
      <c r="U47" s="77"/>
      <c r="V47" s="78"/>
      <c r="W47" s="79"/>
      <c r="X47" s="78"/>
      <c r="Y47" s="78"/>
      <c r="Z47" s="78"/>
      <c r="AA47">
        <f>IF(COUNTIF('Call Queue'!$H$6:$H$20,V47)&gt;0,0,IF(AND(ISNUMBER(N47),N47&gt;0),10000000+N47,IF(ISNUMBER(N47*1),IF(N47*1&gt;0,10000000+N47*1,0),0))+IF(ISNUMBER(SEARCH("(",L47)),1000000+IFERROR(VALUE(SUBSTITUTE(SUBSTITUTE(SUBSTITUTE(MID(L47,SEARCH("(",L47)+1,SEARCH(")",L47)-SEARCH("(",L47)-1),"$",""),",","")," ","")),0),0))</f>
        <v>0</v>
      </c>
    </row>
    <row r="48" spans="1:27">
      <c r="A48" s="76">
        <v>45902</v>
      </c>
      <c r="B48" s="77" t="s">
        <v>144</v>
      </c>
      <c r="C48" s="77" t="s">
        <v>329</v>
      </c>
      <c r="D48" s="77" t="s">
        <v>63</v>
      </c>
      <c r="E48" s="77">
        <v>85008</v>
      </c>
      <c r="F48" s="77" t="s">
        <v>310</v>
      </c>
      <c r="G48" s="77" t="s">
        <v>303</v>
      </c>
      <c r="H48" s="77">
        <v>6584830202</v>
      </c>
      <c r="I48" s="77" t="s">
        <v>57</v>
      </c>
      <c r="J48" s="77" t="s">
        <v>37</v>
      </c>
      <c r="K48" s="77" t="s">
        <v>37</v>
      </c>
      <c r="L48" s="77" t="s">
        <v>331</v>
      </c>
      <c r="M48" s="77" t="s">
        <v>37</v>
      </c>
      <c r="N48" s="77" t="s">
        <v>37</v>
      </c>
      <c r="O48" s="77" t="s">
        <v>38</v>
      </c>
      <c r="P48" s="77">
        <v>45932</v>
      </c>
      <c r="Q48" s="76">
        <v>45685</v>
      </c>
      <c r="R48" s="77" t="s">
        <v>332</v>
      </c>
      <c r="S48" s="77"/>
      <c r="T48" s="77"/>
      <c r="U48" s="77"/>
      <c r="V48" s="78" t="s">
        <v>5432</v>
      </c>
      <c r="W48" s="79">
        <v>46011</v>
      </c>
      <c r="X48" s="78" t="s">
        <v>38</v>
      </c>
      <c r="Y48" s="78"/>
      <c r="Z48" s="78" t="s">
        <v>5440</v>
      </c>
      <c r="AA48">
        <f>IF(COUNTIF('Call Queue'!$H$6:$H$20,V48)&gt;0,0,IF(AND(ISNUMBER(N48),N48&gt;0),10000000+N48,IF(ISNUMBER(N48*1),IF(N48*1&gt;0,10000000+N48*1,0),0))+IF(ISNUMBER(SEARCH("(",L48)),1000000+IFERROR(VALUE(SUBSTITUTE(SUBSTITUTE(SUBSTITUTE(MID(L48,SEARCH("(",L48)+1,SEARCH(")",L48)-SEARCH("(",L48)-1),"$",""),",","")," ","")),0),0))</f>
        <v>0</v>
      </c>
    </row>
    <row r="49" spans="1:27">
      <c r="A49" s="76">
        <v>45902</v>
      </c>
      <c r="B49" s="77" t="s">
        <v>333</v>
      </c>
      <c r="C49" s="77" t="s">
        <v>334</v>
      </c>
      <c r="D49" s="77" t="s">
        <v>202</v>
      </c>
      <c r="E49" s="77">
        <v>85345</v>
      </c>
      <c r="F49" s="77" t="s">
        <v>310</v>
      </c>
      <c r="G49" s="77" t="s">
        <v>303</v>
      </c>
      <c r="H49" s="77">
        <v>6178141000</v>
      </c>
      <c r="I49" s="77" t="s">
        <v>36</v>
      </c>
      <c r="J49" s="77" t="s">
        <v>37</v>
      </c>
      <c r="K49" s="77" t="s">
        <v>37</v>
      </c>
      <c r="L49" s="77" t="s">
        <v>38</v>
      </c>
      <c r="M49" s="77" t="s">
        <v>38</v>
      </c>
      <c r="N49" s="77">
        <v>175.19</v>
      </c>
      <c r="O49" s="77" t="s">
        <v>38</v>
      </c>
      <c r="P49" s="77" t="s">
        <v>39</v>
      </c>
      <c r="Q49" s="76">
        <v>45958</v>
      </c>
      <c r="R49" s="77"/>
      <c r="S49" s="77"/>
      <c r="T49" s="77"/>
      <c r="U49" s="77"/>
      <c r="V49" s="78" t="s">
        <v>5432</v>
      </c>
      <c r="W49" s="79">
        <v>46011</v>
      </c>
      <c r="X49" s="78" t="s">
        <v>38</v>
      </c>
      <c r="Y49" s="78"/>
      <c r="Z49" s="78"/>
      <c r="AA49">
        <f>IF(COUNTIF('Call Queue'!$H$6:$H$20,V49)&gt;0,0,IF(AND(ISNUMBER(N49),N49&gt;0),10000000+N49,IF(ISNUMBER(N49*1),IF(N49*1&gt;0,10000000+N49*1,0),0))+IF(ISNUMBER(SEARCH("(",L49)),1000000+IFERROR(VALUE(SUBSTITUTE(SUBSTITUTE(SUBSTITUTE(MID(L49,SEARCH("(",L49)+1,SEARCH(")",L49)-SEARCH("(",L49)-1),"$",""),",","")," ","")),0),0))</f>
        <v>0</v>
      </c>
    </row>
    <row r="50" spans="1:27">
      <c r="A50" s="76">
        <v>45902</v>
      </c>
      <c r="B50" s="77" t="s">
        <v>335</v>
      </c>
      <c r="C50" s="77" t="s">
        <v>336</v>
      </c>
      <c r="D50" s="77" t="s">
        <v>63</v>
      </c>
      <c r="E50" s="77">
        <v>85004</v>
      </c>
      <c r="F50" s="77" t="s">
        <v>310</v>
      </c>
      <c r="G50" s="77" t="s">
        <v>303</v>
      </c>
      <c r="H50" s="77">
        <v>5855923100</v>
      </c>
      <c r="I50" s="77" t="s">
        <v>126</v>
      </c>
      <c r="J50" s="77" t="s">
        <v>37</v>
      </c>
      <c r="K50" s="77" t="s">
        <v>37</v>
      </c>
      <c r="L50" s="77" t="s">
        <v>338</v>
      </c>
      <c r="M50" s="77" t="s">
        <v>37</v>
      </c>
      <c r="N50" s="77" t="s">
        <v>37</v>
      </c>
      <c r="O50" s="77" t="s">
        <v>38</v>
      </c>
      <c r="P50" s="77" t="s">
        <v>39</v>
      </c>
      <c r="Q50" s="76">
        <v>45958</v>
      </c>
      <c r="R50" s="77"/>
      <c r="S50" s="77"/>
      <c r="T50" s="77"/>
      <c r="U50" s="77"/>
      <c r="V50" s="78" t="s">
        <v>5432</v>
      </c>
      <c r="W50" s="79">
        <v>46011</v>
      </c>
      <c r="X50" s="78" t="s">
        <v>38</v>
      </c>
      <c r="Y50" s="78"/>
      <c r="Z50" s="78"/>
      <c r="AA50">
        <f>IF(COUNTIF('Call Queue'!$H$6:$H$20,V50)&gt;0,0,IF(AND(ISNUMBER(N50),N50&gt;0),10000000+N50,IF(ISNUMBER(N50*1),IF(N50*1&gt;0,10000000+N50*1,0),0))+IF(ISNUMBER(SEARCH("(",L50)),1000000+IFERROR(VALUE(SUBSTITUTE(SUBSTITUTE(SUBSTITUTE(MID(L50,SEARCH("(",L50)+1,SEARCH(")",L50)-SEARCH("(",L50)-1),"$",""),",","")," ","")),0),0))</f>
        <v>0</v>
      </c>
    </row>
    <row r="51" spans="1:27">
      <c r="A51" s="76">
        <v>45902</v>
      </c>
      <c r="B51" s="77" t="s">
        <v>339</v>
      </c>
      <c r="C51" s="77" t="s">
        <v>340</v>
      </c>
      <c r="D51" s="77" t="s">
        <v>63</v>
      </c>
      <c r="E51" s="77">
        <v>85027</v>
      </c>
      <c r="F51" s="77" t="s">
        <v>31</v>
      </c>
      <c r="G51" s="77" t="s">
        <v>303</v>
      </c>
      <c r="H51" s="77">
        <v>2779220471</v>
      </c>
      <c r="I51" s="77" t="s">
        <v>196</v>
      </c>
      <c r="J51" s="77" t="s">
        <v>37</v>
      </c>
      <c r="K51" s="77" t="s">
        <v>37</v>
      </c>
      <c r="L51" s="77" t="s">
        <v>341</v>
      </c>
      <c r="M51" s="77" t="s">
        <v>37</v>
      </c>
      <c r="N51" s="77" t="s">
        <v>37</v>
      </c>
      <c r="O51" s="77" t="s">
        <v>38</v>
      </c>
      <c r="P51" s="77" t="s">
        <v>39</v>
      </c>
      <c r="Q51" s="76">
        <v>45958</v>
      </c>
      <c r="R51" s="77"/>
      <c r="S51" s="77"/>
      <c r="T51" s="77"/>
      <c r="U51" s="77"/>
      <c r="V51" s="78" t="s">
        <v>117</v>
      </c>
      <c r="W51" s="79">
        <v>46060</v>
      </c>
      <c r="X51" s="78" t="s">
        <v>38</v>
      </c>
      <c r="Y51" s="78"/>
      <c r="Z51" s="78" t="s">
        <v>5434</v>
      </c>
      <c r="AA51">
        <f>IF(COUNTIF('Call Queue'!$H$6:$H$20,V51)&gt;0,0,IF(AND(ISNUMBER(N51),N51&gt;0),10000000+N51,IF(ISNUMBER(N51*1),IF(N51*1&gt;0,10000000+N51*1,0),0))+IF(ISNUMBER(SEARCH("(",L51)),1000000+IFERROR(VALUE(SUBSTITUTE(SUBSTITUTE(SUBSTITUTE(MID(L51,SEARCH("(",L51)+1,SEARCH(")",L51)-SEARCH("(",L51)-1),"$",""),",","")," ","")),0),0))</f>
        <v>0</v>
      </c>
    </row>
    <row r="52" spans="1:27">
      <c r="A52" s="76">
        <v>45902</v>
      </c>
      <c r="B52" s="77" t="s">
        <v>342</v>
      </c>
      <c r="C52" s="77" t="s">
        <v>343</v>
      </c>
      <c r="D52" s="77" t="s">
        <v>174</v>
      </c>
      <c r="E52" s="77">
        <v>85326</v>
      </c>
      <c r="F52" s="77" t="s">
        <v>31</v>
      </c>
      <c r="G52" s="77" t="s">
        <v>303</v>
      </c>
      <c r="H52" s="77">
        <v>7245245699</v>
      </c>
      <c r="I52" s="77" t="s">
        <v>196</v>
      </c>
      <c r="J52" s="77" t="s">
        <v>37</v>
      </c>
      <c r="K52" s="77" t="s">
        <v>37</v>
      </c>
      <c r="L52" s="77" t="s">
        <v>38</v>
      </c>
      <c r="M52" s="77" t="s">
        <v>37</v>
      </c>
      <c r="N52" s="77" t="s">
        <v>37</v>
      </c>
      <c r="O52" s="77" t="s">
        <v>38</v>
      </c>
      <c r="P52" s="77" t="s">
        <v>39</v>
      </c>
      <c r="Q52" s="76">
        <v>45958</v>
      </c>
      <c r="R52" s="77"/>
      <c r="S52" s="77"/>
      <c r="T52" s="77"/>
      <c r="U52" s="77"/>
      <c r="V52" s="78" t="s">
        <v>117</v>
      </c>
      <c r="W52" s="79">
        <v>46067</v>
      </c>
      <c r="X52" s="78" t="s">
        <v>37</v>
      </c>
      <c r="Y52" s="78"/>
      <c r="Z52" s="78" t="s">
        <v>5434</v>
      </c>
      <c r="AA52">
        <f>IF(COUNTIF('Call Queue'!$H$6:$H$20,V52)&gt;0,0,IF(AND(ISNUMBER(N52),N52&gt;0),10000000+N52,IF(ISNUMBER(N52*1),IF(N52*1&gt;0,10000000+N52*1,0),0))+IF(ISNUMBER(SEARCH("(",L52)),1000000+IFERROR(VALUE(SUBSTITUTE(SUBSTITUTE(SUBSTITUTE(MID(L52,SEARCH("(",L52)+1,SEARCH(")",L52)-SEARCH("(",L52)-1),"$",""),",","")," ","")),0),0))</f>
        <v>0</v>
      </c>
    </row>
    <row r="53" spans="1:27">
      <c r="A53" s="76">
        <v>45902</v>
      </c>
      <c r="B53" s="77" t="s">
        <v>345</v>
      </c>
      <c r="C53" s="77" t="s">
        <v>346</v>
      </c>
      <c r="D53" s="77" t="s">
        <v>261</v>
      </c>
      <c r="E53" s="77">
        <v>86314</v>
      </c>
      <c r="F53" s="77" t="s">
        <v>31</v>
      </c>
      <c r="G53" s="77" t="s">
        <v>303</v>
      </c>
      <c r="H53" s="77">
        <v>644019886</v>
      </c>
      <c r="I53" s="77" t="s">
        <v>126</v>
      </c>
      <c r="J53" s="77" t="s">
        <v>37</v>
      </c>
      <c r="K53" s="77" t="s">
        <v>37</v>
      </c>
      <c r="L53" s="77" t="s">
        <v>348</v>
      </c>
      <c r="M53" s="77" t="s">
        <v>38</v>
      </c>
      <c r="N53" s="77">
        <v>605.92999999999995</v>
      </c>
      <c r="O53" s="77" t="s">
        <v>38</v>
      </c>
      <c r="P53" s="77">
        <v>45932</v>
      </c>
      <c r="Q53" s="76"/>
      <c r="R53" s="77" t="s">
        <v>332</v>
      </c>
      <c r="S53" s="77"/>
      <c r="T53" s="77"/>
      <c r="U53" s="77"/>
      <c r="V53" s="78" t="s">
        <v>5432</v>
      </c>
      <c r="W53" s="79">
        <v>46011</v>
      </c>
      <c r="X53" s="78" t="s">
        <v>38</v>
      </c>
      <c r="Y53" s="78"/>
      <c r="Z53" s="78" t="s">
        <v>5546</v>
      </c>
      <c r="AA53">
        <f>IF(COUNTIF('Call Queue'!$H$6:$H$20,V53)&gt;0,0,IF(AND(ISNUMBER(N53),N53&gt;0),10000000+N53,IF(ISNUMBER(N53*1),IF(N53*1&gt;0,10000000+N53*1,0),0))+IF(ISNUMBER(SEARCH("(",L53)),1000000+IFERROR(VALUE(SUBSTITUTE(SUBSTITUTE(SUBSTITUTE(MID(L53,SEARCH("(",L53)+1,SEARCH(")",L53)-SEARCH("(",L53)-1),"$",""),",","")," ","")),0),0))</f>
        <v>0</v>
      </c>
    </row>
    <row r="54" spans="1:27">
      <c r="A54" s="76">
        <v>45902</v>
      </c>
      <c r="B54" s="77" t="s">
        <v>349</v>
      </c>
      <c r="C54" s="77" t="s">
        <v>350</v>
      </c>
      <c r="D54" s="77" t="s">
        <v>24</v>
      </c>
      <c r="E54" s="77">
        <v>85306</v>
      </c>
      <c r="F54" s="77" t="s">
        <v>310</v>
      </c>
      <c r="G54" s="77" t="s">
        <v>303</v>
      </c>
      <c r="H54" s="77">
        <v>6799425771</v>
      </c>
      <c r="I54" s="77" t="s">
        <v>57</v>
      </c>
      <c r="J54" s="77" t="s">
        <v>37</v>
      </c>
      <c r="K54" s="77" t="s">
        <v>37</v>
      </c>
      <c r="L54" s="77" t="s">
        <v>352</v>
      </c>
      <c r="M54" s="77" t="s">
        <v>38</v>
      </c>
      <c r="N54" s="77">
        <v>591.48</v>
      </c>
      <c r="O54" s="77" t="s">
        <v>38</v>
      </c>
      <c r="P54" s="77">
        <v>45932</v>
      </c>
      <c r="Q54" s="76">
        <v>45968</v>
      </c>
      <c r="R54" s="77" t="s">
        <v>353</v>
      </c>
      <c r="S54" s="77"/>
      <c r="T54" s="77"/>
      <c r="U54" s="77"/>
      <c r="V54" s="78" t="s">
        <v>5432</v>
      </c>
      <c r="W54" s="79">
        <v>46011</v>
      </c>
      <c r="X54" s="78" t="s">
        <v>37</v>
      </c>
      <c r="Y54" s="78" t="s">
        <v>5441</v>
      </c>
      <c r="Z54" s="78" t="s">
        <v>5547</v>
      </c>
      <c r="AA54">
        <f>IF(COUNTIF('Call Queue'!$H$6:$H$20,V54)&gt;0,0,IF(AND(ISNUMBER(N54),N54&gt;0),10000000+N54,IF(ISNUMBER(N54*1),IF(N54*1&gt;0,10000000+N54*1,0),0))+IF(ISNUMBER(SEARCH("(",L54)),1000000+IFERROR(VALUE(SUBSTITUTE(SUBSTITUTE(SUBSTITUTE(MID(L54,SEARCH("(",L54)+1,SEARCH(")",L54)-SEARCH("(",L54)-1),"$",""),",","")," ","")),0),0))</f>
        <v>0</v>
      </c>
    </row>
    <row r="55" spans="1:27">
      <c r="A55" s="76">
        <v>45902</v>
      </c>
      <c r="B55" s="77" t="s">
        <v>354</v>
      </c>
      <c r="C55" s="77" t="s">
        <v>355</v>
      </c>
      <c r="D55" s="77" t="s">
        <v>112</v>
      </c>
      <c r="E55" s="77">
        <v>85387</v>
      </c>
      <c r="F55" s="77" t="s">
        <v>310</v>
      </c>
      <c r="G55" s="77" t="s">
        <v>303</v>
      </c>
      <c r="H55" s="77">
        <v>6635023227</v>
      </c>
      <c r="I55" s="77" t="s">
        <v>196</v>
      </c>
      <c r="J55" s="77" t="s">
        <v>37</v>
      </c>
      <c r="K55" s="77" t="s">
        <v>37</v>
      </c>
      <c r="L55" s="77" t="s">
        <v>357</v>
      </c>
      <c r="M55" s="77" t="s">
        <v>37</v>
      </c>
      <c r="N55" s="77" t="s">
        <v>37</v>
      </c>
      <c r="O55" s="77" t="s">
        <v>38</v>
      </c>
      <c r="P55" s="77" t="s">
        <v>39</v>
      </c>
      <c r="Q55" s="76">
        <v>45968</v>
      </c>
      <c r="R55" s="77"/>
      <c r="S55" s="77"/>
      <c r="T55" s="77"/>
      <c r="U55" s="77"/>
      <c r="V55" s="78" t="s">
        <v>117</v>
      </c>
      <c r="W55" s="79">
        <v>46032</v>
      </c>
      <c r="X55" s="78" t="s">
        <v>37</v>
      </c>
      <c r="Y55" s="78" t="s">
        <v>5527</v>
      </c>
      <c r="Z55" s="78" t="s">
        <v>5434</v>
      </c>
      <c r="AA55">
        <f>IF(COUNTIF('Call Queue'!$H$6:$H$20,V55)&gt;0,0,IF(AND(ISNUMBER(N55),N55&gt;0),10000000+N55,IF(ISNUMBER(N55*1),IF(N55*1&gt;0,10000000+N55*1,0),0))+IF(ISNUMBER(SEARCH("(",L55)),1000000+IFERROR(VALUE(SUBSTITUTE(SUBSTITUTE(SUBSTITUTE(MID(L55,SEARCH("(",L55)+1,SEARCH(")",L55)-SEARCH("(",L55)-1),"$",""),",","")," ","")),0),0))</f>
        <v>0</v>
      </c>
    </row>
    <row r="56" spans="1:27">
      <c r="A56" s="76">
        <v>45902</v>
      </c>
      <c r="B56" s="77" t="s">
        <v>358</v>
      </c>
      <c r="C56" s="77" t="s">
        <v>359</v>
      </c>
      <c r="D56" s="77" t="s">
        <v>63</v>
      </c>
      <c r="E56" s="77">
        <v>85020</v>
      </c>
      <c r="F56" s="77" t="s">
        <v>310</v>
      </c>
      <c r="G56" s="77" t="s">
        <v>303</v>
      </c>
      <c r="H56" s="77">
        <v>9505905227</v>
      </c>
      <c r="I56" s="77" t="s">
        <v>126</v>
      </c>
      <c r="J56" s="77" t="s">
        <v>37</v>
      </c>
      <c r="K56" s="77" t="s">
        <v>37</v>
      </c>
      <c r="L56" s="77" t="s">
        <v>361</v>
      </c>
      <c r="M56" s="77" t="s">
        <v>37</v>
      </c>
      <c r="N56" s="77" t="s">
        <v>37</v>
      </c>
      <c r="O56" s="77" t="s">
        <v>38</v>
      </c>
      <c r="P56" s="77" t="s">
        <v>39</v>
      </c>
      <c r="Q56" s="76">
        <v>45968</v>
      </c>
      <c r="R56" s="77"/>
      <c r="S56" s="77"/>
      <c r="T56" s="77"/>
      <c r="U56" s="77"/>
      <c r="V56" s="78" t="s">
        <v>5432</v>
      </c>
      <c r="W56" s="79">
        <v>46011</v>
      </c>
      <c r="X56" s="78" t="s">
        <v>38</v>
      </c>
      <c r="Y56" s="78"/>
      <c r="Z56" s="78"/>
      <c r="AA56">
        <f>IF(COUNTIF('Call Queue'!$H$6:$H$20,V56)&gt;0,0,IF(AND(ISNUMBER(N56),N56&gt;0),10000000+N56,IF(ISNUMBER(N56*1),IF(N56*1&gt;0,10000000+N56*1,0),0))+IF(ISNUMBER(SEARCH("(",L56)),1000000+IFERROR(VALUE(SUBSTITUTE(SUBSTITUTE(SUBSTITUTE(MID(L56,SEARCH("(",L56)+1,SEARCH(")",L56)-SEARCH("(",L56)-1),"$",""),",","")," ","")),0),0))</f>
        <v>0</v>
      </c>
    </row>
    <row r="57" spans="1:27">
      <c r="A57" s="76">
        <v>45902</v>
      </c>
      <c r="B57" s="77" t="s">
        <v>362</v>
      </c>
      <c r="C57" s="77" t="s">
        <v>363</v>
      </c>
      <c r="D57" s="77" t="s">
        <v>240</v>
      </c>
      <c r="E57" s="77">
        <v>85340</v>
      </c>
      <c r="F57" s="77" t="s">
        <v>31</v>
      </c>
      <c r="G57" s="77" t="s">
        <v>303</v>
      </c>
      <c r="H57" s="77">
        <v>9937021000</v>
      </c>
      <c r="I57" s="77" t="s">
        <v>36</v>
      </c>
      <c r="J57" s="77" t="s">
        <v>37</v>
      </c>
      <c r="K57" s="77" t="s">
        <v>37</v>
      </c>
      <c r="L57" s="77" t="s">
        <v>38</v>
      </c>
      <c r="M57" s="77" t="s">
        <v>37</v>
      </c>
      <c r="N57" s="77" t="s">
        <v>37</v>
      </c>
      <c r="O57" s="77" t="s">
        <v>38</v>
      </c>
      <c r="P57" s="77" t="s">
        <v>39</v>
      </c>
      <c r="Q57" s="76">
        <v>45968</v>
      </c>
      <c r="R57" s="77"/>
      <c r="S57" s="77"/>
      <c r="T57" s="77"/>
      <c r="U57" s="77"/>
      <c r="V57" s="78"/>
      <c r="W57" s="79"/>
      <c r="X57" s="78"/>
      <c r="Y57" s="78"/>
      <c r="Z57" s="78"/>
      <c r="AA57">
        <f>IF(COUNTIF('Call Queue'!$H$6:$H$20,V57)&gt;0,0,IF(AND(ISNUMBER(N57),N57&gt;0),10000000+N57,IF(ISNUMBER(N57*1),IF(N57*1&gt;0,10000000+N57*1,0),0))+IF(ISNUMBER(SEARCH("(",L57)),1000000+IFERROR(VALUE(SUBSTITUTE(SUBSTITUTE(SUBSTITUTE(MID(L57,SEARCH("(",L57)+1,SEARCH(")",L57)-SEARCH("(",L57)-1),"$",""),",","")," ","")),0),0))</f>
        <v>0</v>
      </c>
    </row>
    <row r="58" spans="1:27">
      <c r="A58" s="76">
        <v>45902</v>
      </c>
      <c r="B58" s="77" t="s">
        <v>365</v>
      </c>
      <c r="C58" s="77" t="s">
        <v>284</v>
      </c>
      <c r="D58" s="77" t="s">
        <v>112</v>
      </c>
      <c r="E58" s="77">
        <v>85387</v>
      </c>
      <c r="F58" s="77" t="s">
        <v>31</v>
      </c>
      <c r="G58" s="77" t="s">
        <v>303</v>
      </c>
      <c r="H58" s="77">
        <v>7949496672</v>
      </c>
      <c r="I58" s="77" t="s">
        <v>288</v>
      </c>
      <c r="J58" s="77" t="s">
        <v>38</v>
      </c>
      <c r="K58" s="77" t="s">
        <v>37</v>
      </c>
      <c r="L58" s="77" t="s">
        <v>38</v>
      </c>
      <c r="M58" s="77" t="s">
        <v>37</v>
      </c>
      <c r="N58" s="77" t="s">
        <v>37</v>
      </c>
      <c r="O58" s="77" t="s">
        <v>38</v>
      </c>
      <c r="P58" s="77" t="s">
        <v>39</v>
      </c>
      <c r="Q58" s="76">
        <v>45968</v>
      </c>
      <c r="R58" s="77"/>
      <c r="S58" s="77"/>
      <c r="T58" s="77"/>
      <c r="U58" s="77"/>
      <c r="V58" s="78" t="s">
        <v>117</v>
      </c>
      <c r="W58" s="79">
        <v>46067</v>
      </c>
      <c r="X58" s="78" t="s">
        <v>38</v>
      </c>
      <c r="Y58" s="78"/>
      <c r="Z58" s="78"/>
      <c r="AA58">
        <f>IF(COUNTIF('Call Queue'!$H$6:$H$20,V58)&gt;0,0,IF(AND(ISNUMBER(N58),N58&gt;0),10000000+N58,IF(ISNUMBER(N58*1),IF(N58*1&gt;0,10000000+N58*1,0),0))+IF(ISNUMBER(SEARCH("(",L58)),1000000+IFERROR(VALUE(SUBSTITUTE(SUBSTITUTE(SUBSTITUTE(MID(L58,SEARCH("(",L58)+1,SEARCH(")",L58)-SEARCH("(",L58)-1),"$",""),",","")," ","")),0),0))</f>
        <v>0</v>
      </c>
    </row>
    <row r="59" spans="1:27">
      <c r="A59" s="76">
        <v>45902</v>
      </c>
      <c r="B59" s="77" t="s">
        <v>367</v>
      </c>
      <c r="C59" s="77" t="s">
        <v>225</v>
      </c>
      <c r="D59" s="77" t="s">
        <v>63</v>
      </c>
      <c r="E59" s="77">
        <v>85020</v>
      </c>
      <c r="F59" s="77" t="s">
        <v>310</v>
      </c>
      <c r="G59" s="77" t="s">
        <v>303</v>
      </c>
      <c r="H59" s="77" t="s">
        <v>209</v>
      </c>
      <c r="I59" s="77"/>
      <c r="J59" s="77"/>
      <c r="K59" s="77"/>
      <c r="L59" s="77"/>
      <c r="M59" s="77"/>
      <c r="N59" s="77"/>
      <c r="O59" s="77"/>
      <c r="P59" s="77"/>
      <c r="Q59" s="76"/>
      <c r="R59" s="77"/>
      <c r="S59" s="77"/>
      <c r="T59" s="77"/>
      <c r="U59" s="77"/>
      <c r="V59" s="78"/>
      <c r="W59" s="79"/>
      <c r="X59" s="78"/>
      <c r="Y59" s="78"/>
      <c r="Z59" s="78"/>
      <c r="AA59">
        <f>IF(COUNTIF('Call Queue'!$H$6:$H$20,V59)&gt;0,0,IF(AND(ISNUMBER(N59),N59&gt;0),10000000+N59,IF(ISNUMBER(N59*1),IF(N59*1&gt;0,10000000+N59*1,0),0))+IF(ISNUMBER(SEARCH("(",L59)),1000000+IFERROR(VALUE(SUBSTITUTE(SUBSTITUTE(SUBSTITUTE(MID(L59,SEARCH("(",L59)+1,SEARCH(")",L59)-SEARCH("(",L59)-1),"$",""),",","")," ","")),0),0))</f>
        <v>0</v>
      </c>
    </row>
    <row r="60" spans="1:27">
      <c r="A60" s="76">
        <v>45902</v>
      </c>
      <c r="B60" s="77" t="s">
        <v>368</v>
      </c>
      <c r="C60" s="77" t="s">
        <v>369</v>
      </c>
      <c r="D60" s="77" t="s">
        <v>370</v>
      </c>
      <c r="E60" s="77">
        <v>85225</v>
      </c>
      <c r="F60" s="77" t="s">
        <v>31</v>
      </c>
      <c r="G60" s="77" t="s">
        <v>303</v>
      </c>
      <c r="H60" s="77">
        <v>8712521000</v>
      </c>
      <c r="I60" s="77" t="s">
        <v>36</v>
      </c>
      <c r="J60" s="77" t="s">
        <v>37</v>
      </c>
      <c r="K60" s="77" t="s">
        <v>37</v>
      </c>
      <c r="L60" s="77" t="s">
        <v>38</v>
      </c>
      <c r="M60" s="77" t="s">
        <v>37</v>
      </c>
      <c r="N60" s="77" t="s">
        <v>37</v>
      </c>
      <c r="O60" s="77" t="s">
        <v>38</v>
      </c>
      <c r="P60" s="77" t="s">
        <v>39</v>
      </c>
      <c r="Q60" s="76">
        <v>45968</v>
      </c>
      <c r="R60" s="77"/>
      <c r="S60" s="77"/>
      <c r="T60" s="77"/>
      <c r="U60" s="77"/>
      <c r="V60" s="78"/>
      <c r="W60" s="79"/>
      <c r="X60" s="78"/>
      <c r="Y60" s="78"/>
      <c r="Z60" s="78"/>
      <c r="AA60">
        <f>IF(COUNTIF('Call Queue'!$H$6:$H$20,V60)&gt;0,0,IF(AND(ISNUMBER(N60),N60&gt;0),10000000+N60,IF(ISNUMBER(N60*1),IF(N60*1&gt;0,10000000+N60*1,0),0))+IF(ISNUMBER(SEARCH("(",L60)),1000000+IFERROR(VALUE(SUBSTITUTE(SUBSTITUTE(SUBSTITUTE(MID(L60,SEARCH("(",L60)+1,SEARCH(")",L60)-SEARCH("(",L60)-1),"$",""),",","")," ","")),0),0))</f>
        <v>0</v>
      </c>
    </row>
    <row r="61" spans="1:27">
      <c r="A61" s="76">
        <v>45902</v>
      </c>
      <c r="B61" s="77" t="s">
        <v>372</v>
      </c>
      <c r="C61" s="77" t="s">
        <v>373</v>
      </c>
      <c r="D61" s="77" t="s">
        <v>63</v>
      </c>
      <c r="E61" s="77">
        <v>85006</v>
      </c>
      <c r="F61" s="77" t="s">
        <v>31</v>
      </c>
      <c r="G61" s="77" t="s">
        <v>303</v>
      </c>
      <c r="H61" s="77">
        <v>2584149193</v>
      </c>
      <c r="I61" s="77" t="s">
        <v>196</v>
      </c>
      <c r="J61" s="77" t="s">
        <v>37</v>
      </c>
      <c r="K61" s="77" t="s">
        <v>37</v>
      </c>
      <c r="L61" s="77" t="s">
        <v>38</v>
      </c>
      <c r="M61" s="77" t="s">
        <v>37</v>
      </c>
      <c r="N61" s="77" t="s">
        <v>37</v>
      </c>
      <c r="O61" s="77" t="s">
        <v>38</v>
      </c>
      <c r="P61" s="77" t="s">
        <v>39</v>
      </c>
      <c r="Q61" s="76">
        <v>45968</v>
      </c>
      <c r="R61" s="77"/>
      <c r="S61" s="77"/>
      <c r="T61" s="77"/>
      <c r="U61" s="77"/>
      <c r="V61" s="78" t="s">
        <v>117</v>
      </c>
      <c r="W61" s="79">
        <v>46067</v>
      </c>
      <c r="X61" s="78" t="s">
        <v>38</v>
      </c>
      <c r="Y61" s="78"/>
      <c r="Z61" s="78"/>
      <c r="AA61">
        <f>IF(COUNTIF('Call Queue'!$H$6:$H$20,V61)&gt;0,0,IF(AND(ISNUMBER(N61),N61&gt;0),10000000+N61,IF(ISNUMBER(N61*1),IF(N61*1&gt;0,10000000+N61*1,0),0))+IF(ISNUMBER(SEARCH("(",L61)),1000000+IFERROR(VALUE(SUBSTITUTE(SUBSTITUTE(SUBSTITUTE(MID(L61,SEARCH("(",L61)+1,SEARCH(")",L61)-SEARCH("(",L61)-1),"$",""),",","")," ","")),0),0))</f>
        <v>0</v>
      </c>
    </row>
    <row r="62" spans="1:27">
      <c r="A62" s="76">
        <v>45902</v>
      </c>
      <c r="B62" s="77" t="s">
        <v>375</v>
      </c>
      <c r="C62" s="77" t="s">
        <v>376</v>
      </c>
      <c r="D62" s="77" t="s">
        <v>112</v>
      </c>
      <c r="E62" s="77">
        <v>85388</v>
      </c>
      <c r="F62" s="77" t="s">
        <v>31</v>
      </c>
      <c r="G62" s="77" t="s">
        <v>303</v>
      </c>
      <c r="H62" s="77">
        <v>3811821000</v>
      </c>
      <c r="I62" s="77" t="s">
        <v>196</v>
      </c>
      <c r="J62" s="77" t="s">
        <v>37</v>
      </c>
      <c r="K62" s="77" t="s">
        <v>37</v>
      </c>
      <c r="L62" s="77" t="s">
        <v>378</v>
      </c>
      <c r="M62" s="77" t="s">
        <v>37</v>
      </c>
      <c r="N62" s="77" t="s">
        <v>37</v>
      </c>
      <c r="O62" s="77" t="s">
        <v>38</v>
      </c>
      <c r="P62" s="77">
        <v>45932</v>
      </c>
      <c r="Q62" s="76">
        <v>45968</v>
      </c>
      <c r="R62" s="77" t="s">
        <v>332</v>
      </c>
      <c r="S62" s="77"/>
      <c r="T62" s="77"/>
      <c r="U62" s="77"/>
      <c r="V62" s="78" t="s">
        <v>5432</v>
      </c>
      <c r="W62" s="79">
        <v>46011</v>
      </c>
      <c r="X62" s="78" t="s">
        <v>38</v>
      </c>
      <c r="Y62" s="78"/>
      <c r="Z62" s="78" t="s">
        <v>5548</v>
      </c>
      <c r="AA62">
        <f>IF(COUNTIF('Call Queue'!$H$6:$H$20,V62)&gt;0,0,IF(AND(ISNUMBER(N62),N62&gt;0),10000000+N62,IF(ISNUMBER(N62*1),IF(N62*1&gt;0,10000000+N62*1,0),0))+IF(ISNUMBER(SEARCH("(",L62)),1000000+IFERROR(VALUE(SUBSTITUTE(SUBSTITUTE(SUBSTITUTE(MID(L62,SEARCH("(",L62)+1,SEARCH(")",L62)-SEARCH("(",L62)-1),"$",""),",","")," ","")),0),0))</f>
        <v>0</v>
      </c>
    </row>
    <row r="63" spans="1:27">
      <c r="A63" s="76">
        <v>45902</v>
      </c>
      <c r="B63" s="77" t="s">
        <v>379</v>
      </c>
      <c r="C63" s="77" t="s">
        <v>312</v>
      </c>
      <c r="D63" s="77" t="s">
        <v>169</v>
      </c>
      <c r="E63" s="77">
        <v>85338</v>
      </c>
      <c r="F63" s="77" t="s">
        <v>31</v>
      </c>
      <c r="G63" s="77" t="s">
        <v>303</v>
      </c>
      <c r="H63" s="77">
        <v>814350000</v>
      </c>
      <c r="I63" s="77" t="s">
        <v>196</v>
      </c>
      <c r="J63" s="77" t="s">
        <v>37</v>
      </c>
      <c r="K63" s="77" t="s">
        <v>37</v>
      </c>
      <c r="L63" s="77" t="s">
        <v>38</v>
      </c>
      <c r="M63" s="77" t="s">
        <v>37</v>
      </c>
      <c r="N63" s="77" t="s">
        <v>37</v>
      </c>
      <c r="O63" s="77" t="s">
        <v>38</v>
      </c>
      <c r="P63" s="77" t="s">
        <v>39</v>
      </c>
      <c r="Q63" s="76">
        <v>45968</v>
      </c>
      <c r="R63" s="77"/>
      <c r="S63" s="77"/>
      <c r="T63" s="77"/>
      <c r="U63" s="77"/>
      <c r="V63" s="78" t="s">
        <v>117</v>
      </c>
      <c r="W63" s="79">
        <v>46067</v>
      </c>
      <c r="X63" s="78" t="s">
        <v>38</v>
      </c>
      <c r="Y63" s="78"/>
      <c r="Z63" s="78" t="s">
        <v>5434</v>
      </c>
      <c r="AA63">
        <f>IF(COUNTIF('Call Queue'!$H$6:$H$20,V63)&gt;0,0,IF(AND(ISNUMBER(N63),N63&gt;0),10000000+N63,IF(ISNUMBER(N63*1),IF(N63*1&gt;0,10000000+N63*1,0),0))+IF(ISNUMBER(SEARCH("(",L63)),1000000+IFERROR(VALUE(SUBSTITUTE(SUBSTITUTE(SUBSTITUTE(MID(L63,SEARCH("(",L63)+1,SEARCH(")",L63)-SEARCH("(",L63)-1),"$",""),",","")," ","")),0),0))</f>
        <v>0</v>
      </c>
    </row>
    <row r="64" spans="1:27">
      <c r="A64" s="76">
        <v>45902</v>
      </c>
      <c r="B64" s="77" t="s">
        <v>383</v>
      </c>
      <c r="C64" s="77" t="s">
        <v>384</v>
      </c>
      <c r="D64" s="77" t="s">
        <v>63</v>
      </c>
      <c r="E64" s="77">
        <v>85023</v>
      </c>
      <c r="F64" s="77" t="s">
        <v>31</v>
      </c>
      <c r="G64" s="77" t="s">
        <v>303</v>
      </c>
      <c r="H64" s="77" t="s">
        <v>385</v>
      </c>
      <c r="I64" s="77" t="s">
        <v>126</v>
      </c>
      <c r="J64" s="77" t="s">
        <v>37</v>
      </c>
      <c r="K64" s="77" t="s">
        <v>37</v>
      </c>
      <c r="L64" s="77" t="s">
        <v>38</v>
      </c>
      <c r="M64" s="77" t="s">
        <v>37</v>
      </c>
      <c r="N64" s="77" t="s">
        <v>37</v>
      </c>
      <c r="O64" s="77" t="s">
        <v>38</v>
      </c>
      <c r="P64" s="77" t="s">
        <v>39</v>
      </c>
      <c r="Q64" s="76">
        <v>45968</v>
      </c>
      <c r="R64" s="77"/>
      <c r="S64" s="77"/>
      <c r="T64" s="77"/>
      <c r="U64" s="77"/>
      <c r="V64" s="78" t="s">
        <v>117</v>
      </c>
      <c r="W64" s="79">
        <v>45997</v>
      </c>
      <c r="X64" s="78" t="s">
        <v>38</v>
      </c>
      <c r="Y64" s="78"/>
      <c r="Z64" s="78"/>
      <c r="AA64">
        <f>IF(COUNTIF('Call Queue'!$H$6:$H$20,V64)&gt;0,0,IF(AND(ISNUMBER(N64),N64&gt;0),10000000+N64,IF(ISNUMBER(N64*1),IF(N64*1&gt;0,10000000+N64*1,0),0))+IF(ISNUMBER(SEARCH("(",L64)),1000000+IFERROR(VALUE(SUBSTITUTE(SUBSTITUTE(SUBSTITUTE(MID(L64,SEARCH("(",L64)+1,SEARCH(")",L64)-SEARCH("(",L64)-1),"$",""),",","")," ","")),0),0))</f>
        <v>0</v>
      </c>
    </row>
    <row r="65" spans="1:27">
      <c r="A65" s="76">
        <v>45902</v>
      </c>
      <c r="B65" s="77" t="s">
        <v>386</v>
      </c>
      <c r="C65" s="77" t="s">
        <v>387</v>
      </c>
      <c r="D65" s="77" t="s">
        <v>169</v>
      </c>
      <c r="E65" s="77">
        <v>85338</v>
      </c>
      <c r="F65" s="77" t="s">
        <v>31</v>
      </c>
      <c r="G65" s="77" t="s">
        <v>303</v>
      </c>
      <c r="H65" s="77">
        <v>7949331000</v>
      </c>
      <c r="I65" s="77" t="s">
        <v>243</v>
      </c>
      <c r="J65" s="77" t="s">
        <v>38</v>
      </c>
      <c r="K65" s="77" t="s">
        <v>37</v>
      </c>
      <c r="L65" s="77" t="s">
        <v>389</v>
      </c>
      <c r="M65" s="77" t="s">
        <v>38</v>
      </c>
      <c r="N65" s="77">
        <v>326.87</v>
      </c>
      <c r="O65" s="77" t="s">
        <v>38</v>
      </c>
      <c r="P65" s="77" t="s">
        <v>39</v>
      </c>
      <c r="Q65" s="76">
        <v>45968</v>
      </c>
      <c r="R65" s="77" t="s">
        <v>390</v>
      </c>
      <c r="S65" s="77"/>
      <c r="T65" s="77"/>
      <c r="U65" s="77"/>
      <c r="V65" s="78" t="s">
        <v>117</v>
      </c>
      <c r="W65" s="79">
        <v>46032</v>
      </c>
      <c r="X65" s="78" t="s">
        <v>38</v>
      </c>
      <c r="Y65" s="78"/>
      <c r="Z65" s="78" t="s">
        <v>5434</v>
      </c>
      <c r="AA65">
        <f>IF(COUNTIF('Call Queue'!$H$6:$H$20,V65)&gt;0,0,IF(AND(ISNUMBER(N65),N65&gt;0),10000000+N65,IF(ISNUMBER(N65*1),IF(N65*1&gt;0,10000000+N65*1,0),0))+IF(ISNUMBER(SEARCH("(",L65)),1000000+IFERROR(VALUE(SUBSTITUTE(SUBSTITUTE(SUBSTITUTE(MID(L65,SEARCH("(",L65)+1,SEARCH(")",L65)-SEARCH("(",L65)-1),"$",""),",","")," ","")),0),0))</f>
        <v>0</v>
      </c>
    </row>
    <row r="66" spans="1:27">
      <c r="A66" s="76">
        <v>45902</v>
      </c>
      <c r="B66" s="77" t="s">
        <v>391</v>
      </c>
      <c r="C66" s="77" t="s">
        <v>392</v>
      </c>
      <c r="D66" s="77" t="s">
        <v>169</v>
      </c>
      <c r="E66" s="77">
        <v>85338</v>
      </c>
      <c r="F66" s="77" t="s">
        <v>31</v>
      </c>
      <c r="G66" s="77" t="s">
        <v>303</v>
      </c>
      <c r="H66" s="77">
        <v>4676231000</v>
      </c>
      <c r="I66" s="77" t="s">
        <v>36</v>
      </c>
      <c r="J66" s="77" t="s">
        <v>37</v>
      </c>
      <c r="K66" s="77" t="s">
        <v>37</v>
      </c>
      <c r="L66" s="77" t="s">
        <v>38</v>
      </c>
      <c r="M66" s="77" t="s">
        <v>37</v>
      </c>
      <c r="N66" s="77" t="s">
        <v>37</v>
      </c>
      <c r="O66" s="77" t="s">
        <v>38</v>
      </c>
      <c r="P66" s="77" t="s">
        <v>39</v>
      </c>
      <c r="Q66" s="76">
        <v>45968</v>
      </c>
      <c r="R66" s="77"/>
      <c r="S66" s="77"/>
      <c r="T66" s="77"/>
      <c r="U66" s="77"/>
      <c r="V66" s="78"/>
      <c r="W66" s="79"/>
      <c r="X66" s="78"/>
      <c r="Y66" s="78"/>
      <c r="Z66" s="78"/>
      <c r="AA66">
        <f>IF(COUNTIF('Call Queue'!$H$6:$H$20,V66)&gt;0,0,IF(AND(ISNUMBER(N66),N66&gt;0),10000000+N66,IF(ISNUMBER(N66*1),IF(N66*1&gt;0,10000000+N66*1,0),0))+IF(ISNUMBER(SEARCH("(",L66)),1000000+IFERROR(VALUE(SUBSTITUTE(SUBSTITUTE(SUBSTITUTE(MID(L66,SEARCH("(",L66)+1,SEARCH(")",L66)-SEARCH("(",L66)-1),"$",""),",","")," ","")),0),0))</f>
        <v>0</v>
      </c>
    </row>
    <row r="67" spans="1:27">
      <c r="A67" s="76">
        <v>45902</v>
      </c>
      <c r="B67" s="77" t="s">
        <v>394</v>
      </c>
      <c r="C67" s="77" t="s">
        <v>395</v>
      </c>
      <c r="D67" s="77" t="s">
        <v>396</v>
      </c>
      <c r="E67" s="77">
        <v>85303</v>
      </c>
      <c r="F67" s="77" t="s">
        <v>31</v>
      </c>
      <c r="G67" s="77" t="s">
        <v>303</v>
      </c>
      <c r="H67" s="77">
        <v>6570141000</v>
      </c>
      <c r="I67" s="77" t="s">
        <v>126</v>
      </c>
      <c r="J67" s="77" t="s">
        <v>37</v>
      </c>
      <c r="K67" s="77" t="s">
        <v>37</v>
      </c>
      <c r="L67" s="77" t="s">
        <v>38</v>
      </c>
      <c r="M67" s="77" t="s">
        <v>37</v>
      </c>
      <c r="N67" s="77" t="s">
        <v>37</v>
      </c>
      <c r="O67" s="77" t="s">
        <v>38</v>
      </c>
      <c r="P67" s="77" t="s">
        <v>39</v>
      </c>
      <c r="Q67" s="76">
        <v>45968</v>
      </c>
      <c r="R67" s="77"/>
      <c r="S67" s="77"/>
      <c r="T67" s="77"/>
      <c r="U67" s="77"/>
      <c r="V67" s="78" t="s">
        <v>117</v>
      </c>
      <c r="W67" s="79">
        <v>46067</v>
      </c>
      <c r="X67" s="78" t="s">
        <v>38</v>
      </c>
      <c r="Y67" s="78"/>
      <c r="Z67" s="78"/>
      <c r="AA67">
        <f>IF(COUNTIF('Call Queue'!$H$6:$H$20,V67)&gt;0,0,IF(AND(ISNUMBER(N67),N67&gt;0),10000000+N67,IF(ISNUMBER(N67*1),IF(N67*1&gt;0,10000000+N67*1,0),0))+IF(ISNUMBER(SEARCH("(",L67)),1000000+IFERROR(VALUE(SUBSTITUTE(SUBSTITUTE(SUBSTITUTE(MID(L67,SEARCH("(",L67)+1,SEARCH(")",L67)-SEARCH("(",L67)-1),"$",""),",","")," ","")),0),0))</f>
        <v>0</v>
      </c>
    </row>
    <row r="68" spans="1:27">
      <c r="A68" s="76">
        <v>45902</v>
      </c>
      <c r="B68" s="77" t="s">
        <v>398</v>
      </c>
      <c r="C68" s="77" t="s">
        <v>399</v>
      </c>
      <c r="D68" s="77" t="s">
        <v>63</v>
      </c>
      <c r="E68" s="77">
        <v>85006</v>
      </c>
      <c r="F68" s="77" t="s">
        <v>31</v>
      </c>
      <c r="G68" s="77" t="s">
        <v>303</v>
      </c>
      <c r="H68" s="77">
        <v>6924836428</v>
      </c>
      <c r="I68" s="77" t="s">
        <v>36</v>
      </c>
      <c r="J68" s="77" t="s">
        <v>37</v>
      </c>
      <c r="K68" s="77" t="s">
        <v>37</v>
      </c>
      <c r="L68" s="77" t="s">
        <v>401</v>
      </c>
      <c r="M68" s="77" t="s">
        <v>37</v>
      </c>
      <c r="N68" s="77" t="s">
        <v>37</v>
      </c>
      <c r="O68" s="77" t="s">
        <v>38</v>
      </c>
      <c r="P68" s="77" t="s">
        <v>39</v>
      </c>
      <c r="Q68" s="76">
        <v>45968</v>
      </c>
      <c r="R68" s="77"/>
      <c r="S68" s="77"/>
      <c r="T68" s="77"/>
      <c r="U68" s="77"/>
      <c r="V68" s="78" t="s">
        <v>117</v>
      </c>
      <c r="W68" s="79">
        <v>46053</v>
      </c>
      <c r="X68" s="78" t="s">
        <v>37</v>
      </c>
      <c r="Y68" s="78" t="s">
        <v>5442</v>
      </c>
      <c r="Z68" s="78"/>
      <c r="AA68">
        <f>IF(COUNTIF('Call Queue'!$H$6:$H$20,V68)&gt;0,0,IF(AND(ISNUMBER(N68),N68&gt;0),10000000+N68,IF(ISNUMBER(N68*1),IF(N68*1&gt;0,10000000+N68*1,0),0))+IF(ISNUMBER(SEARCH("(",L68)),1000000+IFERROR(VALUE(SUBSTITUTE(SUBSTITUTE(SUBSTITUTE(MID(L68,SEARCH("(",L68)+1,SEARCH(")",L68)-SEARCH("(",L68)-1),"$",""),",","")," ","")),0),0))</f>
        <v>0</v>
      </c>
    </row>
    <row r="69" spans="1:27">
      <c r="A69" s="76">
        <v>45902</v>
      </c>
      <c r="B69" s="77" t="s">
        <v>402</v>
      </c>
      <c r="C69" s="77" t="s">
        <v>403</v>
      </c>
      <c r="D69" s="77" t="s">
        <v>24</v>
      </c>
      <c r="E69" s="77">
        <v>85307</v>
      </c>
      <c r="F69" s="77" t="s">
        <v>310</v>
      </c>
      <c r="G69" s="77" t="s">
        <v>303</v>
      </c>
      <c r="H69" s="77">
        <v>1717959515</v>
      </c>
      <c r="I69" s="77" t="s">
        <v>126</v>
      </c>
      <c r="J69" s="77" t="s">
        <v>37</v>
      </c>
      <c r="K69" s="77" t="s">
        <v>37</v>
      </c>
      <c r="L69" s="77" t="s">
        <v>405</v>
      </c>
      <c r="M69" s="77" t="s">
        <v>37</v>
      </c>
      <c r="N69" s="77" t="s">
        <v>37</v>
      </c>
      <c r="O69" s="77" t="s">
        <v>38</v>
      </c>
      <c r="P69" s="77" t="s">
        <v>39</v>
      </c>
      <c r="Q69" s="76">
        <v>45968</v>
      </c>
      <c r="R69" s="77"/>
      <c r="S69" s="77"/>
      <c r="T69" s="77"/>
      <c r="U69" s="77"/>
      <c r="V69" s="78" t="s">
        <v>5432</v>
      </c>
      <c r="W69" s="79">
        <v>46011</v>
      </c>
      <c r="X69" s="78" t="s">
        <v>38</v>
      </c>
      <c r="Y69" s="78"/>
      <c r="Z69" s="78"/>
      <c r="AA69">
        <f>IF(COUNTIF('Call Queue'!$H$6:$H$20,V69)&gt;0,0,IF(AND(ISNUMBER(N69),N69&gt;0),10000000+N69,IF(ISNUMBER(N69*1),IF(N69*1&gt;0,10000000+N69*1,0),0))+IF(ISNUMBER(SEARCH("(",L69)),1000000+IFERROR(VALUE(SUBSTITUTE(SUBSTITUTE(SUBSTITUTE(MID(L69,SEARCH("(",L69)+1,SEARCH(")",L69)-SEARCH("(",L69)-1),"$",""),",","")," ","")),0),0))</f>
        <v>0</v>
      </c>
    </row>
    <row r="70" spans="1:27">
      <c r="A70" s="76">
        <v>45902</v>
      </c>
      <c r="B70" s="77" t="s">
        <v>406</v>
      </c>
      <c r="C70" s="77" t="s">
        <v>407</v>
      </c>
      <c r="D70" s="77" t="s">
        <v>63</v>
      </c>
      <c r="E70" s="77">
        <v>85006</v>
      </c>
      <c r="F70" s="77" t="s">
        <v>31</v>
      </c>
      <c r="G70" s="77" t="s">
        <v>303</v>
      </c>
      <c r="H70" s="77">
        <v>1147845609</v>
      </c>
      <c r="I70" s="77" t="s">
        <v>57</v>
      </c>
      <c r="J70" s="77" t="s">
        <v>37</v>
      </c>
      <c r="K70" s="77" t="s">
        <v>37</v>
      </c>
      <c r="L70" s="77" t="s">
        <v>409</v>
      </c>
      <c r="M70" s="77" t="s">
        <v>37</v>
      </c>
      <c r="N70" s="77" t="s">
        <v>37</v>
      </c>
      <c r="O70" s="77" t="s">
        <v>38</v>
      </c>
      <c r="P70" s="77">
        <v>45932</v>
      </c>
      <c r="Q70" s="76">
        <v>45968</v>
      </c>
      <c r="R70" s="77" t="s">
        <v>332</v>
      </c>
      <c r="S70" s="77"/>
      <c r="T70" s="77"/>
      <c r="U70" s="77"/>
      <c r="V70" s="78" t="s">
        <v>5432</v>
      </c>
      <c r="W70" s="79">
        <v>46011</v>
      </c>
      <c r="X70" s="78" t="s">
        <v>38</v>
      </c>
      <c r="Y70" s="78"/>
      <c r="Z70" s="78"/>
      <c r="AA70">
        <f>IF(COUNTIF('Call Queue'!$H$6:$H$20,V70)&gt;0,0,IF(AND(ISNUMBER(N70),N70&gt;0),10000000+N70,IF(ISNUMBER(N70*1),IF(N70*1&gt;0,10000000+N70*1,0),0))+IF(ISNUMBER(SEARCH("(",L70)),1000000+IFERROR(VALUE(SUBSTITUTE(SUBSTITUTE(SUBSTITUTE(MID(L70,SEARCH("(",L70)+1,SEARCH(")",L70)-SEARCH("(",L70)-1),"$",""),",","")," ","")),0),0))</f>
        <v>0</v>
      </c>
    </row>
    <row r="71" spans="1:27">
      <c r="A71" s="76">
        <v>45902</v>
      </c>
      <c r="B71" s="77" t="s">
        <v>410</v>
      </c>
      <c r="C71" s="77" t="s">
        <v>411</v>
      </c>
      <c r="D71" s="77" t="s">
        <v>412</v>
      </c>
      <c r="E71" s="77">
        <v>85123</v>
      </c>
      <c r="F71" s="77" t="s">
        <v>310</v>
      </c>
      <c r="G71" s="77" t="s">
        <v>303</v>
      </c>
      <c r="H71" s="77">
        <v>9462295527</v>
      </c>
      <c r="I71" s="77" t="s">
        <v>196</v>
      </c>
      <c r="J71" s="77" t="s">
        <v>37</v>
      </c>
      <c r="K71" s="77" t="s">
        <v>37</v>
      </c>
      <c r="L71" s="77" t="s">
        <v>414</v>
      </c>
      <c r="M71" s="77" t="s">
        <v>37</v>
      </c>
      <c r="N71" s="77" t="s">
        <v>37</v>
      </c>
      <c r="O71" s="77" t="s">
        <v>38</v>
      </c>
      <c r="P71" s="77" t="s">
        <v>39</v>
      </c>
      <c r="Q71" s="76">
        <v>45968</v>
      </c>
      <c r="R71" s="77"/>
      <c r="S71" s="77"/>
      <c r="T71" s="77"/>
      <c r="U71" s="77"/>
      <c r="V71" s="78" t="s">
        <v>5432</v>
      </c>
      <c r="W71" s="79">
        <v>46011</v>
      </c>
      <c r="X71" s="78" t="s">
        <v>38</v>
      </c>
      <c r="Y71" s="78"/>
      <c r="Z71" s="78"/>
      <c r="AA71">
        <f>IF(COUNTIF('Call Queue'!$H$6:$H$20,V71)&gt;0,0,IF(AND(ISNUMBER(N71),N71&gt;0),10000000+N71,IF(ISNUMBER(N71*1),IF(N71*1&gt;0,10000000+N71*1,0),0))+IF(ISNUMBER(SEARCH("(",L71)),1000000+IFERROR(VALUE(SUBSTITUTE(SUBSTITUTE(SUBSTITUTE(MID(L71,SEARCH("(",L71)+1,SEARCH(")",L71)-SEARCH("(",L71)-1),"$",""),",","")," ","")),0),0))</f>
        <v>0</v>
      </c>
    </row>
    <row r="72" spans="1:27">
      <c r="A72" s="76">
        <v>45902</v>
      </c>
      <c r="B72" s="77" t="s">
        <v>415</v>
      </c>
      <c r="C72" s="77" t="s">
        <v>416</v>
      </c>
      <c r="D72" s="77" t="s">
        <v>112</v>
      </c>
      <c r="E72" s="77">
        <v>85379</v>
      </c>
      <c r="F72" s="77" t="s">
        <v>31</v>
      </c>
      <c r="G72" s="77" t="s">
        <v>303</v>
      </c>
      <c r="H72" s="77">
        <v>7850451000</v>
      </c>
      <c r="I72" s="77" t="s">
        <v>418</v>
      </c>
      <c r="J72" s="77" t="s">
        <v>37</v>
      </c>
      <c r="K72" s="77" t="s">
        <v>37</v>
      </c>
      <c r="L72" s="77" t="s">
        <v>389</v>
      </c>
      <c r="M72" s="77" t="s">
        <v>37</v>
      </c>
      <c r="N72" s="77" t="s">
        <v>37</v>
      </c>
      <c r="O72" s="77" t="s">
        <v>38</v>
      </c>
      <c r="P72" s="77" t="s">
        <v>39</v>
      </c>
      <c r="Q72" s="76">
        <v>45968</v>
      </c>
      <c r="R72" s="77"/>
      <c r="S72" s="77"/>
      <c r="T72" s="77"/>
      <c r="U72" s="77"/>
      <c r="V72" s="78"/>
      <c r="W72" s="79"/>
      <c r="X72" s="78"/>
      <c r="Y72" s="78"/>
      <c r="Z72" s="78"/>
      <c r="AA72">
        <f>IF(COUNTIF('Call Queue'!$H$6:$H$20,V72)&gt;0,0,IF(AND(ISNUMBER(N72),N72&gt;0),10000000+N72,IF(ISNUMBER(N72*1),IF(N72*1&gt;0,10000000+N72*1,0),0))+IF(ISNUMBER(SEARCH("(",L72)),1000000+IFERROR(VALUE(SUBSTITUTE(SUBSTITUTE(SUBSTITUTE(MID(L72,SEARCH("(",L72)+1,SEARCH(")",L72)-SEARCH("(",L72)-1),"$",""),",","")," ","")),0),0))</f>
        <v>0</v>
      </c>
    </row>
    <row r="73" spans="1:27">
      <c r="A73" s="76">
        <v>45902</v>
      </c>
      <c r="B73" s="77" t="s">
        <v>421</v>
      </c>
      <c r="C73" s="77" t="s">
        <v>422</v>
      </c>
      <c r="D73" s="77" t="s">
        <v>63</v>
      </c>
      <c r="E73" s="77">
        <v>85054</v>
      </c>
      <c r="F73" s="77" t="s">
        <v>310</v>
      </c>
      <c r="G73" s="77" t="s">
        <v>303</v>
      </c>
      <c r="H73" s="77">
        <v>7035930772</v>
      </c>
      <c r="I73" s="77" t="s">
        <v>196</v>
      </c>
      <c r="J73" s="77" t="s">
        <v>37</v>
      </c>
      <c r="K73" s="77" t="s">
        <v>37</v>
      </c>
      <c r="L73" s="77" t="s">
        <v>423</v>
      </c>
      <c r="M73" s="77" t="s">
        <v>37</v>
      </c>
      <c r="N73" s="77" t="s">
        <v>37</v>
      </c>
      <c r="O73" s="77" t="s">
        <v>38</v>
      </c>
      <c r="P73" s="77">
        <v>45932</v>
      </c>
      <c r="Q73" s="76">
        <v>45958</v>
      </c>
      <c r="R73" s="77" t="s">
        <v>332</v>
      </c>
      <c r="S73" s="77"/>
      <c r="T73" s="77"/>
      <c r="U73" s="77"/>
      <c r="V73" s="78" t="s">
        <v>117</v>
      </c>
      <c r="W73" s="79">
        <v>46053</v>
      </c>
      <c r="X73" s="78" t="s">
        <v>38</v>
      </c>
      <c r="Y73" s="78"/>
      <c r="Z73" s="78"/>
      <c r="AA73">
        <f>IF(COUNTIF('Call Queue'!$H$6:$H$20,V73)&gt;0,0,IF(AND(ISNUMBER(N73),N73&gt;0),10000000+N73,IF(ISNUMBER(N73*1),IF(N73*1&gt;0,10000000+N73*1,0),0))+IF(ISNUMBER(SEARCH("(",L73)),1000000+IFERROR(VALUE(SUBSTITUTE(SUBSTITUTE(SUBSTITUTE(MID(L73,SEARCH("(",L73)+1,SEARCH(")",L73)-SEARCH("(",L73)-1),"$",""),",","")," ","")),0),0))</f>
        <v>0</v>
      </c>
    </row>
    <row r="74" spans="1:27">
      <c r="A74" s="76">
        <v>45902</v>
      </c>
      <c r="B74" s="77" t="s">
        <v>429</v>
      </c>
      <c r="C74" s="77" t="s">
        <v>135</v>
      </c>
      <c r="D74" s="77" t="s">
        <v>63</v>
      </c>
      <c r="E74" s="77">
        <v>85029</v>
      </c>
      <c r="F74" s="77" t="s">
        <v>310</v>
      </c>
      <c r="G74" s="77" t="s">
        <v>303</v>
      </c>
      <c r="H74" s="77">
        <v>7115261000</v>
      </c>
      <c r="I74" s="77" t="s">
        <v>36</v>
      </c>
      <c r="J74" s="77" t="s">
        <v>38</v>
      </c>
      <c r="K74" s="77" t="s">
        <v>37</v>
      </c>
      <c r="L74" s="77" t="s">
        <v>38</v>
      </c>
      <c r="M74" s="77" t="s">
        <v>37</v>
      </c>
      <c r="N74" s="77" t="s">
        <v>37</v>
      </c>
      <c r="O74" s="77" t="s">
        <v>38</v>
      </c>
      <c r="P74" s="77" t="s">
        <v>430</v>
      </c>
      <c r="Q74" s="76">
        <v>45958</v>
      </c>
      <c r="R74" s="77"/>
      <c r="S74" s="77"/>
      <c r="T74" s="77"/>
      <c r="U74" s="77"/>
      <c r="V74" s="78"/>
      <c r="W74" s="79"/>
      <c r="X74" s="78"/>
      <c r="Y74" s="78"/>
      <c r="Z74" s="78"/>
      <c r="AA74">
        <f>IF(COUNTIF('Call Queue'!$H$6:$H$20,V74)&gt;0,0,IF(AND(ISNUMBER(N74),N74&gt;0),10000000+N74,IF(ISNUMBER(N74*1),IF(N74*1&gt;0,10000000+N74*1,0),0))+IF(ISNUMBER(SEARCH("(",L74)),1000000+IFERROR(VALUE(SUBSTITUTE(SUBSTITUTE(SUBSTITUTE(MID(L74,SEARCH("(",L74)+1,SEARCH(")",L74)-SEARCH("(",L74)-1),"$",""),",","")," ","")),0),0))</f>
        <v>0</v>
      </c>
    </row>
    <row r="75" spans="1:27">
      <c r="A75" s="76">
        <v>45902</v>
      </c>
      <c r="B75" s="77" t="s">
        <v>431</v>
      </c>
      <c r="C75" s="77" t="s">
        <v>392</v>
      </c>
      <c r="D75" s="77" t="s">
        <v>63</v>
      </c>
      <c r="E75" s="77">
        <v>85006</v>
      </c>
      <c r="F75" s="77" t="s">
        <v>31</v>
      </c>
      <c r="G75" s="77" t="s">
        <v>303</v>
      </c>
      <c r="H75" s="77" t="s">
        <v>209</v>
      </c>
      <c r="I75" s="77"/>
      <c r="J75" s="77"/>
      <c r="K75" s="77"/>
      <c r="L75" s="77"/>
      <c r="M75" s="77"/>
      <c r="N75" s="77"/>
      <c r="O75" s="77"/>
      <c r="P75" s="77"/>
      <c r="Q75" s="76"/>
      <c r="R75" s="77"/>
      <c r="S75" s="77"/>
      <c r="T75" s="77"/>
      <c r="U75" s="77"/>
      <c r="V75" s="78"/>
      <c r="W75" s="79"/>
      <c r="X75" s="78"/>
      <c r="Y75" s="78"/>
      <c r="Z75" s="78"/>
      <c r="AA75">
        <f>IF(COUNTIF('Call Queue'!$H$6:$H$20,V75)&gt;0,0,IF(AND(ISNUMBER(N75),N75&gt;0),10000000+N75,IF(ISNUMBER(N75*1),IF(N75*1&gt;0,10000000+N75*1,0),0))+IF(ISNUMBER(SEARCH("(",L75)),1000000+IFERROR(VALUE(SUBSTITUTE(SUBSTITUTE(SUBSTITUTE(MID(L75,SEARCH("(",L75)+1,SEARCH(")",L75)-SEARCH("(",L75)-1),"$",""),",","")," ","")),0),0))</f>
        <v>0</v>
      </c>
    </row>
    <row r="76" spans="1:27">
      <c r="A76" s="76">
        <v>45902</v>
      </c>
      <c r="B76" s="77" t="s">
        <v>432</v>
      </c>
      <c r="C76" s="77" t="s">
        <v>433</v>
      </c>
      <c r="D76" s="77" t="s">
        <v>85</v>
      </c>
      <c r="E76" s="77">
        <v>86323</v>
      </c>
      <c r="F76" s="77" t="s">
        <v>31</v>
      </c>
      <c r="G76" s="77" t="s">
        <v>303</v>
      </c>
      <c r="H76" s="77">
        <v>2773271262</v>
      </c>
      <c r="I76" s="77" t="s">
        <v>288</v>
      </c>
      <c r="J76" s="77" t="s">
        <v>37</v>
      </c>
      <c r="K76" s="77" t="s">
        <v>37</v>
      </c>
      <c r="L76" s="77" t="s">
        <v>38</v>
      </c>
      <c r="M76" s="77" t="s">
        <v>37</v>
      </c>
      <c r="N76" s="77" t="s">
        <v>37</v>
      </c>
      <c r="O76" s="77" t="s">
        <v>38</v>
      </c>
      <c r="P76" s="77" t="s">
        <v>39</v>
      </c>
      <c r="Q76" s="76">
        <v>45958</v>
      </c>
      <c r="R76" s="77"/>
      <c r="S76" s="77"/>
      <c r="T76" s="77"/>
      <c r="U76" s="77"/>
      <c r="V76" s="78" t="s">
        <v>117</v>
      </c>
      <c r="W76" s="79">
        <v>46067</v>
      </c>
      <c r="X76" s="78" t="s">
        <v>38</v>
      </c>
      <c r="Y76" s="78"/>
      <c r="Z76" s="78"/>
      <c r="AA76">
        <f>IF(COUNTIF('Call Queue'!$H$6:$H$20,V76)&gt;0,0,IF(AND(ISNUMBER(N76),N76&gt;0),10000000+N76,IF(ISNUMBER(N76*1),IF(N76*1&gt;0,10000000+N76*1,0),0))+IF(ISNUMBER(SEARCH("(",L76)),1000000+IFERROR(VALUE(SUBSTITUTE(SUBSTITUTE(SUBSTITUTE(MID(L76,SEARCH("(",L76)+1,SEARCH(")",L76)-SEARCH("(",L76)-1),"$",""),",","")," ","")),0),0))</f>
        <v>0</v>
      </c>
    </row>
    <row r="77" spans="1:27">
      <c r="A77" s="76">
        <v>45902</v>
      </c>
      <c r="B77" s="77" t="s">
        <v>434</v>
      </c>
      <c r="C77" s="77" t="s">
        <v>145</v>
      </c>
      <c r="D77" s="77" t="s">
        <v>112</v>
      </c>
      <c r="E77" s="77">
        <v>85379</v>
      </c>
      <c r="F77" s="77" t="s">
        <v>310</v>
      </c>
      <c r="G77" s="77" t="s">
        <v>303</v>
      </c>
      <c r="H77" s="77">
        <v>9091172317</v>
      </c>
      <c r="I77" s="77" t="s">
        <v>126</v>
      </c>
      <c r="J77" s="77" t="s">
        <v>37</v>
      </c>
      <c r="K77" s="77" t="s">
        <v>37</v>
      </c>
      <c r="L77" s="77" t="s">
        <v>38</v>
      </c>
      <c r="M77" s="77" t="s">
        <v>37</v>
      </c>
      <c r="N77" s="77" t="s">
        <v>37</v>
      </c>
      <c r="O77" s="77" t="s">
        <v>38</v>
      </c>
      <c r="P77" s="77" t="s">
        <v>39</v>
      </c>
      <c r="Q77" s="76">
        <v>45958</v>
      </c>
      <c r="R77" s="77"/>
      <c r="S77" s="77"/>
      <c r="T77" s="77"/>
      <c r="U77" s="77"/>
      <c r="V77" s="78"/>
      <c r="W77" s="79"/>
      <c r="X77" s="78"/>
      <c r="Y77" s="78"/>
      <c r="Z77" s="78"/>
      <c r="AA77">
        <f>IF(COUNTIF('Call Queue'!$H$6:$H$20,V77)&gt;0,0,IF(AND(ISNUMBER(N77),N77&gt;0),10000000+N77,IF(ISNUMBER(N77*1),IF(N77*1&gt;0,10000000+N77*1,0),0))+IF(ISNUMBER(SEARCH("(",L77)),1000000+IFERROR(VALUE(SUBSTITUTE(SUBSTITUTE(SUBSTITUTE(MID(L77,SEARCH("(",L77)+1,SEARCH(")",L77)-SEARCH("(",L77)-1),"$",""),",","")," ","")),0),0))</f>
        <v>0</v>
      </c>
    </row>
    <row r="78" spans="1:27">
      <c r="A78" s="76">
        <v>45902</v>
      </c>
      <c r="B78" s="77" t="s">
        <v>436</v>
      </c>
      <c r="C78" s="77" t="s">
        <v>437</v>
      </c>
      <c r="D78" s="77" t="s">
        <v>169</v>
      </c>
      <c r="E78" s="77">
        <v>85338</v>
      </c>
      <c r="F78" s="77" t="s">
        <v>31</v>
      </c>
      <c r="G78" s="77" t="s">
        <v>303</v>
      </c>
      <c r="H78" s="77">
        <v>73064220000</v>
      </c>
      <c r="I78" s="77" t="s">
        <v>418</v>
      </c>
      <c r="J78" s="77" t="s">
        <v>38</v>
      </c>
      <c r="K78" s="77" t="s">
        <v>37</v>
      </c>
      <c r="L78" s="77" t="s">
        <v>389</v>
      </c>
      <c r="M78" s="77" t="s">
        <v>38</v>
      </c>
      <c r="N78" s="77">
        <v>179.9</v>
      </c>
      <c r="O78" s="77" t="s">
        <v>38</v>
      </c>
      <c r="P78" s="77" t="s">
        <v>39</v>
      </c>
      <c r="Q78" s="76">
        <v>45968</v>
      </c>
      <c r="R78" s="77"/>
      <c r="S78" s="77"/>
      <c r="T78" s="77"/>
      <c r="U78" s="77"/>
      <c r="V78" s="78" t="s">
        <v>117</v>
      </c>
      <c r="W78" s="79">
        <v>45997</v>
      </c>
      <c r="X78" s="78" t="s">
        <v>38</v>
      </c>
      <c r="Y78" s="78"/>
      <c r="Z78" s="78" t="s">
        <v>5434</v>
      </c>
      <c r="AA78">
        <f>IF(COUNTIF('Call Queue'!$H$6:$H$20,V78)&gt;0,0,IF(AND(ISNUMBER(N78),N78&gt;0),10000000+N78,IF(ISNUMBER(N78*1),IF(N78*1&gt;0,10000000+N78*1,0),0))+IF(ISNUMBER(SEARCH("(",L78)),1000000+IFERROR(VALUE(SUBSTITUTE(SUBSTITUTE(SUBSTITUTE(MID(L78,SEARCH("(",L78)+1,SEARCH(")",L78)-SEARCH("(",L78)-1),"$",""),",","")," ","")),0),0))</f>
        <v>0</v>
      </c>
    </row>
    <row r="79" spans="1:27">
      <c r="A79" s="76">
        <v>45902</v>
      </c>
      <c r="B79" s="77" t="s">
        <v>439</v>
      </c>
      <c r="C79" s="77" t="s">
        <v>440</v>
      </c>
      <c r="D79" s="77" t="s">
        <v>125</v>
      </c>
      <c r="E79" s="77">
        <v>85254</v>
      </c>
      <c r="F79" s="77" t="s">
        <v>310</v>
      </c>
      <c r="G79" s="77" t="s">
        <v>303</v>
      </c>
      <c r="H79" s="77">
        <v>3411891368</v>
      </c>
      <c r="I79" s="77" t="s">
        <v>36</v>
      </c>
      <c r="J79" s="77" t="s">
        <v>37</v>
      </c>
      <c r="K79" s="77" t="s">
        <v>37</v>
      </c>
      <c r="L79" s="77" t="s">
        <v>38</v>
      </c>
      <c r="M79" s="77" t="s">
        <v>37</v>
      </c>
      <c r="N79" s="77" t="s">
        <v>37</v>
      </c>
      <c r="O79" s="77" t="s">
        <v>38</v>
      </c>
      <c r="P79" s="77" t="s">
        <v>39</v>
      </c>
      <c r="Q79" s="76">
        <v>45968</v>
      </c>
      <c r="R79" s="77"/>
      <c r="S79" s="77"/>
      <c r="T79" s="77"/>
      <c r="U79" s="77"/>
      <c r="V79" s="78"/>
      <c r="W79" s="79"/>
      <c r="X79" s="78"/>
      <c r="Y79" s="78"/>
      <c r="Z79" s="78"/>
      <c r="AA79">
        <f>IF(COUNTIF('Call Queue'!$H$6:$H$20,V79)&gt;0,0,IF(AND(ISNUMBER(N79),N79&gt;0),10000000+N79,IF(ISNUMBER(N79*1),IF(N79*1&gt;0,10000000+N79*1,0),0))+IF(ISNUMBER(SEARCH("(",L79)),1000000+IFERROR(VALUE(SUBSTITUTE(SUBSTITUTE(SUBSTITUTE(MID(L79,SEARCH("(",L79)+1,SEARCH(")",L79)-SEARCH("(",L79)-1),"$",""),",","")," ","")),0),0))</f>
        <v>0</v>
      </c>
    </row>
    <row r="80" spans="1:27">
      <c r="A80" s="76">
        <v>45902</v>
      </c>
      <c r="B80" s="77" t="s">
        <v>442</v>
      </c>
      <c r="C80" s="77" t="s">
        <v>443</v>
      </c>
      <c r="D80" s="77" t="s">
        <v>63</v>
      </c>
      <c r="E80" s="77">
        <v>85032</v>
      </c>
      <c r="F80" s="77" t="s">
        <v>310</v>
      </c>
      <c r="G80" s="77" t="s">
        <v>303</v>
      </c>
      <c r="H80" s="77">
        <v>4659820000</v>
      </c>
      <c r="I80" s="77" t="s">
        <v>196</v>
      </c>
      <c r="J80" s="77" t="s">
        <v>37</v>
      </c>
      <c r="K80" s="77" t="s">
        <v>37</v>
      </c>
      <c r="L80" s="77" t="s">
        <v>445</v>
      </c>
      <c r="M80" s="77" t="s">
        <v>37</v>
      </c>
      <c r="N80" s="77" t="s">
        <v>37</v>
      </c>
      <c r="O80" s="77" t="s">
        <v>38</v>
      </c>
      <c r="P80" s="77">
        <v>45932</v>
      </c>
      <c r="Q80" s="76">
        <v>45968</v>
      </c>
      <c r="R80" s="77" t="s">
        <v>446</v>
      </c>
      <c r="S80" s="77"/>
      <c r="T80" s="77"/>
      <c r="U80" s="77"/>
      <c r="V80" s="78" t="s">
        <v>5432</v>
      </c>
      <c r="W80" s="79">
        <v>46018</v>
      </c>
      <c r="X80" s="78" t="s">
        <v>38</v>
      </c>
      <c r="Y80" s="78"/>
      <c r="Z80" s="78"/>
      <c r="AA80">
        <f>IF(COUNTIF('Call Queue'!$H$6:$H$20,V80)&gt;0,0,IF(AND(ISNUMBER(N80),N80&gt;0),10000000+N80,IF(ISNUMBER(N80*1),IF(N80*1&gt;0,10000000+N80*1,0),0))+IF(ISNUMBER(SEARCH("(",L80)),1000000+IFERROR(VALUE(SUBSTITUTE(SUBSTITUTE(SUBSTITUTE(MID(L80,SEARCH("(",L80)+1,SEARCH(")",L80)-SEARCH("(",L80)-1),"$",""),",","")," ","")),0),0))</f>
        <v>0</v>
      </c>
    </row>
    <row r="81" spans="1:27">
      <c r="A81" s="76">
        <v>45902</v>
      </c>
      <c r="B81" s="77" t="s">
        <v>449</v>
      </c>
      <c r="C81" s="77" t="s">
        <v>333</v>
      </c>
      <c r="D81" s="77" t="s">
        <v>125</v>
      </c>
      <c r="E81" s="77">
        <v>85260</v>
      </c>
      <c r="F81" s="77" t="s">
        <v>310</v>
      </c>
      <c r="G81" s="77" t="s">
        <v>303</v>
      </c>
      <c r="H81" s="77">
        <v>26172433356</v>
      </c>
      <c r="I81" s="77" t="s">
        <v>126</v>
      </c>
      <c r="J81" s="77" t="s">
        <v>37</v>
      </c>
      <c r="K81" s="77" t="s">
        <v>37</v>
      </c>
      <c r="L81" s="77" t="s">
        <v>38</v>
      </c>
      <c r="M81" s="77" t="s">
        <v>37</v>
      </c>
      <c r="N81" s="77" t="s">
        <v>37</v>
      </c>
      <c r="O81" s="77" t="s">
        <v>38</v>
      </c>
      <c r="P81" s="77" t="s">
        <v>39</v>
      </c>
      <c r="Q81" s="76">
        <v>45968</v>
      </c>
      <c r="R81" s="77"/>
      <c r="S81" s="77"/>
      <c r="T81" s="77"/>
      <c r="U81" s="77"/>
      <c r="V81" s="78"/>
      <c r="W81" s="79"/>
      <c r="X81" s="78"/>
      <c r="Y81" s="78"/>
      <c r="Z81" s="78"/>
      <c r="AA81">
        <f>IF(COUNTIF('Call Queue'!$H$6:$H$20,V81)&gt;0,0,IF(AND(ISNUMBER(N81),N81&gt;0),10000000+N81,IF(ISNUMBER(N81*1),IF(N81*1&gt;0,10000000+N81*1,0),0))+IF(ISNUMBER(SEARCH("(",L81)),1000000+IFERROR(VALUE(SUBSTITUTE(SUBSTITUTE(SUBSTITUTE(MID(L81,SEARCH("(",L81)+1,SEARCH(")",L81)-SEARCH("(",L81)-1),"$",""),",","")," ","")),0),0))</f>
        <v>0</v>
      </c>
    </row>
    <row r="82" spans="1:27">
      <c r="A82" s="76">
        <v>45902</v>
      </c>
      <c r="B82" s="77" t="s">
        <v>453</v>
      </c>
      <c r="C82" s="77" t="s">
        <v>454</v>
      </c>
      <c r="D82" s="77" t="s">
        <v>125</v>
      </c>
      <c r="E82" s="77">
        <v>85255</v>
      </c>
      <c r="F82" s="77" t="s">
        <v>310</v>
      </c>
      <c r="G82" s="77" t="s">
        <v>303</v>
      </c>
      <c r="H82" s="77">
        <v>4242991952</v>
      </c>
      <c r="I82" s="77" t="s">
        <v>288</v>
      </c>
      <c r="J82" s="77" t="s">
        <v>37</v>
      </c>
      <c r="K82" s="77" t="s">
        <v>37</v>
      </c>
      <c r="L82" s="77" t="s">
        <v>38</v>
      </c>
      <c r="M82" s="77" t="s">
        <v>37</v>
      </c>
      <c r="N82" s="77" t="s">
        <v>37</v>
      </c>
      <c r="O82" s="77" t="s">
        <v>38</v>
      </c>
      <c r="P82" s="77" t="s">
        <v>39</v>
      </c>
      <c r="Q82" s="76">
        <v>45968</v>
      </c>
      <c r="R82" s="77"/>
      <c r="S82" s="77"/>
      <c r="T82" s="77"/>
      <c r="U82" s="77"/>
      <c r="V82" s="78" t="s">
        <v>117</v>
      </c>
      <c r="W82" s="79">
        <v>46067</v>
      </c>
      <c r="X82" s="78" t="s">
        <v>38</v>
      </c>
      <c r="Y82" s="78"/>
      <c r="Z82" s="78"/>
      <c r="AA82">
        <f>IF(COUNTIF('Call Queue'!$H$6:$H$20,V82)&gt;0,0,IF(AND(ISNUMBER(N82),N82&gt;0),10000000+N82,IF(ISNUMBER(N82*1),IF(N82*1&gt;0,10000000+N82*1,0),0))+IF(ISNUMBER(SEARCH("(",L82)),1000000+IFERROR(VALUE(SUBSTITUTE(SUBSTITUTE(SUBSTITUTE(MID(L82,SEARCH("(",L82)+1,SEARCH(")",L82)-SEARCH("(",L82)-1),"$",""),",","")," ","")),0),0))</f>
        <v>0</v>
      </c>
    </row>
    <row r="83" spans="1:27">
      <c r="A83" s="76">
        <v>45902</v>
      </c>
      <c r="B83" s="77" t="s">
        <v>432</v>
      </c>
      <c r="C83" s="77" t="s">
        <v>456</v>
      </c>
      <c r="D83" s="77" t="s">
        <v>85</v>
      </c>
      <c r="E83" s="77">
        <v>86323</v>
      </c>
      <c r="F83" s="77" t="s">
        <v>310</v>
      </c>
      <c r="G83" s="77" t="s">
        <v>303</v>
      </c>
      <c r="H83" s="77">
        <v>2773271262</v>
      </c>
      <c r="I83" s="77" t="s">
        <v>288</v>
      </c>
      <c r="J83" s="77" t="s">
        <v>37</v>
      </c>
      <c r="K83" s="77" t="s">
        <v>37</v>
      </c>
      <c r="L83" s="77" t="s">
        <v>38</v>
      </c>
      <c r="M83" s="77" t="s">
        <v>37</v>
      </c>
      <c r="N83" s="77" t="s">
        <v>37</v>
      </c>
      <c r="O83" s="77" t="s">
        <v>38</v>
      </c>
      <c r="P83" s="77" t="s">
        <v>39</v>
      </c>
      <c r="Q83" s="76">
        <v>45968</v>
      </c>
      <c r="R83" s="77"/>
      <c r="S83" s="77"/>
      <c r="T83" s="77"/>
      <c r="U83" s="77"/>
      <c r="V83" s="78"/>
      <c r="W83" s="79"/>
      <c r="X83" s="78"/>
      <c r="Y83" s="78"/>
      <c r="Z83" s="78"/>
      <c r="AA83">
        <f>IF(COUNTIF('Call Queue'!$H$6:$H$20,V83)&gt;0,0,IF(AND(ISNUMBER(N83),N83&gt;0),10000000+N83,IF(ISNUMBER(N83*1),IF(N83*1&gt;0,10000000+N83*1,0),0))+IF(ISNUMBER(SEARCH("(",L83)),1000000+IFERROR(VALUE(SUBSTITUTE(SUBSTITUTE(SUBSTITUTE(MID(L83,SEARCH("(",L83)+1,SEARCH(")",L83)-SEARCH("(",L83)-1),"$",""),",","")," ","")),0),0))</f>
        <v>0</v>
      </c>
    </row>
    <row r="84" spans="1:27">
      <c r="A84" s="76">
        <v>45902</v>
      </c>
      <c r="B84" s="77" t="s">
        <v>458</v>
      </c>
      <c r="C84" s="77" t="s">
        <v>459</v>
      </c>
      <c r="D84" s="77" t="s">
        <v>125</v>
      </c>
      <c r="E84" s="77">
        <v>85255</v>
      </c>
      <c r="F84" s="77" t="s">
        <v>310</v>
      </c>
      <c r="G84" s="77" t="s">
        <v>303</v>
      </c>
      <c r="H84" s="77">
        <v>2371502355</v>
      </c>
      <c r="I84" s="77" t="s">
        <v>288</v>
      </c>
      <c r="J84" s="77" t="s">
        <v>37</v>
      </c>
      <c r="K84" s="77" t="s">
        <v>37</v>
      </c>
      <c r="L84" s="77" t="s">
        <v>38</v>
      </c>
      <c r="M84" s="77" t="s">
        <v>37</v>
      </c>
      <c r="N84" s="77" t="s">
        <v>37</v>
      </c>
      <c r="O84" s="77" t="s">
        <v>38</v>
      </c>
      <c r="P84" s="77" t="s">
        <v>39</v>
      </c>
      <c r="Q84" s="76">
        <v>45968</v>
      </c>
      <c r="R84" s="77"/>
      <c r="S84" s="77"/>
      <c r="T84" s="77"/>
      <c r="U84" s="77"/>
      <c r="V84" s="78" t="s">
        <v>117</v>
      </c>
      <c r="W84" s="79">
        <v>46067</v>
      </c>
      <c r="X84" s="78" t="s">
        <v>38</v>
      </c>
      <c r="Y84" s="78"/>
      <c r="Z84" s="78"/>
      <c r="AA84">
        <f>IF(COUNTIF('Call Queue'!$H$6:$H$20,V84)&gt;0,0,IF(AND(ISNUMBER(N84),N84&gt;0),10000000+N84,IF(ISNUMBER(N84*1),IF(N84*1&gt;0,10000000+N84*1,0),0))+IF(ISNUMBER(SEARCH("(",L84)),1000000+IFERROR(VALUE(SUBSTITUTE(SUBSTITUTE(SUBSTITUTE(MID(L84,SEARCH("(",L84)+1,SEARCH(")",L84)-SEARCH("(",L84)-1),"$",""),",","")," ","")),0),0))</f>
        <v>0</v>
      </c>
    </row>
    <row r="85" spans="1:27">
      <c r="A85" s="76">
        <v>45902</v>
      </c>
      <c r="B85" s="77" t="s">
        <v>461</v>
      </c>
      <c r="C85" s="77" t="s">
        <v>443</v>
      </c>
      <c r="D85" s="77" t="s">
        <v>125</v>
      </c>
      <c r="E85" s="77">
        <v>85254</v>
      </c>
      <c r="F85" s="77" t="s">
        <v>310</v>
      </c>
      <c r="G85" s="77" t="s">
        <v>303</v>
      </c>
      <c r="H85" s="77">
        <v>4056801020</v>
      </c>
      <c r="I85" s="77" t="s">
        <v>36</v>
      </c>
      <c r="J85" s="77" t="s">
        <v>37</v>
      </c>
      <c r="K85" s="77" t="s">
        <v>37</v>
      </c>
      <c r="L85" s="77" t="s">
        <v>38</v>
      </c>
      <c r="M85" s="77" t="s">
        <v>37</v>
      </c>
      <c r="N85" s="77" t="s">
        <v>37</v>
      </c>
      <c r="O85" s="77" t="s">
        <v>38</v>
      </c>
      <c r="P85" s="77" t="s">
        <v>39</v>
      </c>
      <c r="Q85" s="76">
        <v>45968</v>
      </c>
      <c r="R85" s="77"/>
      <c r="S85" s="77"/>
      <c r="T85" s="77"/>
      <c r="U85" s="77"/>
      <c r="V85" s="78"/>
      <c r="W85" s="79"/>
      <c r="X85" s="78"/>
      <c r="Y85" s="78"/>
      <c r="Z85" s="78"/>
      <c r="AA85">
        <f>IF(COUNTIF('Call Queue'!$H$6:$H$20,V85)&gt;0,0,IF(AND(ISNUMBER(N85),N85&gt;0),10000000+N85,IF(ISNUMBER(N85*1),IF(N85*1&gt;0,10000000+N85*1,0),0))+IF(ISNUMBER(SEARCH("(",L85)),1000000+IFERROR(VALUE(SUBSTITUTE(SUBSTITUTE(SUBSTITUTE(MID(L85,SEARCH("(",L85)+1,SEARCH(")",L85)-SEARCH("(",L85)-1),"$",""),",","")," ","")),0),0))</f>
        <v>0</v>
      </c>
    </row>
    <row r="86" spans="1:27">
      <c r="A86" s="76">
        <v>45902</v>
      </c>
      <c r="B86" s="77" t="s">
        <v>463</v>
      </c>
      <c r="C86" s="77" t="s">
        <v>464</v>
      </c>
      <c r="D86" s="77" t="s">
        <v>63</v>
      </c>
      <c r="E86" s="77">
        <v>85024</v>
      </c>
      <c r="F86" s="77" t="s">
        <v>310</v>
      </c>
      <c r="G86" s="77" t="s">
        <v>303</v>
      </c>
      <c r="H86" s="77">
        <v>6322573684</v>
      </c>
      <c r="I86" s="77" t="s">
        <v>418</v>
      </c>
      <c r="J86" s="77" t="s">
        <v>37</v>
      </c>
      <c r="K86" s="77" t="s">
        <v>37</v>
      </c>
      <c r="L86" s="77" t="s">
        <v>389</v>
      </c>
      <c r="M86" s="77" t="s">
        <v>37</v>
      </c>
      <c r="N86" s="77" t="s">
        <v>37</v>
      </c>
      <c r="O86" s="77" t="s">
        <v>38</v>
      </c>
      <c r="P86" s="77" t="s">
        <v>39</v>
      </c>
      <c r="Q86" s="76">
        <v>45968</v>
      </c>
      <c r="R86" s="77"/>
      <c r="S86" s="77"/>
      <c r="T86" s="77"/>
      <c r="U86" s="77"/>
      <c r="V86" s="78" t="s">
        <v>117</v>
      </c>
      <c r="W86" s="79">
        <v>46067</v>
      </c>
      <c r="X86" s="78" t="s">
        <v>38</v>
      </c>
      <c r="Y86" s="78"/>
      <c r="Z86" s="78" t="s">
        <v>5434</v>
      </c>
      <c r="AA86">
        <f>IF(COUNTIF('Call Queue'!$H$6:$H$20,V86)&gt;0,0,IF(AND(ISNUMBER(N86),N86&gt;0),10000000+N86,IF(ISNUMBER(N86*1),IF(N86*1&gt;0,10000000+N86*1,0),0))+IF(ISNUMBER(SEARCH("(",L86)),1000000+IFERROR(VALUE(SUBSTITUTE(SUBSTITUTE(SUBSTITUTE(MID(L86,SEARCH("(",L86)+1,SEARCH(")",L86)-SEARCH("(",L86)-1),"$",""),",","")," ","")),0),0))</f>
        <v>0</v>
      </c>
    </row>
    <row r="87" spans="1:27">
      <c r="A87" s="76">
        <v>45902</v>
      </c>
      <c r="B87" s="77" t="s">
        <v>467</v>
      </c>
      <c r="C87" s="77" t="s">
        <v>468</v>
      </c>
      <c r="D87" s="77" t="s">
        <v>63</v>
      </c>
      <c r="E87" s="77">
        <v>85008</v>
      </c>
      <c r="F87" s="77" t="s">
        <v>310</v>
      </c>
      <c r="G87" s="77" t="s">
        <v>303</v>
      </c>
      <c r="H87" s="77">
        <v>6460103590</v>
      </c>
      <c r="I87" s="77" t="s">
        <v>36</v>
      </c>
      <c r="J87" s="77" t="s">
        <v>37</v>
      </c>
      <c r="K87" s="77" t="s">
        <v>37</v>
      </c>
      <c r="L87" s="77" t="s">
        <v>38</v>
      </c>
      <c r="M87" s="77" t="s">
        <v>37</v>
      </c>
      <c r="N87" s="77" t="s">
        <v>37</v>
      </c>
      <c r="O87" s="77" t="s">
        <v>38</v>
      </c>
      <c r="P87" s="77" t="s">
        <v>39</v>
      </c>
      <c r="Q87" s="76">
        <v>45968</v>
      </c>
      <c r="R87" s="77"/>
      <c r="S87" s="77"/>
      <c r="T87" s="77"/>
      <c r="U87" s="77"/>
      <c r="V87" s="78"/>
      <c r="W87" s="79"/>
      <c r="X87" s="78"/>
      <c r="Y87" s="78"/>
      <c r="Z87" s="78"/>
      <c r="AA87">
        <f>IF(COUNTIF('Call Queue'!$H$6:$H$20,V87)&gt;0,0,IF(AND(ISNUMBER(N87),N87&gt;0),10000000+N87,IF(ISNUMBER(N87*1),IF(N87*1&gt;0,10000000+N87*1,0),0))+IF(ISNUMBER(SEARCH("(",L87)),1000000+IFERROR(VALUE(SUBSTITUTE(SUBSTITUTE(SUBSTITUTE(MID(L87,SEARCH("(",L87)+1,SEARCH(")",L87)-SEARCH("(",L87)-1),"$",""),",","")," ","")),0),0))</f>
        <v>0</v>
      </c>
    </row>
    <row r="88" spans="1:27">
      <c r="A88" s="76">
        <v>45902</v>
      </c>
      <c r="B88" s="77" t="s">
        <v>470</v>
      </c>
      <c r="C88" s="77" t="s">
        <v>471</v>
      </c>
      <c r="D88" s="77" t="s">
        <v>63</v>
      </c>
      <c r="E88" s="77">
        <v>85004</v>
      </c>
      <c r="F88" s="77" t="s">
        <v>310</v>
      </c>
      <c r="G88" s="77" t="s">
        <v>303</v>
      </c>
      <c r="H88" s="77">
        <v>4452990070</v>
      </c>
      <c r="I88" s="77" t="s">
        <v>288</v>
      </c>
      <c r="J88" s="77" t="s">
        <v>37</v>
      </c>
      <c r="K88" s="77" t="s">
        <v>37</v>
      </c>
      <c r="L88" s="77" t="s">
        <v>38</v>
      </c>
      <c r="M88" s="77" t="s">
        <v>37</v>
      </c>
      <c r="N88" s="77" t="s">
        <v>37</v>
      </c>
      <c r="O88" s="77" t="s">
        <v>38</v>
      </c>
      <c r="P88" s="77" t="s">
        <v>39</v>
      </c>
      <c r="Q88" s="76">
        <v>45968</v>
      </c>
      <c r="R88" s="77"/>
      <c r="S88" s="77"/>
      <c r="T88" s="77"/>
      <c r="U88" s="77"/>
      <c r="V88" s="78" t="s">
        <v>117</v>
      </c>
      <c r="W88" s="79">
        <v>46067</v>
      </c>
      <c r="X88" s="78" t="s">
        <v>37</v>
      </c>
      <c r="Y88" s="78" t="s">
        <v>5442</v>
      </c>
      <c r="Z88" s="78"/>
      <c r="AA88">
        <f>IF(COUNTIF('Call Queue'!$H$6:$H$20,V88)&gt;0,0,IF(AND(ISNUMBER(N88),N88&gt;0),10000000+N88,IF(ISNUMBER(N88*1),IF(N88*1&gt;0,10000000+N88*1,0),0))+IF(ISNUMBER(SEARCH("(",L88)),1000000+IFERROR(VALUE(SUBSTITUTE(SUBSTITUTE(SUBSTITUTE(MID(L88,SEARCH("(",L88)+1,SEARCH(")",L88)-SEARCH("(",L88)-1),"$",""),",","")," ","")),0),0))</f>
        <v>0</v>
      </c>
    </row>
    <row r="89" spans="1:27">
      <c r="A89" s="76">
        <v>45902</v>
      </c>
      <c r="B89" s="77" t="s">
        <v>475</v>
      </c>
      <c r="C89" s="77" t="s">
        <v>476</v>
      </c>
      <c r="D89" s="77" t="s">
        <v>63</v>
      </c>
      <c r="E89" s="77">
        <v>85050</v>
      </c>
      <c r="F89" s="77" t="s">
        <v>31</v>
      </c>
      <c r="G89" s="77" t="s">
        <v>303</v>
      </c>
      <c r="H89" s="77">
        <v>8999251000</v>
      </c>
      <c r="I89" s="77" t="s">
        <v>36</v>
      </c>
      <c r="J89" s="77" t="s">
        <v>37</v>
      </c>
      <c r="K89" s="77" t="s">
        <v>37</v>
      </c>
      <c r="L89" s="77" t="s">
        <v>38</v>
      </c>
      <c r="M89" s="77" t="s">
        <v>37</v>
      </c>
      <c r="N89" s="77" t="s">
        <v>37</v>
      </c>
      <c r="O89" s="77" t="s">
        <v>38</v>
      </c>
      <c r="P89" s="77" t="s">
        <v>39</v>
      </c>
      <c r="Q89" s="76">
        <v>45968</v>
      </c>
      <c r="R89" s="77"/>
      <c r="S89" s="77"/>
      <c r="T89" s="77"/>
      <c r="U89" s="77"/>
      <c r="V89" s="78"/>
      <c r="W89" s="79"/>
      <c r="X89" s="78"/>
      <c r="Y89" s="78"/>
      <c r="Z89" s="78"/>
      <c r="AA89">
        <f>IF(COUNTIF('Call Queue'!$H$6:$H$20,V89)&gt;0,0,IF(AND(ISNUMBER(N89),N89&gt;0),10000000+N89,IF(ISNUMBER(N89*1),IF(N89*1&gt;0,10000000+N89*1,0),0))+IF(ISNUMBER(SEARCH("(",L89)),1000000+IFERROR(VALUE(SUBSTITUTE(SUBSTITUTE(SUBSTITUTE(MID(L89,SEARCH("(",L89)+1,SEARCH(")",L89)-SEARCH("(",L89)-1),"$",""),",","")," ","")),0),0))</f>
        <v>0</v>
      </c>
    </row>
    <row r="90" spans="1:27">
      <c r="A90" s="76">
        <v>45902</v>
      </c>
      <c r="B90" s="77" t="s">
        <v>480</v>
      </c>
      <c r="C90" s="77" t="s">
        <v>481</v>
      </c>
      <c r="D90" s="77" t="s">
        <v>63</v>
      </c>
      <c r="E90" s="77">
        <v>85083</v>
      </c>
      <c r="F90" s="77" t="s">
        <v>310</v>
      </c>
      <c r="G90" s="77" t="s">
        <v>303</v>
      </c>
      <c r="H90" s="77">
        <v>4048489946</v>
      </c>
      <c r="I90" s="77" t="s">
        <v>46</v>
      </c>
      <c r="J90" s="77" t="s">
        <v>37</v>
      </c>
      <c r="K90" s="77" t="s">
        <v>37</v>
      </c>
      <c r="L90" s="77" t="s">
        <v>483</v>
      </c>
      <c r="M90" s="77" t="s">
        <v>37</v>
      </c>
      <c r="N90" s="77" t="s">
        <v>37</v>
      </c>
      <c r="O90" s="77" t="s">
        <v>38</v>
      </c>
      <c r="P90" s="77">
        <v>45939</v>
      </c>
      <c r="Q90" s="76">
        <v>45968</v>
      </c>
      <c r="R90" s="77" t="s">
        <v>484</v>
      </c>
      <c r="S90" s="77"/>
      <c r="T90" s="77"/>
      <c r="U90" s="77"/>
      <c r="V90" s="78" t="s">
        <v>5432</v>
      </c>
      <c r="W90" s="79">
        <v>46011</v>
      </c>
      <c r="X90" s="78" t="s">
        <v>38</v>
      </c>
      <c r="Y90" s="78"/>
      <c r="Z90" s="78" t="s">
        <v>5434</v>
      </c>
      <c r="AA90">
        <f>IF(COUNTIF('Call Queue'!$H$6:$H$20,V90)&gt;0,0,IF(AND(ISNUMBER(N90),N90&gt;0),10000000+N90,IF(ISNUMBER(N90*1),IF(N90*1&gt;0,10000000+N90*1,0),0))+IF(ISNUMBER(SEARCH("(",L90)),1000000+IFERROR(VALUE(SUBSTITUTE(SUBSTITUTE(SUBSTITUTE(MID(L90,SEARCH("(",L90)+1,SEARCH(")",L90)-SEARCH("(",L90)-1),"$",""),",","")," ","")),0),0))</f>
        <v>0</v>
      </c>
    </row>
    <row r="91" spans="1:27">
      <c r="A91" s="76">
        <v>45902</v>
      </c>
      <c r="B91" s="77" t="s">
        <v>487</v>
      </c>
      <c r="C91" s="77" t="s">
        <v>488</v>
      </c>
      <c r="D91" s="77" t="s">
        <v>63</v>
      </c>
      <c r="E91" s="77">
        <v>85013</v>
      </c>
      <c r="F91" s="77" t="s">
        <v>310</v>
      </c>
      <c r="G91" s="77" t="s">
        <v>303</v>
      </c>
      <c r="H91" s="77">
        <v>1750915214</v>
      </c>
      <c r="I91" s="77" t="s">
        <v>126</v>
      </c>
      <c r="J91" s="77" t="s">
        <v>37</v>
      </c>
      <c r="K91" s="77" t="s">
        <v>37</v>
      </c>
      <c r="L91" s="77" t="s">
        <v>38</v>
      </c>
      <c r="M91" s="77" t="s">
        <v>37</v>
      </c>
      <c r="N91" s="77" t="s">
        <v>37</v>
      </c>
      <c r="O91" s="77" t="s">
        <v>38</v>
      </c>
      <c r="P91" s="77" t="s">
        <v>39</v>
      </c>
      <c r="Q91" s="76">
        <v>45968</v>
      </c>
      <c r="R91" s="77"/>
      <c r="S91" s="77"/>
      <c r="T91" s="77"/>
      <c r="U91" s="77"/>
      <c r="V91" s="78"/>
      <c r="W91" s="79"/>
      <c r="X91" s="78"/>
      <c r="Y91" s="78"/>
      <c r="Z91" s="78"/>
      <c r="AA91">
        <f>IF(COUNTIF('Call Queue'!$H$6:$H$20,V91)&gt;0,0,IF(AND(ISNUMBER(N91),N91&gt;0),10000000+N91,IF(ISNUMBER(N91*1),IF(N91*1&gt;0,10000000+N91*1,0),0))+IF(ISNUMBER(SEARCH("(",L91)),1000000+IFERROR(VALUE(SUBSTITUTE(SUBSTITUTE(SUBSTITUTE(MID(L91,SEARCH("(",L91)+1,SEARCH(")",L91)-SEARCH("(",L91)-1),"$",""),",","")," ","")),0),0))</f>
        <v>0</v>
      </c>
    </row>
    <row r="92" spans="1:27">
      <c r="A92" s="76">
        <v>45902</v>
      </c>
      <c r="B92" s="77" t="s">
        <v>490</v>
      </c>
      <c r="C92" s="77" t="s">
        <v>491</v>
      </c>
      <c r="D92" s="77" t="s">
        <v>30</v>
      </c>
      <c r="E92" s="77" t="s">
        <v>30</v>
      </c>
      <c r="F92" s="77" t="s">
        <v>31</v>
      </c>
      <c r="G92" s="77" t="s">
        <v>303</v>
      </c>
      <c r="H92" s="77">
        <v>4133921000</v>
      </c>
      <c r="I92" s="77" t="s">
        <v>126</v>
      </c>
      <c r="J92" s="77" t="s">
        <v>38</v>
      </c>
      <c r="K92" s="77" t="s">
        <v>37</v>
      </c>
      <c r="L92" s="77" t="s">
        <v>38</v>
      </c>
      <c r="M92" s="77" t="s">
        <v>37</v>
      </c>
      <c r="N92" s="77" t="s">
        <v>37</v>
      </c>
      <c r="O92" s="77" t="s">
        <v>38</v>
      </c>
      <c r="P92" s="77" t="s">
        <v>39</v>
      </c>
      <c r="Q92" s="76">
        <v>45968</v>
      </c>
      <c r="R92" s="77"/>
      <c r="S92" s="77"/>
      <c r="T92" s="77"/>
      <c r="U92" s="77"/>
      <c r="V92" s="78" t="s">
        <v>117</v>
      </c>
      <c r="W92" s="79">
        <v>46067</v>
      </c>
      <c r="X92" s="78" t="s">
        <v>37</v>
      </c>
      <c r="Y92" s="78" t="s">
        <v>5442</v>
      </c>
      <c r="Z92" s="78"/>
      <c r="AA92">
        <f>IF(COUNTIF('Call Queue'!$H$6:$H$20,V92)&gt;0,0,IF(AND(ISNUMBER(N92),N92&gt;0),10000000+N92,IF(ISNUMBER(N92*1),IF(N92*1&gt;0,10000000+N92*1,0),0))+IF(ISNUMBER(SEARCH("(",L92)),1000000+IFERROR(VALUE(SUBSTITUTE(SUBSTITUTE(SUBSTITUTE(MID(L92,SEARCH("(",L92)+1,SEARCH(")",L92)-SEARCH("(",L92)-1),"$",""),",","")," ","")),0),0))</f>
        <v>0</v>
      </c>
    </row>
    <row r="93" spans="1:27">
      <c r="A93" s="76">
        <v>45902</v>
      </c>
      <c r="B93" s="77" t="s">
        <v>493</v>
      </c>
      <c r="C93" s="77" t="s">
        <v>333</v>
      </c>
      <c r="D93" s="77" t="s">
        <v>63</v>
      </c>
      <c r="E93" s="77">
        <v>85009</v>
      </c>
      <c r="F93" s="77" t="s">
        <v>31</v>
      </c>
      <c r="G93" s="77" t="s">
        <v>303</v>
      </c>
      <c r="H93" s="77">
        <v>6230194725</v>
      </c>
      <c r="I93" s="77" t="s">
        <v>36</v>
      </c>
      <c r="J93" s="77" t="s">
        <v>37</v>
      </c>
      <c r="K93" s="77" t="s">
        <v>37</v>
      </c>
      <c r="L93" s="77" t="s">
        <v>38</v>
      </c>
      <c r="M93" s="77" t="s">
        <v>38</v>
      </c>
      <c r="N93" s="77">
        <v>942.59</v>
      </c>
      <c r="O93" s="77" t="s">
        <v>38</v>
      </c>
      <c r="P93" s="77"/>
      <c r="Q93" s="76">
        <v>45968</v>
      </c>
      <c r="R93" s="77" t="s">
        <v>495</v>
      </c>
      <c r="S93" s="77"/>
      <c r="T93" s="77"/>
      <c r="U93" s="77"/>
      <c r="V93" s="78" t="s">
        <v>5432</v>
      </c>
      <c r="W93" s="79">
        <v>46011</v>
      </c>
      <c r="X93" s="78" t="s">
        <v>37</v>
      </c>
      <c r="Y93" s="78" t="s">
        <v>5442</v>
      </c>
      <c r="Z93" s="78" t="s">
        <v>5549</v>
      </c>
      <c r="AA93">
        <f>IF(COUNTIF('Call Queue'!$H$6:$H$20,V93)&gt;0,0,IF(AND(ISNUMBER(N93),N93&gt;0),10000000+N93,IF(ISNUMBER(N93*1),IF(N93*1&gt;0,10000000+N93*1,0),0))+IF(ISNUMBER(SEARCH("(",L93)),1000000+IFERROR(VALUE(SUBSTITUTE(SUBSTITUTE(SUBSTITUTE(MID(L93,SEARCH("(",L93)+1,SEARCH(")",L93)-SEARCH("(",L93)-1),"$",""),",","")," ","")),0),0))</f>
        <v>0</v>
      </c>
    </row>
    <row r="94" spans="1:27">
      <c r="A94" s="76">
        <v>45903</v>
      </c>
      <c r="B94" s="77" t="s">
        <v>499</v>
      </c>
      <c r="C94" s="77" t="s">
        <v>334</v>
      </c>
      <c r="D94" s="77" t="s">
        <v>30</v>
      </c>
      <c r="E94" s="77" t="s">
        <v>30</v>
      </c>
      <c r="F94" s="77" t="s">
        <v>31</v>
      </c>
      <c r="G94" s="77" t="s">
        <v>500</v>
      </c>
      <c r="H94" s="77">
        <v>2806465032</v>
      </c>
      <c r="I94" s="77" t="s">
        <v>36</v>
      </c>
      <c r="J94" s="77" t="s">
        <v>37</v>
      </c>
      <c r="K94" s="77" t="s">
        <v>37</v>
      </c>
      <c r="L94" s="77" t="s">
        <v>38</v>
      </c>
      <c r="M94" s="77" t="s">
        <v>37</v>
      </c>
      <c r="N94" s="77" t="s">
        <v>37</v>
      </c>
      <c r="O94" s="77" t="s">
        <v>38</v>
      </c>
      <c r="P94" s="77" t="s">
        <v>39</v>
      </c>
      <c r="Q94" s="76">
        <v>45968</v>
      </c>
      <c r="R94" s="77"/>
      <c r="S94" s="77"/>
      <c r="T94" s="77"/>
      <c r="U94" s="77"/>
      <c r="V94" s="78" t="s">
        <v>117</v>
      </c>
      <c r="W94" s="79">
        <v>46067</v>
      </c>
      <c r="X94" s="78" t="s">
        <v>38</v>
      </c>
      <c r="Y94" s="78"/>
      <c r="Z94" s="78" t="s">
        <v>5434</v>
      </c>
      <c r="AA94">
        <f>IF(COUNTIF('Call Queue'!$H$6:$H$20,V94)&gt;0,0,IF(AND(ISNUMBER(N94),N94&gt;0),10000000+N94,IF(ISNUMBER(N94*1),IF(N94*1&gt;0,10000000+N94*1,0),0))+IF(ISNUMBER(SEARCH("(",L94)),1000000+IFERROR(VALUE(SUBSTITUTE(SUBSTITUTE(SUBSTITUTE(MID(L94,SEARCH("(",L94)+1,SEARCH(")",L94)-SEARCH("(",L94)-1),"$",""),",","")," ","")),0),0))</f>
        <v>0</v>
      </c>
    </row>
    <row r="95" spans="1:27">
      <c r="A95" s="76">
        <v>45903</v>
      </c>
      <c r="B95" s="77" t="s">
        <v>502</v>
      </c>
      <c r="C95" s="77" t="s">
        <v>503</v>
      </c>
      <c r="D95" s="77" t="s">
        <v>504</v>
      </c>
      <c r="E95" s="77">
        <v>86001</v>
      </c>
      <c r="F95" s="77" t="s">
        <v>505</v>
      </c>
      <c r="G95" s="77" t="s">
        <v>506</v>
      </c>
      <c r="H95" s="77">
        <v>4871279597</v>
      </c>
      <c r="I95" s="77" t="s">
        <v>73</v>
      </c>
      <c r="J95" s="77" t="s">
        <v>37</v>
      </c>
      <c r="K95" s="77" t="s">
        <v>37</v>
      </c>
      <c r="L95" s="77" t="s">
        <v>38</v>
      </c>
      <c r="M95" s="77" t="s">
        <v>37</v>
      </c>
      <c r="N95" s="77" t="s">
        <v>37</v>
      </c>
      <c r="O95" s="77" t="s">
        <v>38</v>
      </c>
      <c r="P95" s="77" t="s">
        <v>39</v>
      </c>
      <c r="Q95" s="76">
        <v>45968</v>
      </c>
      <c r="R95" s="77"/>
      <c r="S95" s="77"/>
      <c r="T95" s="77"/>
      <c r="U95" s="77"/>
      <c r="V95" s="78"/>
      <c r="W95" s="79"/>
      <c r="X95" s="78"/>
      <c r="Y95" s="78"/>
      <c r="Z95" s="78"/>
      <c r="AA95">
        <f>IF(COUNTIF('Call Queue'!$H$6:$H$20,V95)&gt;0,0,IF(AND(ISNUMBER(N95),N95&gt;0),10000000+N95,IF(ISNUMBER(N95*1),IF(N95*1&gt;0,10000000+N95*1,0),0))+IF(ISNUMBER(SEARCH("(",L95)),1000000+IFERROR(VALUE(SUBSTITUTE(SUBSTITUTE(SUBSTITUTE(MID(L95,SEARCH("(",L95)+1,SEARCH(")",L95)-SEARCH("(",L95)-1),"$",""),",","")," ","")),0),0))</f>
        <v>0</v>
      </c>
    </row>
    <row r="96" spans="1:27">
      <c r="A96" s="76">
        <v>45903</v>
      </c>
      <c r="B96" s="77" t="s">
        <v>508</v>
      </c>
      <c r="C96" s="77" t="s">
        <v>509</v>
      </c>
      <c r="D96" s="77" t="s">
        <v>24</v>
      </c>
      <c r="E96" s="77">
        <v>85308</v>
      </c>
      <c r="F96" s="77" t="s">
        <v>31</v>
      </c>
      <c r="G96" s="77" t="s">
        <v>506</v>
      </c>
      <c r="H96" s="77">
        <v>4436732938</v>
      </c>
      <c r="I96" s="77" t="s">
        <v>196</v>
      </c>
      <c r="J96" s="77" t="s">
        <v>37</v>
      </c>
      <c r="K96" s="77" t="s">
        <v>37</v>
      </c>
      <c r="L96" s="77" t="s">
        <v>511</v>
      </c>
      <c r="M96" s="77" t="s">
        <v>37</v>
      </c>
      <c r="N96" s="77" t="s">
        <v>37</v>
      </c>
      <c r="O96" s="77" t="s">
        <v>38</v>
      </c>
      <c r="P96" s="77">
        <v>45932</v>
      </c>
      <c r="Q96" s="76">
        <v>45968</v>
      </c>
      <c r="R96" s="77" t="s">
        <v>512</v>
      </c>
      <c r="S96" s="77"/>
      <c r="T96" s="77"/>
      <c r="U96" s="77"/>
      <c r="V96" s="78" t="s">
        <v>5432</v>
      </c>
      <c r="W96" s="79">
        <v>46011</v>
      </c>
      <c r="X96" s="78" t="s">
        <v>38</v>
      </c>
      <c r="Y96" s="78"/>
      <c r="Z96" s="78"/>
      <c r="AA96">
        <f>IF(COUNTIF('Call Queue'!$H$6:$H$20,V96)&gt;0,0,IF(AND(ISNUMBER(N96),N96&gt;0),10000000+N96,IF(ISNUMBER(N96*1),IF(N96*1&gt;0,10000000+N96*1,0),0))+IF(ISNUMBER(SEARCH("(",L96)),1000000+IFERROR(VALUE(SUBSTITUTE(SUBSTITUTE(SUBSTITUTE(MID(L96,SEARCH("(",L96)+1,SEARCH(")",L96)-SEARCH("(",L96)-1),"$",""),",","")," ","")),0),0))</f>
        <v>0</v>
      </c>
    </row>
    <row r="97" spans="1:27">
      <c r="A97" s="76">
        <v>45903</v>
      </c>
      <c r="B97" s="77" t="s">
        <v>513</v>
      </c>
      <c r="C97" s="77" t="s">
        <v>369</v>
      </c>
      <c r="D97" s="77" t="s">
        <v>63</v>
      </c>
      <c r="E97" s="77">
        <v>85024</v>
      </c>
      <c r="F97" s="77" t="s">
        <v>310</v>
      </c>
      <c r="G97" s="77" t="s">
        <v>506</v>
      </c>
      <c r="H97" s="77">
        <v>5172470768</v>
      </c>
      <c r="I97" s="77" t="s">
        <v>126</v>
      </c>
      <c r="J97" s="77" t="s">
        <v>37</v>
      </c>
      <c r="K97" s="77" t="s">
        <v>37</v>
      </c>
      <c r="L97" s="77" t="s">
        <v>38</v>
      </c>
      <c r="M97" s="77" t="s">
        <v>37</v>
      </c>
      <c r="N97" s="77" t="s">
        <v>37</v>
      </c>
      <c r="O97" s="77" t="s">
        <v>38</v>
      </c>
      <c r="P97" s="77" t="s">
        <v>39</v>
      </c>
      <c r="Q97" s="76">
        <v>45968</v>
      </c>
      <c r="R97" s="77"/>
      <c r="S97" s="77"/>
      <c r="T97" s="77"/>
      <c r="U97" s="77"/>
      <c r="V97" s="78"/>
      <c r="W97" s="79"/>
      <c r="X97" s="78"/>
      <c r="Y97" s="78"/>
      <c r="Z97" s="78"/>
      <c r="AA97">
        <f>IF(COUNTIF('Call Queue'!$H$6:$H$20,V97)&gt;0,0,IF(AND(ISNUMBER(N97),N97&gt;0),10000000+N97,IF(ISNUMBER(N97*1),IF(N97*1&gt;0,10000000+N97*1,0),0))+IF(ISNUMBER(SEARCH("(",L97)),1000000+IFERROR(VALUE(SUBSTITUTE(SUBSTITUTE(SUBSTITUTE(MID(L97,SEARCH("(",L97)+1,SEARCH(")",L97)-SEARCH("(",L97)-1),"$",""),",","")," ","")),0),0))</f>
        <v>0</v>
      </c>
    </row>
    <row r="98" spans="1:27">
      <c r="A98" s="76">
        <v>45903</v>
      </c>
      <c r="B98" s="77" t="s">
        <v>515</v>
      </c>
      <c r="C98" s="77" t="s">
        <v>516</v>
      </c>
      <c r="D98" s="77" t="s">
        <v>202</v>
      </c>
      <c r="E98" s="77">
        <v>85383</v>
      </c>
      <c r="F98" s="77" t="s">
        <v>517</v>
      </c>
      <c r="G98" s="77" t="s">
        <v>506</v>
      </c>
      <c r="H98" s="77">
        <v>4073651000</v>
      </c>
      <c r="I98" s="77" t="s">
        <v>196</v>
      </c>
      <c r="J98" s="77" t="s">
        <v>37</v>
      </c>
      <c r="K98" s="77" t="s">
        <v>37</v>
      </c>
      <c r="L98" s="77" t="s">
        <v>519</v>
      </c>
      <c r="M98" s="77" t="s">
        <v>37</v>
      </c>
      <c r="N98" s="77" t="s">
        <v>37</v>
      </c>
      <c r="O98" s="77" t="s">
        <v>38</v>
      </c>
      <c r="P98" s="77">
        <v>45932</v>
      </c>
      <c r="Q98" s="76">
        <v>45968</v>
      </c>
      <c r="R98" s="77" t="s">
        <v>520</v>
      </c>
      <c r="S98" s="77"/>
      <c r="T98" s="77"/>
      <c r="U98" s="77"/>
      <c r="V98" s="78" t="s">
        <v>5432</v>
      </c>
      <c r="W98" s="79">
        <v>46011</v>
      </c>
      <c r="X98" s="78" t="s">
        <v>37</v>
      </c>
      <c r="Y98" s="78" t="s">
        <v>5527</v>
      </c>
      <c r="Z98" s="78" t="s">
        <v>5443</v>
      </c>
      <c r="AA98">
        <f>IF(COUNTIF('Call Queue'!$H$6:$H$20,V98)&gt;0,0,IF(AND(ISNUMBER(N98),N98&gt;0),10000000+N98,IF(ISNUMBER(N98*1),IF(N98*1&gt;0,10000000+N98*1,0),0))+IF(ISNUMBER(SEARCH("(",L98)),1000000+IFERROR(VALUE(SUBSTITUTE(SUBSTITUTE(SUBSTITUTE(MID(L98,SEARCH("(",L98)+1,SEARCH(")",L98)-SEARCH("(",L98)-1),"$",""),",","")," ","")),0),0))</f>
        <v>0</v>
      </c>
    </row>
    <row r="99" spans="1:27">
      <c r="A99" s="76">
        <v>45903</v>
      </c>
      <c r="B99" s="77" t="s">
        <v>521</v>
      </c>
      <c r="C99" s="77" t="s">
        <v>522</v>
      </c>
      <c r="D99" s="77" t="s">
        <v>523</v>
      </c>
      <c r="E99" s="77">
        <v>85392</v>
      </c>
      <c r="F99" s="77" t="s">
        <v>31</v>
      </c>
      <c r="G99" s="77" t="s">
        <v>506</v>
      </c>
      <c r="H99" s="77">
        <v>6354570000</v>
      </c>
      <c r="I99" s="77" t="s">
        <v>36</v>
      </c>
      <c r="J99" s="77" t="s">
        <v>37</v>
      </c>
      <c r="K99" s="77" t="s">
        <v>37</v>
      </c>
      <c r="L99" s="77" t="s">
        <v>38</v>
      </c>
      <c r="M99" s="77" t="s">
        <v>37</v>
      </c>
      <c r="N99" s="77" t="s">
        <v>37</v>
      </c>
      <c r="O99" s="77" t="s">
        <v>38</v>
      </c>
      <c r="P99" s="77" t="s">
        <v>39</v>
      </c>
      <c r="Q99" s="76">
        <v>45968</v>
      </c>
      <c r="R99" s="77" t="s">
        <v>525</v>
      </c>
      <c r="S99" s="77"/>
      <c r="T99" s="77"/>
      <c r="U99" s="77"/>
      <c r="V99" s="78"/>
      <c r="W99" s="79"/>
      <c r="X99" s="78"/>
      <c r="Y99" s="78"/>
      <c r="Z99" s="78"/>
      <c r="AA99">
        <f>IF(COUNTIF('Call Queue'!$H$6:$H$20,V99)&gt;0,0,IF(AND(ISNUMBER(N99),N99&gt;0),10000000+N99,IF(ISNUMBER(N99*1),IF(N99*1&gt;0,10000000+N99*1,0),0))+IF(ISNUMBER(SEARCH("(",L99)),1000000+IFERROR(VALUE(SUBSTITUTE(SUBSTITUTE(SUBSTITUTE(MID(L99,SEARCH("(",L99)+1,SEARCH(")",L99)-SEARCH("(",L99)-1),"$",""),",","")," ","")),0),0))</f>
        <v>0</v>
      </c>
    </row>
    <row r="100" spans="1:27">
      <c r="A100" s="76">
        <v>45903</v>
      </c>
      <c r="B100" s="77" t="s">
        <v>526</v>
      </c>
      <c r="C100" s="77" t="s">
        <v>133</v>
      </c>
      <c r="D100" s="77" t="s">
        <v>63</v>
      </c>
      <c r="E100" s="77">
        <v>85014</v>
      </c>
      <c r="F100" s="77" t="s">
        <v>310</v>
      </c>
      <c r="G100" s="77" t="s">
        <v>506</v>
      </c>
      <c r="H100" s="77" t="s">
        <v>209</v>
      </c>
      <c r="I100" s="77"/>
      <c r="J100" s="77"/>
      <c r="K100" s="77"/>
      <c r="L100" s="77"/>
      <c r="M100" s="77"/>
      <c r="N100" s="77"/>
      <c r="O100" s="77"/>
      <c r="P100" s="77"/>
      <c r="Q100" s="76"/>
      <c r="R100" s="77"/>
      <c r="S100" s="77"/>
      <c r="T100" s="77"/>
      <c r="U100" s="77"/>
      <c r="V100" s="78"/>
      <c r="W100" s="79"/>
      <c r="X100" s="78"/>
      <c r="Y100" s="78"/>
      <c r="Z100" s="78"/>
      <c r="AA100">
        <f>IF(COUNTIF('Call Queue'!$H$6:$H$20,V100)&gt;0,0,IF(AND(ISNUMBER(N100),N100&gt;0),10000000+N100,IF(ISNUMBER(N100*1),IF(N100*1&gt;0,10000000+N100*1,0),0))+IF(ISNUMBER(SEARCH("(",L100)),1000000+IFERROR(VALUE(SUBSTITUTE(SUBSTITUTE(SUBSTITUTE(MID(L100,SEARCH("(",L100)+1,SEARCH(")",L100)-SEARCH("(",L100)-1),"$",""),",","")," ","")),0),0))</f>
        <v>0</v>
      </c>
    </row>
    <row r="101" spans="1:27">
      <c r="A101" s="76">
        <v>45903</v>
      </c>
      <c r="B101" s="77" t="s">
        <v>528</v>
      </c>
      <c r="C101" s="77" t="s">
        <v>529</v>
      </c>
      <c r="D101" s="77" t="s">
        <v>24</v>
      </c>
      <c r="E101" s="77">
        <v>85310</v>
      </c>
      <c r="F101" s="77" t="s">
        <v>310</v>
      </c>
      <c r="G101" s="77" t="s">
        <v>506</v>
      </c>
      <c r="H101" s="77">
        <v>1541553890</v>
      </c>
      <c r="I101" s="77" t="s">
        <v>196</v>
      </c>
      <c r="J101" s="77" t="s">
        <v>37</v>
      </c>
      <c r="K101" s="77" t="s">
        <v>37</v>
      </c>
      <c r="L101" s="77" t="s">
        <v>38</v>
      </c>
      <c r="M101" s="77" t="s">
        <v>37</v>
      </c>
      <c r="N101" s="77" t="s">
        <v>37</v>
      </c>
      <c r="O101" s="77" t="s">
        <v>38</v>
      </c>
      <c r="P101" s="77" t="s">
        <v>39</v>
      </c>
      <c r="Q101" s="76">
        <v>45968</v>
      </c>
      <c r="R101" s="77"/>
      <c r="S101" s="77"/>
      <c r="T101" s="77"/>
      <c r="U101" s="77"/>
      <c r="V101" s="78" t="s">
        <v>117</v>
      </c>
      <c r="W101" s="79">
        <v>46067</v>
      </c>
      <c r="X101" s="78" t="s">
        <v>38</v>
      </c>
      <c r="Y101" s="78"/>
      <c r="Z101" s="78" t="s">
        <v>5434</v>
      </c>
      <c r="AA101">
        <f>IF(COUNTIF('Call Queue'!$H$6:$H$20,V101)&gt;0,0,IF(AND(ISNUMBER(N101),N101&gt;0),10000000+N101,IF(ISNUMBER(N101*1),IF(N101*1&gt;0,10000000+N101*1,0),0))+IF(ISNUMBER(SEARCH("(",L101)),1000000+IFERROR(VALUE(SUBSTITUTE(SUBSTITUTE(SUBSTITUTE(MID(L101,SEARCH("(",L101)+1,SEARCH(")",L101)-SEARCH("(",L101)-1),"$",""),",","")," ","")),0),0))</f>
        <v>0</v>
      </c>
    </row>
    <row r="102" spans="1:27">
      <c r="A102" s="76">
        <v>45903</v>
      </c>
      <c r="B102" s="77" t="s">
        <v>531</v>
      </c>
      <c r="C102" s="77" t="s">
        <v>532</v>
      </c>
      <c r="D102" s="77" t="s">
        <v>169</v>
      </c>
      <c r="E102" s="77">
        <v>85395</v>
      </c>
      <c r="F102" s="77" t="s">
        <v>31</v>
      </c>
      <c r="G102" s="77" t="s">
        <v>506</v>
      </c>
      <c r="H102" s="77">
        <v>9149301000</v>
      </c>
      <c r="I102" s="77" t="s">
        <v>36</v>
      </c>
      <c r="J102" s="77" t="s">
        <v>37</v>
      </c>
      <c r="K102" s="77" t="s">
        <v>37</v>
      </c>
      <c r="L102" s="77" t="s">
        <v>38</v>
      </c>
      <c r="M102" s="77" t="s">
        <v>37</v>
      </c>
      <c r="N102" s="77" t="s">
        <v>37</v>
      </c>
      <c r="O102" s="77" t="s">
        <v>38</v>
      </c>
      <c r="P102" s="77" t="s">
        <v>39</v>
      </c>
      <c r="Q102" s="76">
        <v>45968</v>
      </c>
      <c r="R102" s="77"/>
      <c r="S102" s="77"/>
      <c r="T102" s="77"/>
      <c r="U102" s="77"/>
      <c r="V102" s="78"/>
      <c r="W102" s="79"/>
      <c r="X102" s="78"/>
      <c r="Y102" s="78"/>
      <c r="Z102" s="78"/>
      <c r="AA102">
        <f>IF(COUNTIF('Call Queue'!$H$6:$H$20,V102)&gt;0,0,IF(AND(ISNUMBER(N102),N102&gt;0),10000000+N102,IF(ISNUMBER(N102*1),IF(N102*1&gt;0,10000000+N102*1,0),0))+IF(ISNUMBER(SEARCH("(",L102)),1000000+IFERROR(VALUE(SUBSTITUTE(SUBSTITUTE(SUBSTITUTE(MID(L102,SEARCH("(",L102)+1,SEARCH(")",L102)-SEARCH("(",L102)-1),"$",""),",","")," ","")),0),0))</f>
        <v>0</v>
      </c>
    </row>
    <row r="103" spans="1:27">
      <c r="A103" s="76">
        <v>45903</v>
      </c>
      <c r="B103" s="77" t="s">
        <v>534</v>
      </c>
      <c r="C103" s="77" t="s">
        <v>535</v>
      </c>
      <c r="D103" s="77" t="s">
        <v>523</v>
      </c>
      <c r="E103" s="77">
        <v>85392</v>
      </c>
      <c r="F103" s="77" t="s">
        <v>31</v>
      </c>
      <c r="G103" s="77" t="s">
        <v>506</v>
      </c>
      <c r="H103" s="77">
        <v>8789670000</v>
      </c>
      <c r="I103" s="77" t="s">
        <v>418</v>
      </c>
      <c r="J103" s="77" t="s">
        <v>37</v>
      </c>
      <c r="K103" s="77" t="s">
        <v>37</v>
      </c>
      <c r="L103" s="77" t="s">
        <v>389</v>
      </c>
      <c r="M103" s="77" t="s">
        <v>37</v>
      </c>
      <c r="N103" s="77" t="s">
        <v>37</v>
      </c>
      <c r="O103" s="77" t="s">
        <v>38</v>
      </c>
      <c r="P103" s="77" t="s">
        <v>39</v>
      </c>
      <c r="Q103" s="76">
        <v>45968</v>
      </c>
      <c r="R103" s="77"/>
      <c r="S103" s="77"/>
      <c r="T103" s="77"/>
      <c r="U103" s="77"/>
      <c r="V103" s="78" t="s">
        <v>117</v>
      </c>
      <c r="W103" s="79">
        <v>46067</v>
      </c>
      <c r="X103" s="78" t="s">
        <v>37</v>
      </c>
      <c r="Y103" s="78"/>
      <c r="Z103" s="78" t="s">
        <v>5434</v>
      </c>
      <c r="AA103">
        <f>IF(COUNTIF('Call Queue'!$H$6:$H$20,V103)&gt;0,0,IF(AND(ISNUMBER(N103),N103&gt;0),10000000+N103,IF(ISNUMBER(N103*1),IF(N103*1&gt;0,10000000+N103*1,0),0))+IF(ISNUMBER(SEARCH("(",L103)),1000000+IFERROR(VALUE(SUBSTITUTE(SUBSTITUTE(SUBSTITUTE(MID(L103,SEARCH("(",L103)+1,SEARCH(")",L103)-SEARCH("(",L103)-1),"$",""),",","")," ","")),0),0))</f>
        <v>0</v>
      </c>
    </row>
    <row r="104" spans="1:27">
      <c r="A104" s="76">
        <v>45903</v>
      </c>
      <c r="B104" s="77" t="s">
        <v>537</v>
      </c>
      <c r="C104" s="77" t="s">
        <v>538</v>
      </c>
      <c r="D104" s="77" t="s">
        <v>539</v>
      </c>
      <c r="E104" s="77">
        <v>85194</v>
      </c>
      <c r="F104" s="77" t="s">
        <v>310</v>
      </c>
      <c r="G104" s="77" t="s">
        <v>506</v>
      </c>
      <c r="H104" s="77">
        <v>4665180000</v>
      </c>
      <c r="I104" s="77" t="s">
        <v>541</v>
      </c>
      <c r="J104" s="77" t="s">
        <v>37</v>
      </c>
      <c r="K104" s="77" t="s">
        <v>37</v>
      </c>
      <c r="L104" s="77" t="s">
        <v>389</v>
      </c>
      <c r="M104" s="77" t="s">
        <v>37</v>
      </c>
      <c r="N104" s="77" t="s">
        <v>37</v>
      </c>
      <c r="O104" s="77" t="s">
        <v>38</v>
      </c>
      <c r="P104" s="77" t="s">
        <v>39</v>
      </c>
      <c r="Q104" s="76">
        <v>45968</v>
      </c>
      <c r="R104" s="77"/>
      <c r="S104" s="77"/>
      <c r="T104" s="77"/>
      <c r="U104" s="77"/>
      <c r="V104" s="78"/>
      <c r="W104" s="79"/>
      <c r="X104" s="78"/>
      <c r="Y104" s="78"/>
      <c r="Z104" s="78"/>
      <c r="AA104">
        <f>IF(COUNTIF('Call Queue'!$H$6:$H$20,V104)&gt;0,0,IF(AND(ISNUMBER(N104),N104&gt;0),10000000+N104,IF(ISNUMBER(N104*1),IF(N104*1&gt;0,10000000+N104*1,0),0))+IF(ISNUMBER(SEARCH("(",L104)),1000000+IFERROR(VALUE(SUBSTITUTE(SUBSTITUTE(SUBSTITUTE(MID(L104,SEARCH("(",L104)+1,SEARCH(")",L104)-SEARCH("(",L104)-1),"$",""),",","")," ","")),0),0))</f>
        <v>0</v>
      </c>
    </row>
    <row r="105" spans="1:27">
      <c r="A105" s="76">
        <v>45903</v>
      </c>
      <c r="B105" s="77" t="s">
        <v>542</v>
      </c>
      <c r="C105" s="77" t="s">
        <v>543</v>
      </c>
      <c r="D105" s="77" t="s">
        <v>63</v>
      </c>
      <c r="E105" s="77">
        <v>85050</v>
      </c>
      <c r="F105" s="77" t="s">
        <v>310</v>
      </c>
      <c r="G105" s="77" t="s">
        <v>506</v>
      </c>
      <c r="H105" s="77">
        <v>9867756348</v>
      </c>
      <c r="I105" s="77" t="s">
        <v>36</v>
      </c>
      <c r="J105" s="77" t="s">
        <v>37</v>
      </c>
      <c r="K105" s="77" t="s">
        <v>37</v>
      </c>
      <c r="L105" s="77" t="s">
        <v>38</v>
      </c>
      <c r="M105" s="77" t="s">
        <v>37</v>
      </c>
      <c r="N105" s="77" t="s">
        <v>37</v>
      </c>
      <c r="O105" s="77" t="s">
        <v>38</v>
      </c>
      <c r="P105" s="77" t="s">
        <v>39</v>
      </c>
      <c r="Q105" s="76">
        <v>45968</v>
      </c>
      <c r="R105" s="77"/>
      <c r="S105" s="77"/>
      <c r="T105" s="77"/>
      <c r="U105" s="77"/>
      <c r="V105" s="78" t="s">
        <v>117</v>
      </c>
      <c r="W105" s="79">
        <v>46067</v>
      </c>
      <c r="X105" s="78" t="s">
        <v>38</v>
      </c>
      <c r="Y105" s="78"/>
      <c r="Z105" s="78"/>
      <c r="AA105">
        <f>IF(COUNTIF('Call Queue'!$H$6:$H$20,V105)&gt;0,0,IF(AND(ISNUMBER(N105),N105&gt;0),10000000+N105,IF(ISNUMBER(N105*1),IF(N105*1&gt;0,10000000+N105*1,0),0))+IF(ISNUMBER(SEARCH("(",L105)),1000000+IFERROR(VALUE(SUBSTITUTE(SUBSTITUTE(SUBSTITUTE(MID(L105,SEARCH("(",L105)+1,SEARCH(")",L105)-SEARCH("(",L105)-1),"$",""),",","")," ","")),0),0))</f>
        <v>0</v>
      </c>
    </row>
    <row r="106" spans="1:27">
      <c r="A106" s="76">
        <v>45903</v>
      </c>
      <c r="B106" s="77" t="s">
        <v>545</v>
      </c>
      <c r="C106" s="77" t="s">
        <v>546</v>
      </c>
      <c r="D106" s="77" t="s">
        <v>63</v>
      </c>
      <c r="E106" s="77">
        <v>85022</v>
      </c>
      <c r="F106" s="77" t="s">
        <v>31</v>
      </c>
      <c r="G106" s="77" t="s">
        <v>506</v>
      </c>
      <c r="H106" s="77" t="s">
        <v>209</v>
      </c>
      <c r="I106" s="77"/>
      <c r="J106" s="77"/>
      <c r="K106" s="77"/>
      <c r="L106" s="77"/>
      <c r="M106" s="77"/>
      <c r="N106" s="77"/>
      <c r="O106" s="77"/>
      <c r="P106" s="77"/>
      <c r="Q106" s="76"/>
      <c r="R106" s="77"/>
      <c r="S106" s="77"/>
      <c r="T106" s="77"/>
      <c r="U106" s="77"/>
      <c r="V106" s="78"/>
      <c r="W106" s="79"/>
      <c r="X106" s="78"/>
      <c r="Y106" s="78"/>
      <c r="Z106" s="78"/>
      <c r="AA106">
        <f>IF(COUNTIF('Call Queue'!$H$6:$H$20,V106)&gt;0,0,IF(AND(ISNUMBER(N106),N106&gt;0),10000000+N106,IF(ISNUMBER(N106*1),IF(N106*1&gt;0,10000000+N106*1,0),0))+IF(ISNUMBER(SEARCH("(",L106)),1000000+IFERROR(VALUE(SUBSTITUTE(SUBSTITUTE(SUBSTITUTE(MID(L106,SEARCH("(",L106)+1,SEARCH(")",L106)-SEARCH("(",L106)-1),"$",""),",","")," ","")),0),0))</f>
        <v>0</v>
      </c>
    </row>
    <row r="107" spans="1:27">
      <c r="A107" s="76">
        <v>45903</v>
      </c>
      <c r="B107" s="77" t="s">
        <v>549</v>
      </c>
      <c r="C107" s="77" t="s">
        <v>550</v>
      </c>
      <c r="D107" s="77" t="s">
        <v>169</v>
      </c>
      <c r="E107" s="77">
        <v>85338</v>
      </c>
      <c r="F107" s="77" t="s">
        <v>31</v>
      </c>
      <c r="G107" s="77" t="s">
        <v>506</v>
      </c>
      <c r="H107" s="77">
        <v>4619651000</v>
      </c>
      <c r="I107" s="77" t="s">
        <v>36</v>
      </c>
      <c r="J107" s="77" t="s">
        <v>37</v>
      </c>
      <c r="K107" s="77" t="s">
        <v>37</v>
      </c>
      <c r="L107" s="77" t="s">
        <v>38</v>
      </c>
      <c r="M107" s="77" t="s">
        <v>37</v>
      </c>
      <c r="N107" s="77" t="s">
        <v>37</v>
      </c>
      <c r="O107" s="77" t="s">
        <v>38</v>
      </c>
      <c r="P107" s="77" t="s">
        <v>39</v>
      </c>
      <c r="Q107" s="76">
        <v>45968</v>
      </c>
      <c r="R107" s="77"/>
      <c r="S107" s="77"/>
      <c r="T107" s="77"/>
      <c r="U107" s="77"/>
      <c r="V107" s="78"/>
      <c r="W107" s="79"/>
      <c r="X107" s="78"/>
      <c r="Y107" s="78"/>
      <c r="Z107" s="78"/>
      <c r="AA107">
        <f>IF(COUNTIF('Call Queue'!$H$6:$H$20,V107)&gt;0,0,IF(AND(ISNUMBER(N107),N107&gt;0),10000000+N107,IF(ISNUMBER(N107*1),IF(N107*1&gt;0,10000000+N107*1,0),0))+IF(ISNUMBER(SEARCH("(",L107)),1000000+IFERROR(VALUE(SUBSTITUTE(SUBSTITUTE(SUBSTITUTE(MID(L107,SEARCH("(",L107)+1,SEARCH(")",L107)-SEARCH("(",L107)-1),"$",""),",","")," ","")),0),0))</f>
        <v>0</v>
      </c>
    </row>
    <row r="108" spans="1:27">
      <c r="A108" s="76">
        <v>45903</v>
      </c>
      <c r="B108" s="77" t="s">
        <v>552</v>
      </c>
      <c r="C108" s="77" t="s">
        <v>553</v>
      </c>
      <c r="D108" s="77" t="s">
        <v>63</v>
      </c>
      <c r="E108" s="77">
        <v>85012</v>
      </c>
      <c r="F108" s="77" t="s">
        <v>310</v>
      </c>
      <c r="G108" s="77" t="s">
        <v>506</v>
      </c>
      <c r="H108" s="77">
        <v>66499647</v>
      </c>
      <c r="I108" s="77" t="s">
        <v>36</v>
      </c>
      <c r="J108" s="77" t="s">
        <v>37</v>
      </c>
      <c r="K108" s="77" t="s">
        <v>37</v>
      </c>
      <c r="L108" s="77" t="s">
        <v>38</v>
      </c>
      <c r="M108" s="77" t="s">
        <v>37</v>
      </c>
      <c r="N108" s="77" t="s">
        <v>37</v>
      </c>
      <c r="O108" s="77" t="s">
        <v>38</v>
      </c>
      <c r="P108" s="77" t="s">
        <v>39</v>
      </c>
      <c r="Q108" s="76">
        <v>45968</v>
      </c>
      <c r="R108" s="77"/>
      <c r="S108" s="77"/>
      <c r="T108" s="77"/>
      <c r="U108" s="77"/>
      <c r="V108" s="78" t="s">
        <v>117</v>
      </c>
      <c r="W108" s="79">
        <v>46067</v>
      </c>
      <c r="X108" s="78" t="s">
        <v>38</v>
      </c>
      <c r="Y108" s="78"/>
      <c r="Z108" s="78"/>
      <c r="AA108">
        <f>IF(COUNTIF('Call Queue'!$H$6:$H$20,V108)&gt;0,0,IF(AND(ISNUMBER(N108),N108&gt;0),10000000+N108,IF(ISNUMBER(N108*1),IF(N108*1&gt;0,10000000+N108*1,0),0))+IF(ISNUMBER(SEARCH("(",L108)),1000000+IFERROR(VALUE(SUBSTITUTE(SUBSTITUTE(SUBSTITUTE(MID(L108,SEARCH("(",L108)+1,SEARCH(")",L108)-SEARCH("(",L108)-1),"$",""),",","")," ","")),0),0))</f>
        <v>0</v>
      </c>
    </row>
    <row r="109" spans="1:27">
      <c r="A109" s="76">
        <v>45903</v>
      </c>
      <c r="B109" s="77" t="s">
        <v>557</v>
      </c>
      <c r="C109" s="77" t="s">
        <v>558</v>
      </c>
      <c r="D109" s="77" t="s">
        <v>63</v>
      </c>
      <c r="E109" s="77">
        <v>85020</v>
      </c>
      <c r="F109" s="77" t="s">
        <v>310</v>
      </c>
      <c r="G109" s="77" t="s">
        <v>506</v>
      </c>
      <c r="H109" s="77">
        <v>4983424677</v>
      </c>
      <c r="I109" s="77" t="s">
        <v>126</v>
      </c>
      <c r="J109" s="77" t="s">
        <v>37</v>
      </c>
      <c r="K109" s="77" t="s">
        <v>37</v>
      </c>
      <c r="L109" s="77" t="s">
        <v>560</v>
      </c>
      <c r="M109" s="77" t="s">
        <v>37</v>
      </c>
      <c r="N109" s="77" t="s">
        <v>37</v>
      </c>
      <c r="O109" s="77" t="s">
        <v>38</v>
      </c>
      <c r="P109" s="77">
        <v>45933</v>
      </c>
      <c r="Q109" s="76">
        <v>45968</v>
      </c>
      <c r="R109" s="77" t="s">
        <v>561</v>
      </c>
      <c r="S109" s="77"/>
      <c r="T109" s="77"/>
      <c r="U109" s="77"/>
      <c r="V109" s="78" t="s">
        <v>5432</v>
      </c>
      <c r="W109" s="79">
        <v>46011</v>
      </c>
      <c r="X109" s="78" t="s">
        <v>38</v>
      </c>
      <c r="Y109" s="78"/>
      <c r="Z109" s="78" t="s">
        <v>5550</v>
      </c>
      <c r="AA109">
        <f>IF(COUNTIF('Call Queue'!$H$6:$H$20,V109)&gt;0,0,IF(AND(ISNUMBER(N109),N109&gt;0),10000000+N109,IF(ISNUMBER(N109*1),IF(N109*1&gt;0,10000000+N109*1,0),0))+IF(ISNUMBER(SEARCH("(",L109)),1000000+IFERROR(VALUE(SUBSTITUTE(SUBSTITUTE(SUBSTITUTE(MID(L109,SEARCH("(",L109)+1,SEARCH(")",L109)-SEARCH("(",L109)-1),"$",""),",","")," ","")),0),0))</f>
        <v>0</v>
      </c>
    </row>
    <row r="110" spans="1:27">
      <c r="A110" s="76">
        <v>45903</v>
      </c>
      <c r="B110" s="77" t="s">
        <v>562</v>
      </c>
      <c r="C110" s="77" t="s">
        <v>363</v>
      </c>
      <c r="D110" s="77" t="s">
        <v>63</v>
      </c>
      <c r="E110" s="77">
        <v>85023</v>
      </c>
      <c r="F110" s="77" t="s">
        <v>563</v>
      </c>
      <c r="G110" s="77" t="s">
        <v>506</v>
      </c>
      <c r="H110" s="77">
        <v>5273951000</v>
      </c>
      <c r="I110" s="77" t="s">
        <v>36</v>
      </c>
      <c r="J110" s="77" t="s">
        <v>37</v>
      </c>
      <c r="K110" s="77" t="s">
        <v>37</v>
      </c>
      <c r="L110" s="77" t="s">
        <v>38</v>
      </c>
      <c r="M110" s="77" t="s">
        <v>37</v>
      </c>
      <c r="N110" s="77" t="s">
        <v>37</v>
      </c>
      <c r="O110" s="77" t="s">
        <v>38</v>
      </c>
      <c r="P110" s="77" t="s">
        <v>39</v>
      </c>
      <c r="Q110" s="76">
        <v>45968</v>
      </c>
      <c r="R110" s="77"/>
      <c r="S110" s="77"/>
      <c r="T110" s="77"/>
      <c r="U110" s="77"/>
      <c r="V110" s="78" t="s">
        <v>117</v>
      </c>
      <c r="W110" s="79">
        <v>46067</v>
      </c>
      <c r="X110" s="78" t="s">
        <v>37</v>
      </c>
      <c r="Y110" s="78"/>
      <c r="Z110" s="78" t="s">
        <v>5455</v>
      </c>
      <c r="AA110">
        <f>IF(COUNTIF('Call Queue'!$H$6:$H$20,V110)&gt;0,0,IF(AND(ISNUMBER(N110),N110&gt;0),10000000+N110,IF(ISNUMBER(N110*1),IF(N110*1&gt;0,10000000+N110*1,0),0))+IF(ISNUMBER(SEARCH("(",L110)),1000000+IFERROR(VALUE(SUBSTITUTE(SUBSTITUTE(SUBSTITUTE(MID(L110,SEARCH("(",L110)+1,SEARCH(")",L110)-SEARCH("(",L110)-1),"$",""),",","")," ","")),0),0))</f>
        <v>0</v>
      </c>
    </row>
    <row r="111" spans="1:27">
      <c r="A111" s="76">
        <v>45903</v>
      </c>
      <c r="B111" s="77" t="s">
        <v>565</v>
      </c>
      <c r="C111" s="77" t="s">
        <v>256</v>
      </c>
      <c r="D111" s="77" t="s">
        <v>63</v>
      </c>
      <c r="E111" s="77">
        <v>85020</v>
      </c>
      <c r="F111" s="77" t="s">
        <v>310</v>
      </c>
      <c r="G111" s="77" t="s">
        <v>506</v>
      </c>
      <c r="H111" s="77">
        <v>2204984346</v>
      </c>
      <c r="I111" s="77" t="s">
        <v>196</v>
      </c>
      <c r="J111" s="77" t="s">
        <v>37</v>
      </c>
      <c r="K111" s="77" t="s">
        <v>37</v>
      </c>
      <c r="L111" s="77" t="s">
        <v>38</v>
      </c>
      <c r="M111" s="77" t="s">
        <v>37</v>
      </c>
      <c r="N111" s="77" t="s">
        <v>37</v>
      </c>
      <c r="O111" s="77" t="s">
        <v>38</v>
      </c>
      <c r="P111" s="77" t="s">
        <v>39</v>
      </c>
      <c r="Q111" s="76">
        <v>45968</v>
      </c>
      <c r="R111" s="77"/>
      <c r="S111" s="77"/>
      <c r="T111" s="77"/>
      <c r="U111" s="77"/>
      <c r="V111" s="78"/>
      <c r="W111" s="79"/>
      <c r="X111" s="78"/>
      <c r="Y111" s="78"/>
      <c r="Z111" s="78"/>
      <c r="AA111">
        <f>IF(COUNTIF('Call Queue'!$H$6:$H$20,V111)&gt;0,0,IF(AND(ISNUMBER(N111),N111&gt;0),10000000+N111,IF(ISNUMBER(N111*1),IF(N111*1&gt;0,10000000+N111*1,0),0))+IF(ISNUMBER(SEARCH("(",L111)),1000000+IFERROR(VALUE(SUBSTITUTE(SUBSTITUTE(SUBSTITUTE(MID(L111,SEARCH("(",L111)+1,SEARCH(")",L111)-SEARCH("(",L111)-1),"$",""),",","")," ","")),0),0))</f>
        <v>0</v>
      </c>
    </row>
    <row r="112" spans="1:27">
      <c r="A112" s="76">
        <v>45903</v>
      </c>
      <c r="B112" s="77" t="s">
        <v>569</v>
      </c>
      <c r="C112" s="77" t="s">
        <v>570</v>
      </c>
      <c r="D112" s="77" t="s">
        <v>202</v>
      </c>
      <c r="E112" s="77">
        <v>85383</v>
      </c>
      <c r="F112" s="77" t="s">
        <v>310</v>
      </c>
      <c r="G112" s="77" t="s">
        <v>506</v>
      </c>
      <c r="H112" s="77">
        <v>5930390000</v>
      </c>
      <c r="I112" s="77" t="s">
        <v>36</v>
      </c>
      <c r="J112" s="77" t="s">
        <v>37</v>
      </c>
      <c r="K112" s="77" t="s">
        <v>37</v>
      </c>
      <c r="L112" s="77" t="s">
        <v>38</v>
      </c>
      <c r="M112" s="77" t="s">
        <v>37</v>
      </c>
      <c r="N112" s="77" t="s">
        <v>37</v>
      </c>
      <c r="O112" s="77" t="s">
        <v>38</v>
      </c>
      <c r="P112" s="77" t="s">
        <v>39</v>
      </c>
      <c r="Q112" s="76">
        <v>45968</v>
      </c>
      <c r="R112" s="77"/>
      <c r="S112" s="77"/>
      <c r="T112" s="77"/>
      <c r="U112" s="77"/>
      <c r="V112" s="78" t="s">
        <v>117</v>
      </c>
      <c r="W112" s="79">
        <v>46067</v>
      </c>
      <c r="X112" s="78" t="s">
        <v>37</v>
      </c>
      <c r="Y112" s="78"/>
      <c r="Z112" s="78" t="s">
        <v>5551</v>
      </c>
      <c r="AA112">
        <f>IF(COUNTIF('Call Queue'!$H$6:$H$20,V112)&gt;0,0,IF(AND(ISNUMBER(N112),N112&gt;0),10000000+N112,IF(ISNUMBER(N112*1),IF(N112*1&gt;0,10000000+N112*1,0),0))+IF(ISNUMBER(SEARCH("(",L112)),1000000+IFERROR(VALUE(SUBSTITUTE(SUBSTITUTE(SUBSTITUTE(MID(L112,SEARCH("(",L112)+1,SEARCH(")",L112)-SEARCH("(",L112)-1),"$",""),",","")," ","")),0),0))</f>
        <v>0</v>
      </c>
    </row>
    <row r="113" spans="1:27">
      <c r="A113" s="76">
        <v>45903</v>
      </c>
      <c r="B113" s="77" t="s">
        <v>572</v>
      </c>
      <c r="C113" s="77" t="s">
        <v>573</v>
      </c>
      <c r="D113" s="77" t="s">
        <v>63</v>
      </c>
      <c r="E113" s="77">
        <v>85024</v>
      </c>
      <c r="F113" s="77" t="s">
        <v>310</v>
      </c>
      <c r="G113" s="77" t="s">
        <v>506</v>
      </c>
      <c r="H113" s="77">
        <v>1742331189</v>
      </c>
      <c r="I113" s="77" t="s">
        <v>196</v>
      </c>
      <c r="J113" s="77" t="s">
        <v>37</v>
      </c>
      <c r="K113" s="77" t="s">
        <v>37</v>
      </c>
      <c r="L113" s="77" t="s">
        <v>38</v>
      </c>
      <c r="M113" s="77" t="s">
        <v>37</v>
      </c>
      <c r="N113" s="77" t="s">
        <v>37</v>
      </c>
      <c r="O113" s="77" t="s">
        <v>38</v>
      </c>
      <c r="P113" s="77" t="s">
        <v>39</v>
      </c>
      <c r="Q113" s="76">
        <v>45968</v>
      </c>
      <c r="R113" s="77"/>
      <c r="S113" s="77"/>
      <c r="T113" s="77"/>
      <c r="U113" s="77"/>
      <c r="V113" s="78" t="s">
        <v>117</v>
      </c>
      <c r="W113" s="79">
        <v>45997</v>
      </c>
      <c r="X113" s="78" t="s">
        <v>38</v>
      </c>
      <c r="Y113" s="78"/>
      <c r="Z113" s="78" t="s">
        <v>5444</v>
      </c>
      <c r="AA113">
        <f>IF(COUNTIF('Call Queue'!$H$6:$H$20,V113)&gt;0,0,IF(AND(ISNUMBER(N113),N113&gt;0),10000000+N113,IF(ISNUMBER(N113*1),IF(N113*1&gt;0,10000000+N113*1,0),0))+IF(ISNUMBER(SEARCH("(",L113)),1000000+IFERROR(VALUE(SUBSTITUTE(SUBSTITUTE(SUBSTITUTE(MID(L113,SEARCH("(",L113)+1,SEARCH(")",L113)-SEARCH("(",L113)-1),"$",""),",","")," ","")),0),0))</f>
        <v>0</v>
      </c>
    </row>
    <row r="114" spans="1:27">
      <c r="A114" s="76">
        <v>45903</v>
      </c>
      <c r="B114" s="77" t="s">
        <v>575</v>
      </c>
      <c r="C114" s="77" t="s">
        <v>134</v>
      </c>
      <c r="D114" s="77" t="s">
        <v>63</v>
      </c>
      <c r="E114" s="77">
        <v>85004</v>
      </c>
      <c r="F114" s="77" t="s">
        <v>310</v>
      </c>
      <c r="G114" s="77" t="s">
        <v>506</v>
      </c>
      <c r="H114" s="77">
        <v>9268845654</v>
      </c>
      <c r="I114" s="77" t="s">
        <v>73</v>
      </c>
      <c r="J114" s="77" t="s">
        <v>37</v>
      </c>
      <c r="K114" s="77" t="s">
        <v>37</v>
      </c>
      <c r="L114" s="77" t="s">
        <v>38</v>
      </c>
      <c r="M114" s="77" t="s">
        <v>37</v>
      </c>
      <c r="N114" s="77" t="s">
        <v>37</v>
      </c>
      <c r="O114" s="77" t="s">
        <v>38</v>
      </c>
      <c r="P114" s="77" t="s">
        <v>39</v>
      </c>
      <c r="Q114" s="76">
        <v>45968</v>
      </c>
      <c r="R114" s="77"/>
      <c r="S114" s="77"/>
      <c r="T114" s="77"/>
      <c r="U114" s="77"/>
      <c r="V114" s="78" t="s">
        <v>117</v>
      </c>
      <c r="W114" s="79">
        <v>46067</v>
      </c>
      <c r="X114" s="78" t="s">
        <v>38</v>
      </c>
      <c r="Y114" s="78"/>
      <c r="Z114" s="78"/>
      <c r="AA114">
        <f>IF(COUNTIF('Call Queue'!$H$6:$H$20,V114)&gt;0,0,IF(AND(ISNUMBER(N114),N114&gt;0),10000000+N114,IF(ISNUMBER(N114*1),IF(N114*1&gt;0,10000000+N114*1,0),0))+IF(ISNUMBER(SEARCH("(",L114)),1000000+IFERROR(VALUE(SUBSTITUTE(SUBSTITUTE(SUBSTITUTE(MID(L114,SEARCH("(",L114)+1,SEARCH(")",L114)-SEARCH("(",L114)-1),"$",""),",","")," ","")),0),0))</f>
        <v>0</v>
      </c>
    </row>
    <row r="115" spans="1:27">
      <c r="A115" s="76">
        <v>45903</v>
      </c>
      <c r="B115" s="77" t="s">
        <v>577</v>
      </c>
      <c r="C115" s="77" t="s">
        <v>578</v>
      </c>
      <c r="D115" s="77" t="s">
        <v>125</v>
      </c>
      <c r="E115" s="77">
        <v>85260</v>
      </c>
      <c r="F115" s="77" t="s">
        <v>579</v>
      </c>
      <c r="G115" s="77" t="s">
        <v>506</v>
      </c>
      <c r="H115" s="77">
        <v>5872670000</v>
      </c>
      <c r="I115" s="77" t="s">
        <v>196</v>
      </c>
      <c r="J115" s="77" t="s">
        <v>37</v>
      </c>
      <c r="K115" s="77" t="s">
        <v>37</v>
      </c>
      <c r="L115" s="77" t="s">
        <v>38</v>
      </c>
      <c r="M115" s="77" t="s">
        <v>37</v>
      </c>
      <c r="N115" s="77" t="s">
        <v>37</v>
      </c>
      <c r="O115" s="77" t="s">
        <v>38</v>
      </c>
      <c r="P115" s="77" t="s">
        <v>39</v>
      </c>
      <c r="Q115" s="76">
        <v>45968</v>
      </c>
      <c r="R115" s="77"/>
      <c r="S115" s="77"/>
      <c r="T115" s="77"/>
      <c r="U115" s="77"/>
      <c r="V115" s="78"/>
      <c r="W115" s="79"/>
      <c r="X115" s="78"/>
      <c r="Y115" s="78"/>
      <c r="Z115" s="78"/>
      <c r="AA115">
        <f>IF(COUNTIF('Call Queue'!$H$6:$H$20,V115)&gt;0,0,IF(AND(ISNUMBER(N115),N115&gt;0),10000000+N115,IF(ISNUMBER(N115*1),IF(N115*1&gt;0,10000000+N115*1,0),0))+IF(ISNUMBER(SEARCH("(",L115)),1000000+IFERROR(VALUE(SUBSTITUTE(SUBSTITUTE(SUBSTITUTE(MID(L115,SEARCH("(",L115)+1,SEARCH(")",L115)-SEARCH("(",L115)-1),"$",""),",","")," ","")),0),0))</f>
        <v>0</v>
      </c>
    </row>
    <row r="116" spans="1:27">
      <c r="A116" s="76">
        <v>45903</v>
      </c>
      <c r="B116" s="77" t="s">
        <v>581</v>
      </c>
      <c r="C116" s="77" t="s">
        <v>550</v>
      </c>
      <c r="D116" s="77" t="s">
        <v>63</v>
      </c>
      <c r="E116" s="77">
        <v>85015</v>
      </c>
      <c r="F116" s="77" t="s">
        <v>310</v>
      </c>
      <c r="G116" s="77" t="s">
        <v>506</v>
      </c>
      <c r="H116" s="77">
        <v>1567963536</v>
      </c>
      <c r="I116" s="77" t="s">
        <v>57</v>
      </c>
      <c r="J116" s="77" t="s">
        <v>37</v>
      </c>
      <c r="K116" s="77" t="s">
        <v>37</v>
      </c>
      <c r="L116" s="77" t="s">
        <v>583</v>
      </c>
      <c r="M116" s="77" t="s">
        <v>37</v>
      </c>
      <c r="N116" s="77" t="s">
        <v>37</v>
      </c>
      <c r="O116" s="77" t="s">
        <v>38</v>
      </c>
      <c r="P116" s="77" t="s">
        <v>39</v>
      </c>
      <c r="Q116" s="76">
        <v>45968</v>
      </c>
      <c r="R116" s="77"/>
      <c r="S116" s="77"/>
      <c r="T116" s="77"/>
      <c r="U116" s="77"/>
      <c r="V116" s="78" t="s">
        <v>5432</v>
      </c>
      <c r="W116" s="79">
        <v>46011</v>
      </c>
      <c r="X116" s="78" t="s">
        <v>38</v>
      </c>
      <c r="Y116" s="78"/>
      <c r="Z116" s="78" t="s">
        <v>5467</v>
      </c>
      <c r="AA116">
        <f>IF(COUNTIF('Call Queue'!$H$6:$H$20,V116)&gt;0,0,IF(AND(ISNUMBER(N116),N116&gt;0),10000000+N116,IF(ISNUMBER(N116*1),IF(N116*1&gt;0,10000000+N116*1,0),0))+IF(ISNUMBER(SEARCH("(",L116)),1000000+IFERROR(VALUE(SUBSTITUTE(SUBSTITUTE(SUBSTITUTE(MID(L116,SEARCH("(",L116)+1,SEARCH(")",L116)-SEARCH("(",L116)-1),"$",""),",","")," ","")),0),0))</f>
        <v>0</v>
      </c>
    </row>
    <row r="117" spans="1:27">
      <c r="A117" s="76">
        <v>45903</v>
      </c>
      <c r="B117" s="77" t="s">
        <v>586</v>
      </c>
      <c r="C117" s="77" t="s">
        <v>587</v>
      </c>
      <c r="D117" s="77" t="s">
        <v>63</v>
      </c>
      <c r="E117" s="77">
        <v>85028</v>
      </c>
      <c r="F117" s="77" t="s">
        <v>588</v>
      </c>
      <c r="G117" s="77" t="s">
        <v>506</v>
      </c>
      <c r="H117" s="77">
        <v>7770645738</v>
      </c>
      <c r="I117" s="77" t="s">
        <v>36</v>
      </c>
      <c r="J117" s="77" t="s">
        <v>37</v>
      </c>
      <c r="K117" s="77" t="s">
        <v>37</v>
      </c>
      <c r="L117" s="77" t="s">
        <v>38</v>
      </c>
      <c r="M117" s="77" t="s">
        <v>37</v>
      </c>
      <c r="N117" s="77" t="s">
        <v>37</v>
      </c>
      <c r="O117" s="77" t="s">
        <v>38</v>
      </c>
      <c r="P117" s="77" t="s">
        <v>39</v>
      </c>
      <c r="Q117" s="76">
        <v>45968</v>
      </c>
      <c r="R117" s="77"/>
      <c r="S117" s="77"/>
      <c r="T117" s="77"/>
      <c r="U117" s="77"/>
      <c r="V117" s="78"/>
      <c r="W117" s="79"/>
      <c r="X117" s="78"/>
      <c r="Y117" s="78"/>
      <c r="Z117" s="78"/>
      <c r="AA117">
        <f>IF(COUNTIF('Call Queue'!$H$6:$H$20,V117)&gt;0,0,IF(AND(ISNUMBER(N117),N117&gt;0),10000000+N117,IF(ISNUMBER(N117*1),IF(N117*1&gt;0,10000000+N117*1,0),0))+IF(ISNUMBER(SEARCH("(",L117)),1000000+IFERROR(VALUE(SUBSTITUTE(SUBSTITUTE(SUBSTITUTE(MID(L117,SEARCH("(",L117)+1,SEARCH(")",L117)-SEARCH("(",L117)-1),"$",""),",","")," ","")),0),0))</f>
        <v>0</v>
      </c>
    </row>
    <row r="118" spans="1:27">
      <c r="A118" s="76">
        <v>45903</v>
      </c>
      <c r="B118" s="77" t="s">
        <v>590</v>
      </c>
      <c r="C118" s="77" t="s">
        <v>591</v>
      </c>
      <c r="D118" s="77" t="s">
        <v>240</v>
      </c>
      <c r="E118" s="77">
        <v>85340</v>
      </c>
      <c r="F118" s="77" t="s">
        <v>31</v>
      </c>
      <c r="G118" s="77" t="s">
        <v>506</v>
      </c>
      <c r="H118" s="77">
        <v>2931588244</v>
      </c>
      <c r="I118" s="77" t="s">
        <v>36</v>
      </c>
      <c r="J118" s="77" t="s">
        <v>37</v>
      </c>
      <c r="K118" s="77" t="s">
        <v>37</v>
      </c>
      <c r="L118" s="77" t="s">
        <v>38</v>
      </c>
      <c r="M118" s="77" t="s">
        <v>37</v>
      </c>
      <c r="N118" s="77" t="s">
        <v>37</v>
      </c>
      <c r="O118" s="77" t="s">
        <v>38</v>
      </c>
      <c r="P118" s="77" t="s">
        <v>39</v>
      </c>
      <c r="Q118" s="76">
        <v>45968</v>
      </c>
      <c r="R118" s="77"/>
      <c r="S118" s="77"/>
      <c r="T118" s="77"/>
      <c r="U118" s="77"/>
      <c r="V118" s="78" t="s">
        <v>117</v>
      </c>
      <c r="W118" s="79">
        <v>46074</v>
      </c>
      <c r="X118" s="78" t="s">
        <v>38</v>
      </c>
      <c r="Y118" s="78"/>
      <c r="Z118" s="78"/>
      <c r="AA118">
        <f>IF(COUNTIF('Call Queue'!$H$6:$H$20,V118)&gt;0,0,IF(AND(ISNUMBER(N118),N118&gt;0),10000000+N118,IF(ISNUMBER(N118*1),IF(N118*1&gt;0,10000000+N118*1,0),0))+IF(ISNUMBER(SEARCH("(",L118)),1000000+IFERROR(VALUE(SUBSTITUTE(SUBSTITUTE(SUBSTITUTE(MID(L118,SEARCH("(",L118)+1,SEARCH(")",L118)-SEARCH("(",L118)-1),"$",""),",","")," ","")),0),0))</f>
        <v>0</v>
      </c>
    </row>
    <row r="119" spans="1:27">
      <c r="A119" s="76">
        <v>45903</v>
      </c>
      <c r="B119" s="77" t="s">
        <v>593</v>
      </c>
      <c r="C119" s="77" t="s">
        <v>594</v>
      </c>
      <c r="D119" s="77" t="s">
        <v>63</v>
      </c>
      <c r="E119" s="77">
        <v>85024</v>
      </c>
      <c r="F119" s="77" t="s">
        <v>310</v>
      </c>
      <c r="G119" s="77" t="s">
        <v>506</v>
      </c>
      <c r="H119" s="77">
        <v>5428778750</v>
      </c>
      <c r="I119" s="77" t="s">
        <v>36</v>
      </c>
      <c r="J119" s="77" t="s">
        <v>37</v>
      </c>
      <c r="K119" s="77" t="s">
        <v>37</v>
      </c>
      <c r="L119" s="77" t="s">
        <v>38</v>
      </c>
      <c r="M119" s="77" t="s">
        <v>37</v>
      </c>
      <c r="N119" s="77" t="s">
        <v>37</v>
      </c>
      <c r="O119" s="77" t="s">
        <v>38</v>
      </c>
      <c r="P119" s="77" t="s">
        <v>39</v>
      </c>
      <c r="Q119" s="76">
        <v>45968</v>
      </c>
      <c r="R119" s="77"/>
      <c r="S119" s="77"/>
      <c r="T119" s="77"/>
      <c r="U119" s="77"/>
      <c r="V119" s="78"/>
      <c r="W119" s="79"/>
      <c r="X119" s="78"/>
      <c r="Y119" s="78"/>
      <c r="Z119" s="78"/>
      <c r="AA119">
        <f>IF(COUNTIF('Call Queue'!$H$6:$H$20,V119)&gt;0,0,IF(AND(ISNUMBER(N119),N119&gt;0),10000000+N119,IF(ISNUMBER(N119*1),IF(N119*1&gt;0,10000000+N119*1,0),0))+IF(ISNUMBER(SEARCH("(",L119)),1000000+IFERROR(VALUE(SUBSTITUTE(SUBSTITUTE(SUBSTITUTE(MID(L119,SEARCH("(",L119)+1,SEARCH(")",L119)-SEARCH("(",L119)-1),"$",""),",","")," ","")),0),0))</f>
        <v>0</v>
      </c>
    </row>
    <row r="120" spans="1:27">
      <c r="A120" s="76">
        <v>45903</v>
      </c>
      <c r="B120" s="77" t="s">
        <v>596</v>
      </c>
      <c r="C120" s="77" t="s">
        <v>597</v>
      </c>
      <c r="D120" s="77" t="s">
        <v>240</v>
      </c>
      <c r="E120" s="77">
        <v>85340</v>
      </c>
      <c r="F120" s="77" t="s">
        <v>598</v>
      </c>
      <c r="G120" s="77" t="s">
        <v>506</v>
      </c>
      <c r="H120" s="77">
        <v>9593560000</v>
      </c>
      <c r="I120" s="77" t="s">
        <v>126</v>
      </c>
      <c r="J120" s="77" t="s">
        <v>37</v>
      </c>
      <c r="K120" s="77" t="s">
        <v>37</v>
      </c>
      <c r="L120" s="77" t="s">
        <v>38</v>
      </c>
      <c r="M120" s="77" t="s">
        <v>37</v>
      </c>
      <c r="N120" s="77" t="s">
        <v>37</v>
      </c>
      <c r="O120" s="77" t="s">
        <v>38</v>
      </c>
      <c r="P120" s="77" t="s">
        <v>39</v>
      </c>
      <c r="Q120" s="76">
        <v>45968</v>
      </c>
      <c r="R120" s="77"/>
      <c r="S120" s="77"/>
      <c r="T120" s="77"/>
      <c r="U120" s="77"/>
      <c r="V120" s="78" t="s">
        <v>117</v>
      </c>
      <c r="W120" s="79">
        <v>46074</v>
      </c>
      <c r="X120" s="78" t="s">
        <v>38</v>
      </c>
      <c r="Y120" s="78"/>
      <c r="Z120" s="78"/>
      <c r="AA120">
        <f>IF(COUNTIF('Call Queue'!$H$6:$H$20,V120)&gt;0,0,IF(AND(ISNUMBER(N120),N120&gt;0),10000000+N120,IF(ISNUMBER(N120*1),IF(N120*1&gt;0,10000000+N120*1,0),0))+IF(ISNUMBER(SEARCH("(",L120)),1000000+IFERROR(VALUE(SUBSTITUTE(SUBSTITUTE(SUBSTITUTE(MID(L120,SEARCH("(",L120)+1,SEARCH(")",L120)-SEARCH("(",L120)-1),"$",""),",","")," ","")),0),0))</f>
        <v>0</v>
      </c>
    </row>
    <row r="121" spans="1:27">
      <c r="A121" s="76">
        <v>45903</v>
      </c>
      <c r="B121" s="77" t="s">
        <v>600</v>
      </c>
      <c r="C121" s="77" t="s">
        <v>601</v>
      </c>
      <c r="D121" s="77" t="s">
        <v>63</v>
      </c>
      <c r="E121" s="77">
        <v>85022</v>
      </c>
      <c r="F121" s="77" t="s">
        <v>310</v>
      </c>
      <c r="G121" s="77" t="s">
        <v>506</v>
      </c>
      <c r="H121" s="77">
        <v>3405320000</v>
      </c>
      <c r="I121" s="77" t="s">
        <v>196</v>
      </c>
      <c r="J121" s="77" t="s">
        <v>37</v>
      </c>
      <c r="K121" s="77" t="s">
        <v>37</v>
      </c>
      <c r="L121" s="77" t="s">
        <v>603</v>
      </c>
      <c r="M121" s="77" t="s">
        <v>37</v>
      </c>
      <c r="N121" s="77" t="s">
        <v>37</v>
      </c>
      <c r="O121" s="77" t="s">
        <v>38</v>
      </c>
      <c r="P121" s="77">
        <v>45933</v>
      </c>
      <c r="Q121" s="76">
        <v>45968</v>
      </c>
      <c r="R121" s="77" t="s">
        <v>561</v>
      </c>
      <c r="S121" s="77"/>
      <c r="T121" s="77"/>
      <c r="U121" s="77"/>
      <c r="V121" s="78" t="s">
        <v>5432</v>
      </c>
      <c r="W121" s="79">
        <v>46011</v>
      </c>
      <c r="X121" s="78" t="s">
        <v>38</v>
      </c>
      <c r="Y121" s="78"/>
      <c r="Z121" s="78" t="s">
        <v>5467</v>
      </c>
      <c r="AA121">
        <f>IF(COUNTIF('Call Queue'!$H$6:$H$20,V121)&gt;0,0,IF(AND(ISNUMBER(N121),N121&gt;0),10000000+N121,IF(ISNUMBER(N121*1),IF(N121*1&gt;0,10000000+N121*1,0),0))+IF(ISNUMBER(SEARCH("(",L121)),1000000+IFERROR(VALUE(SUBSTITUTE(SUBSTITUTE(SUBSTITUTE(MID(L121,SEARCH("(",L121)+1,SEARCH(")",L121)-SEARCH("(",L121)-1),"$",""),",","")," ","")),0),0))</f>
        <v>0</v>
      </c>
    </row>
    <row r="122" spans="1:27">
      <c r="A122" s="76">
        <v>45903</v>
      </c>
      <c r="B122" s="77" t="s">
        <v>604</v>
      </c>
      <c r="C122" s="77" t="s">
        <v>420</v>
      </c>
      <c r="D122" s="77" t="s">
        <v>24</v>
      </c>
      <c r="E122" s="77">
        <v>85308</v>
      </c>
      <c r="F122" s="77" t="s">
        <v>310</v>
      </c>
      <c r="G122" s="77" t="s">
        <v>506</v>
      </c>
      <c r="H122" s="77">
        <v>8043001000</v>
      </c>
      <c r="I122" s="77" t="s">
        <v>73</v>
      </c>
      <c r="J122" s="77" t="s">
        <v>37</v>
      </c>
      <c r="K122" s="77"/>
      <c r="L122" s="77" t="s">
        <v>38</v>
      </c>
      <c r="M122" s="77"/>
      <c r="N122" s="77"/>
      <c r="O122" s="77" t="s">
        <v>38</v>
      </c>
      <c r="P122" s="77" t="s">
        <v>39</v>
      </c>
      <c r="Q122" s="76"/>
      <c r="R122" s="77"/>
      <c r="S122" s="77"/>
      <c r="T122" s="77"/>
      <c r="U122" s="77"/>
      <c r="V122" s="78" t="s">
        <v>117</v>
      </c>
      <c r="W122" s="79">
        <v>46074</v>
      </c>
      <c r="X122" s="78" t="s">
        <v>37</v>
      </c>
      <c r="Y122" s="78" t="s">
        <v>5442</v>
      </c>
      <c r="Z122" s="78" t="s">
        <v>5552</v>
      </c>
      <c r="AA122">
        <f>IF(COUNTIF('Call Queue'!$H$6:$H$20,V122)&gt;0,0,IF(AND(ISNUMBER(N122),N122&gt;0),10000000+N122,IF(ISNUMBER(N122*1),IF(N122*1&gt;0,10000000+N122*1,0),0))+IF(ISNUMBER(SEARCH("(",L122)),1000000+IFERROR(VALUE(SUBSTITUTE(SUBSTITUTE(SUBSTITUTE(MID(L122,SEARCH("(",L122)+1,SEARCH(")",L122)-SEARCH("(",L122)-1),"$",""),",","")," ","")),0),0))</f>
        <v>0</v>
      </c>
    </row>
    <row r="123" spans="1:27">
      <c r="A123" s="76">
        <v>45903</v>
      </c>
      <c r="B123" s="77" t="s">
        <v>605</v>
      </c>
      <c r="C123" s="77" t="s">
        <v>606</v>
      </c>
      <c r="D123" s="77" t="s">
        <v>63</v>
      </c>
      <c r="E123" s="77">
        <v>85022</v>
      </c>
      <c r="F123" s="77" t="s">
        <v>607</v>
      </c>
      <c r="G123" s="77" t="s">
        <v>506</v>
      </c>
      <c r="H123" s="77">
        <v>7477798096</v>
      </c>
      <c r="I123" s="77" t="s">
        <v>57</v>
      </c>
      <c r="J123" s="77" t="s">
        <v>37</v>
      </c>
      <c r="K123" s="77" t="s">
        <v>37</v>
      </c>
      <c r="L123" s="77" t="s">
        <v>609</v>
      </c>
      <c r="M123" s="77" t="s">
        <v>37</v>
      </c>
      <c r="N123" s="77" t="s">
        <v>37</v>
      </c>
      <c r="O123" s="77" t="s">
        <v>38</v>
      </c>
      <c r="P123" s="77">
        <v>45933</v>
      </c>
      <c r="Q123" s="76">
        <v>45968</v>
      </c>
      <c r="R123" s="77" t="s">
        <v>610</v>
      </c>
      <c r="S123" s="77"/>
      <c r="T123" s="77"/>
      <c r="U123" s="77"/>
      <c r="V123" s="78" t="s">
        <v>117</v>
      </c>
      <c r="W123" s="79">
        <v>46053</v>
      </c>
      <c r="X123" s="78" t="s">
        <v>38</v>
      </c>
      <c r="Y123" s="78"/>
      <c r="Z123" s="78"/>
      <c r="AA123">
        <f>IF(COUNTIF('Call Queue'!$H$6:$H$20,V123)&gt;0,0,IF(AND(ISNUMBER(N123),N123&gt;0),10000000+N123,IF(ISNUMBER(N123*1),IF(N123*1&gt;0,10000000+N123*1,0),0))+IF(ISNUMBER(SEARCH("(",L123)),1000000+IFERROR(VALUE(SUBSTITUTE(SUBSTITUTE(SUBSTITUTE(MID(L123,SEARCH("(",L123)+1,SEARCH(")",L123)-SEARCH("(",L123)-1),"$",""),",","")," ","")),0),0))</f>
        <v>0</v>
      </c>
    </row>
    <row r="124" spans="1:27">
      <c r="A124" s="76">
        <v>45903</v>
      </c>
      <c r="B124" s="77" t="s">
        <v>447</v>
      </c>
      <c r="C124" s="77" t="s">
        <v>611</v>
      </c>
      <c r="D124" s="77" t="s">
        <v>504</v>
      </c>
      <c r="E124" s="77">
        <v>86001</v>
      </c>
      <c r="F124" s="77" t="s">
        <v>31</v>
      </c>
      <c r="G124" s="77" t="s">
        <v>506</v>
      </c>
      <c r="H124" s="77">
        <v>2605161000</v>
      </c>
      <c r="I124" s="77" t="s">
        <v>126</v>
      </c>
      <c r="J124" s="77" t="s">
        <v>37</v>
      </c>
      <c r="K124" s="77" t="s">
        <v>37</v>
      </c>
      <c r="L124" s="77" t="s">
        <v>613</v>
      </c>
      <c r="M124" s="77" t="s">
        <v>37</v>
      </c>
      <c r="N124" s="77" t="s">
        <v>37</v>
      </c>
      <c r="O124" s="77" t="s">
        <v>38</v>
      </c>
      <c r="P124" s="77">
        <v>45933</v>
      </c>
      <c r="Q124" s="76">
        <v>45968</v>
      </c>
      <c r="R124" s="77" t="s">
        <v>561</v>
      </c>
      <c r="S124" s="77"/>
      <c r="T124" s="77"/>
      <c r="U124" s="77"/>
      <c r="V124" s="78" t="s">
        <v>117</v>
      </c>
      <c r="W124" s="79">
        <v>46053</v>
      </c>
      <c r="X124" s="78" t="s">
        <v>38</v>
      </c>
      <c r="Y124" s="78"/>
      <c r="Z124" s="78" t="s">
        <v>5456</v>
      </c>
      <c r="AA124">
        <f>IF(COUNTIF('Call Queue'!$H$6:$H$20,V124)&gt;0,0,IF(AND(ISNUMBER(N124),N124&gt;0),10000000+N124,IF(ISNUMBER(N124*1),IF(N124*1&gt;0,10000000+N124*1,0),0))+IF(ISNUMBER(SEARCH("(",L124)),1000000+IFERROR(VALUE(SUBSTITUTE(SUBSTITUTE(SUBSTITUTE(MID(L124,SEARCH("(",L124)+1,SEARCH(")",L124)-SEARCH("(",L124)-1),"$",""),",","")," ","")),0),0))</f>
        <v>0</v>
      </c>
    </row>
    <row r="125" spans="1:27">
      <c r="A125" s="76">
        <v>45903</v>
      </c>
      <c r="B125" s="77" t="s">
        <v>614</v>
      </c>
      <c r="C125" s="77" t="s">
        <v>553</v>
      </c>
      <c r="D125" s="77" t="s">
        <v>63</v>
      </c>
      <c r="E125" s="77">
        <v>85014</v>
      </c>
      <c r="F125" s="77" t="s">
        <v>615</v>
      </c>
      <c r="G125" s="77" t="s">
        <v>506</v>
      </c>
      <c r="H125" s="77">
        <v>9938175305</v>
      </c>
      <c r="I125" s="77" t="s">
        <v>73</v>
      </c>
      <c r="J125" s="77" t="s">
        <v>37</v>
      </c>
      <c r="K125" s="77" t="s">
        <v>37</v>
      </c>
      <c r="L125" s="77" t="s">
        <v>38</v>
      </c>
      <c r="M125" s="77" t="s">
        <v>37</v>
      </c>
      <c r="N125" s="77" t="s">
        <v>37</v>
      </c>
      <c r="O125" s="77" t="s">
        <v>38</v>
      </c>
      <c r="P125" s="77" t="s">
        <v>39</v>
      </c>
      <c r="Q125" s="76">
        <v>45968</v>
      </c>
      <c r="R125" s="77"/>
      <c r="S125" s="77"/>
      <c r="T125" s="77"/>
      <c r="U125" s="77"/>
      <c r="V125" s="78"/>
      <c r="W125" s="79"/>
      <c r="X125" s="78"/>
      <c r="Y125" s="78"/>
      <c r="Z125" s="78"/>
      <c r="AA125">
        <f>IF(COUNTIF('Call Queue'!$H$6:$H$20,V125)&gt;0,0,IF(AND(ISNUMBER(N125),N125&gt;0),10000000+N125,IF(ISNUMBER(N125*1),IF(N125*1&gt;0,10000000+N125*1,0),0))+IF(ISNUMBER(SEARCH("(",L125)),1000000+IFERROR(VALUE(SUBSTITUTE(SUBSTITUTE(SUBSTITUTE(MID(L125,SEARCH("(",L125)+1,SEARCH(")",L125)-SEARCH("(",L125)-1),"$",""),",","")," ","")),0),0))</f>
        <v>0</v>
      </c>
    </row>
    <row r="126" spans="1:27">
      <c r="A126" s="76">
        <v>45903</v>
      </c>
      <c r="B126" s="77" t="s">
        <v>617</v>
      </c>
      <c r="C126" s="77" t="s">
        <v>618</v>
      </c>
      <c r="D126" s="77" t="s">
        <v>619</v>
      </c>
      <c r="E126" s="77">
        <v>85365</v>
      </c>
      <c r="F126" s="77" t="s">
        <v>310</v>
      </c>
      <c r="G126" s="77" t="s">
        <v>506</v>
      </c>
      <c r="H126" s="77">
        <v>1560131000</v>
      </c>
      <c r="I126" s="77" t="s">
        <v>196</v>
      </c>
      <c r="J126" s="77" t="s">
        <v>37</v>
      </c>
      <c r="K126" s="77" t="s">
        <v>37</v>
      </c>
      <c r="L126" s="77" t="s">
        <v>621</v>
      </c>
      <c r="M126" s="77" t="s">
        <v>37</v>
      </c>
      <c r="N126" s="77" t="s">
        <v>37</v>
      </c>
      <c r="O126" s="77" t="s">
        <v>38</v>
      </c>
      <c r="P126" s="77" t="s">
        <v>39</v>
      </c>
      <c r="Q126" s="76">
        <v>45968</v>
      </c>
      <c r="R126" s="77" t="s">
        <v>622</v>
      </c>
      <c r="S126" s="77"/>
      <c r="T126" s="77"/>
      <c r="U126" s="77"/>
      <c r="V126" s="78" t="s">
        <v>5432</v>
      </c>
      <c r="W126" s="79">
        <v>46018</v>
      </c>
      <c r="X126" s="78" t="s">
        <v>37</v>
      </c>
      <c r="Y126" s="78"/>
      <c r="Z126" s="78"/>
      <c r="AA126">
        <f>IF(COUNTIF('Call Queue'!$H$6:$H$20,V126)&gt;0,0,IF(AND(ISNUMBER(N126),N126&gt;0),10000000+N126,IF(ISNUMBER(N126*1),IF(N126*1&gt;0,10000000+N126*1,0),0))+IF(ISNUMBER(SEARCH("(",L126)),1000000+IFERROR(VALUE(SUBSTITUTE(SUBSTITUTE(SUBSTITUTE(MID(L126,SEARCH("(",L126)+1,SEARCH(")",L126)-SEARCH("(",L126)-1),"$",""),",","")," ","")),0),0))</f>
        <v>0</v>
      </c>
    </row>
    <row r="127" spans="1:27">
      <c r="A127" s="76">
        <v>45903</v>
      </c>
      <c r="B127" s="77" t="s">
        <v>625</v>
      </c>
      <c r="C127" s="77" t="s">
        <v>626</v>
      </c>
      <c r="D127" s="77" t="s">
        <v>63</v>
      </c>
      <c r="E127" s="77">
        <v>85085</v>
      </c>
      <c r="F127" s="77" t="s">
        <v>627</v>
      </c>
      <c r="G127" s="77" t="s">
        <v>506</v>
      </c>
      <c r="H127" s="77">
        <v>9679340000</v>
      </c>
      <c r="I127" s="77" t="s">
        <v>36</v>
      </c>
      <c r="J127" s="77" t="s">
        <v>37</v>
      </c>
      <c r="K127" s="77" t="s">
        <v>37</v>
      </c>
      <c r="L127" s="77" t="s">
        <v>38</v>
      </c>
      <c r="M127" s="77" t="s">
        <v>37</v>
      </c>
      <c r="N127" s="77" t="s">
        <v>37</v>
      </c>
      <c r="O127" s="77" t="s">
        <v>38</v>
      </c>
      <c r="P127" s="77" t="s">
        <v>39</v>
      </c>
      <c r="Q127" s="76">
        <v>45968</v>
      </c>
      <c r="R127" s="77"/>
      <c r="S127" s="77"/>
      <c r="T127" s="77"/>
      <c r="U127" s="77"/>
      <c r="V127" s="78"/>
      <c r="W127" s="79"/>
      <c r="X127" s="78"/>
      <c r="Y127" s="78"/>
      <c r="Z127" s="78"/>
      <c r="AA127">
        <f>IF(COUNTIF('Call Queue'!$H$6:$H$20,V127)&gt;0,0,IF(AND(ISNUMBER(N127),N127&gt;0),10000000+N127,IF(ISNUMBER(N127*1),IF(N127*1&gt;0,10000000+N127*1,0),0))+IF(ISNUMBER(SEARCH("(",L127)),1000000+IFERROR(VALUE(SUBSTITUTE(SUBSTITUTE(SUBSTITUTE(MID(L127,SEARCH("(",L127)+1,SEARCH(")",L127)-SEARCH("(",L127)-1),"$",""),",","")," ","")),0),0))</f>
        <v>0</v>
      </c>
    </row>
    <row r="128" spans="1:27">
      <c r="A128" s="76">
        <v>45903</v>
      </c>
      <c r="B128" s="77" t="s">
        <v>629</v>
      </c>
      <c r="C128" s="77" t="s">
        <v>630</v>
      </c>
      <c r="D128" s="77" t="s">
        <v>523</v>
      </c>
      <c r="E128" s="77">
        <v>85392</v>
      </c>
      <c r="F128" s="77" t="s">
        <v>631</v>
      </c>
      <c r="G128" s="77" t="s">
        <v>506</v>
      </c>
      <c r="H128" s="77">
        <v>5347487924</v>
      </c>
      <c r="I128" s="77" t="s">
        <v>126</v>
      </c>
      <c r="J128" s="77" t="s">
        <v>37</v>
      </c>
      <c r="K128" s="77" t="s">
        <v>37</v>
      </c>
      <c r="L128" s="77" t="s">
        <v>38</v>
      </c>
      <c r="M128" s="77" t="s">
        <v>37</v>
      </c>
      <c r="N128" s="77" t="s">
        <v>37</v>
      </c>
      <c r="O128" s="77" t="s">
        <v>38</v>
      </c>
      <c r="P128" s="77" t="s">
        <v>39</v>
      </c>
      <c r="Q128" s="76">
        <v>45968</v>
      </c>
      <c r="R128" s="77"/>
      <c r="S128" s="77"/>
      <c r="T128" s="77"/>
      <c r="U128" s="77"/>
      <c r="V128" s="78" t="s">
        <v>117</v>
      </c>
      <c r="W128" s="79">
        <v>46074</v>
      </c>
      <c r="X128" s="78" t="s">
        <v>38</v>
      </c>
      <c r="Y128" s="78"/>
      <c r="Z128" s="78"/>
      <c r="AA128">
        <f>IF(COUNTIF('Call Queue'!$H$6:$H$20,V128)&gt;0,0,IF(AND(ISNUMBER(N128),N128&gt;0),10000000+N128,IF(ISNUMBER(N128*1),IF(N128*1&gt;0,10000000+N128*1,0),0))+IF(ISNUMBER(SEARCH("(",L128)),1000000+IFERROR(VALUE(SUBSTITUTE(SUBSTITUTE(SUBSTITUTE(MID(L128,SEARCH("(",L128)+1,SEARCH(")",L128)-SEARCH("(",L128)-1),"$",""),",","")," ","")),0),0))</f>
        <v>0</v>
      </c>
    </row>
    <row r="129" spans="1:27">
      <c r="A129" s="76">
        <v>45903</v>
      </c>
      <c r="B129" s="77" t="s">
        <v>636</v>
      </c>
      <c r="C129" s="77" t="s">
        <v>529</v>
      </c>
      <c r="D129" s="77" t="s">
        <v>504</v>
      </c>
      <c r="E129" s="77">
        <v>86001</v>
      </c>
      <c r="F129" s="77" t="s">
        <v>310</v>
      </c>
      <c r="G129" s="77" t="s">
        <v>506</v>
      </c>
      <c r="H129" s="77">
        <v>9687504618</v>
      </c>
      <c r="I129" s="77" t="s">
        <v>73</v>
      </c>
      <c r="J129" s="77" t="s">
        <v>37</v>
      </c>
      <c r="K129" s="77" t="s">
        <v>37</v>
      </c>
      <c r="L129" s="77" t="s">
        <v>38</v>
      </c>
      <c r="M129" s="77" t="s">
        <v>37</v>
      </c>
      <c r="N129" s="77" t="s">
        <v>37</v>
      </c>
      <c r="O129" s="77" t="s">
        <v>38</v>
      </c>
      <c r="P129" s="77" t="s">
        <v>39</v>
      </c>
      <c r="Q129" s="76">
        <v>45968</v>
      </c>
      <c r="R129" s="77"/>
      <c r="S129" s="77"/>
      <c r="T129" s="77"/>
      <c r="U129" s="77"/>
      <c r="V129" s="78"/>
      <c r="W129" s="79"/>
      <c r="X129" s="78"/>
      <c r="Y129" s="78"/>
      <c r="Z129" s="78"/>
      <c r="AA129">
        <f>IF(COUNTIF('Call Queue'!$H$6:$H$20,V129)&gt;0,0,IF(AND(ISNUMBER(N129),N129&gt;0),10000000+N129,IF(ISNUMBER(N129*1),IF(N129*1&gt;0,10000000+N129*1,0),0))+IF(ISNUMBER(SEARCH("(",L129)),1000000+IFERROR(VALUE(SUBSTITUTE(SUBSTITUTE(SUBSTITUTE(MID(L129,SEARCH("(",L129)+1,SEARCH(")",L129)-SEARCH("(",L129)-1),"$",""),",","")," ","")),0),0))</f>
        <v>0</v>
      </c>
    </row>
    <row r="130" spans="1:27">
      <c r="A130" s="76">
        <v>45903</v>
      </c>
      <c r="B130" s="77" t="s">
        <v>638</v>
      </c>
      <c r="C130" s="77" t="s">
        <v>639</v>
      </c>
      <c r="D130" s="77" t="s">
        <v>202</v>
      </c>
      <c r="E130" s="77">
        <v>85383</v>
      </c>
      <c r="F130" s="77" t="s">
        <v>310</v>
      </c>
      <c r="G130" s="77" t="s">
        <v>506</v>
      </c>
      <c r="H130" s="77">
        <v>4557041000</v>
      </c>
      <c r="I130" s="77" t="s">
        <v>196</v>
      </c>
      <c r="J130" s="77" t="s">
        <v>37</v>
      </c>
      <c r="K130" s="77" t="s">
        <v>37</v>
      </c>
      <c r="L130" s="77" t="s">
        <v>641</v>
      </c>
      <c r="M130" s="77" t="s">
        <v>37</v>
      </c>
      <c r="N130" s="77" t="s">
        <v>37</v>
      </c>
      <c r="O130" s="77" t="s">
        <v>38</v>
      </c>
      <c r="P130" s="77">
        <v>45933</v>
      </c>
      <c r="Q130" s="76">
        <v>45968</v>
      </c>
      <c r="R130" s="77" t="s">
        <v>561</v>
      </c>
      <c r="S130" s="77"/>
      <c r="T130" s="77"/>
      <c r="U130" s="77"/>
      <c r="V130" s="78" t="s">
        <v>117</v>
      </c>
      <c r="W130" s="79">
        <v>46032</v>
      </c>
      <c r="X130" s="78" t="s">
        <v>37</v>
      </c>
      <c r="Y130" s="78" t="s">
        <v>5442</v>
      </c>
      <c r="Z130" s="78" t="s">
        <v>5434</v>
      </c>
      <c r="AA130">
        <f>IF(COUNTIF('Call Queue'!$H$6:$H$20,V130)&gt;0,0,IF(AND(ISNUMBER(N130),N130&gt;0),10000000+N130,IF(ISNUMBER(N130*1),IF(N130*1&gt;0,10000000+N130*1,0),0))+IF(ISNUMBER(SEARCH("(",L130)),1000000+IFERROR(VALUE(SUBSTITUTE(SUBSTITUTE(SUBSTITUTE(MID(L130,SEARCH("(",L130)+1,SEARCH(")",L130)-SEARCH("(",L130)-1),"$",""),",","")," ","")),0),0))</f>
        <v>0</v>
      </c>
    </row>
    <row r="131" spans="1:27">
      <c r="A131" s="76">
        <v>45903</v>
      </c>
      <c r="B131" s="77" t="s">
        <v>642</v>
      </c>
      <c r="C131" s="77" t="s">
        <v>643</v>
      </c>
      <c r="D131" s="77" t="s">
        <v>125</v>
      </c>
      <c r="E131" s="77">
        <v>85255</v>
      </c>
      <c r="F131" s="77" t="s">
        <v>310</v>
      </c>
      <c r="G131" s="77" t="s">
        <v>506</v>
      </c>
      <c r="H131" s="77">
        <v>3105621000</v>
      </c>
      <c r="I131" s="77" t="s">
        <v>36</v>
      </c>
      <c r="J131" s="77" t="s">
        <v>37</v>
      </c>
      <c r="K131" s="77" t="s">
        <v>37</v>
      </c>
      <c r="L131" s="77" t="s">
        <v>38</v>
      </c>
      <c r="M131" s="77" t="s">
        <v>37</v>
      </c>
      <c r="N131" s="77" t="s">
        <v>37</v>
      </c>
      <c r="O131" s="77" t="s">
        <v>38</v>
      </c>
      <c r="P131" s="77" t="s">
        <v>39</v>
      </c>
      <c r="Q131" s="76">
        <v>45968</v>
      </c>
      <c r="R131" s="77"/>
      <c r="S131" s="77"/>
      <c r="T131" s="77"/>
      <c r="U131" s="77"/>
      <c r="V131" s="78"/>
      <c r="W131" s="79"/>
      <c r="X131" s="78"/>
      <c r="Y131" s="78"/>
      <c r="Z131" s="78"/>
      <c r="AA131">
        <f>IF(COUNTIF('Call Queue'!$H$6:$H$20,V131)&gt;0,0,IF(AND(ISNUMBER(N131),N131&gt;0),10000000+N131,IF(ISNUMBER(N131*1),IF(N131*1&gt;0,10000000+N131*1,0),0))+IF(ISNUMBER(SEARCH("(",L131)),1000000+IFERROR(VALUE(SUBSTITUTE(SUBSTITUTE(SUBSTITUTE(MID(L131,SEARCH("(",L131)+1,SEARCH(")",L131)-SEARCH("(",L131)-1),"$",""),",","")," ","")),0),0))</f>
        <v>0</v>
      </c>
    </row>
    <row r="132" spans="1:27">
      <c r="A132" s="76">
        <v>45903</v>
      </c>
      <c r="B132" s="77" t="s">
        <v>645</v>
      </c>
      <c r="C132" s="77" t="s">
        <v>646</v>
      </c>
      <c r="D132" s="77" t="s">
        <v>370</v>
      </c>
      <c r="E132" s="77">
        <v>85225</v>
      </c>
      <c r="F132" s="77" t="s">
        <v>310</v>
      </c>
      <c r="G132" s="77" t="s">
        <v>506</v>
      </c>
      <c r="H132" s="77" t="s">
        <v>209</v>
      </c>
      <c r="I132" s="77"/>
      <c r="J132" s="77"/>
      <c r="K132" s="77"/>
      <c r="L132" s="77"/>
      <c r="M132" s="77"/>
      <c r="N132" s="77"/>
      <c r="O132" s="77"/>
      <c r="P132" s="77"/>
      <c r="Q132" s="76"/>
      <c r="R132" s="77"/>
      <c r="S132" s="77"/>
      <c r="T132" s="77"/>
      <c r="U132" s="77"/>
      <c r="V132" s="78"/>
      <c r="W132" s="79"/>
      <c r="X132" s="78"/>
      <c r="Y132" s="78"/>
      <c r="Z132" s="78"/>
      <c r="AA132">
        <f>IF(COUNTIF('Call Queue'!$H$6:$H$20,V132)&gt;0,0,IF(AND(ISNUMBER(N132),N132&gt;0),10000000+N132,IF(ISNUMBER(N132*1),IF(N132*1&gt;0,10000000+N132*1,0),0))+IF(ISNUMBER(SEARCH("(",L132)),1000000+IFERROR(VALUE(SUBSTITUTE(SUBSTITUTE(SUBSTITUTE(MID(L132,SEARCH("(",L132)+1,SEARCH(")",L132)-SEARCH("(",L132)-1),"$",""),",","")," ","")),0),0))</f>
        <v>0</v>
      </c>
    </row>
    <row r="133" spans="1:27">
      <c r="A133" s="76">
        <v>45903</v>
      </c>
      <c r="B133" s="77" t="s">
        <v>647</v>
      </c>
      <c r="C133" s="77" t="s">
        <v>648</v>
      </c>
      <c r="D133" s="77" t="s">
        <v>63</v>
      </c>
      <c r="E133" s="77">
        <v>85022</v>
      </c>
      <c r="F133" s="77" t="s">
        <v>310</v>
      </c>
      <c r="G133" s="77" t="s">
        <v>506</v>
      </c>
      <c r="H133" s="77">
        <v>49371600000</v>
      </c>
      <c r="I133" s="77" t="s">
        <v>73</v>
      </c>
      <c r="J133" s="77" t="s">
        <v>37</v>
      </c>
      <c r="K133" s="77" t="s">
        <v>37</v>
      </c>
      <c r="L133" s="77" t="s">
        <v>38</v>
      </c>
      <c r="M133" s="77" t="s">
        <v>37</v>
      </c>
      <c r="N133" s="77" t="s">
        <v>37</v>
      </c>
      <c r="O133" s="77" t="s">
        <v>38</v>
      </c>
      <c r="P133" s="77" t="s">
        <v>39</v>
      </c>
      <c r="Q133" s="76">
        <v>45968</v>
      </c>
      <c r="R133" s="77"/>
      <c r="S133" s="77"/>
      <c r="T133" s="77"/>
      <c r="U133" s="77"/>
      <c r="V133" s="78" t="s">
        <v>117</v>
      </c>
      <c r="W133" s="79">
        <v>46074</v>
      </c>
      <c r="X133" s="78" t="s">
        <v>38</v>
      </c>
      <c r="Y133" s="78"/>
      <c r="Z133" s="78"/>
      <c r="AA133">
        <f>IF(COUNTIF('Call Queue'!$H$6:$H$20,V133)&gt;0,0,IF(AND(ISNUMBER(N133),N133&gt;0),10000000+N133,IF(ISNUMBER(N133*1),IF(N133*1&gt;0,10000000+N133*1,0),0))+IF(ISNUMBER(SEARCH("(",L133)),1000000+IFERROR(VALUE(SUBSTITUTE(SUBSTITUTE(SUBSTITUTE(MID(L133,SEARCH("(",L133)+1,SEARCH(")",L133)-SEARCH("(",L133)-1),"$",""),",","")," ","")),0),0))</f>
        <v>0</v>
      </c>
    </row>
    <row r="134" spans="1:27">
      <c r="A134" s="76">
        <v>45903</v>
      </c>
      <c r="B134" s="77" t="s">
        <v>650</v>
      </c>
      <c r="C134" s="77" t="s">
        <v>117</v>
      </c>
      <c r="D134" s="77" t="s">
        <v>169</v>
      </c>
      <c r="E134" s="77">
        <v>85338</v>
      </c>
      <c r="F134" s="77" t="s">
        <v>651</v>
      </c>
      <c r="G134" s="77" t="s">
        <v>506</v>
      </c>
      <c r="H134" s="77" t="s">
        <v>209</v>
      </c>
      <c r="I134" s="77"/>
      <c r="J134" s="77"/>
      <c r="K134" s="77"/>
      <c r="L134" s="77"/>
      <c r="M134" s="77"/>
      <c r="N134" s="77"/>
      <c r="O134" s="77"/>
      <c r="P134" s="77"/>
      <c r="Q134" s="76"/>
      <c r="R134" s="77"/>
      <c r="S134" s="77"/>
      <c r="T134" s="77"/>
      <c r="U134" s="77"/>
      <c r="V134" s="78"/>
      <c r="W134" s="79"/>
      <c r="X134" s="78"/>
      <c r="Y134" s="78"/>
      <c r="Z134" s="78"/>
      <c r="AA134">
        <f>IF(COUNTIF('Call Queue'!$H$6:$H$20,V134)&gt;0,0,IF(AND(ISNUMBER(N134),N134&gt;0),10000000+N134,IF(ISNUMBER(N134*1),IF(N134*1&gt;0,10000000+N134*1,0),0))+IF(ISNUMBER(SEARCH("(",L134)),1000000+IFERROR(VALUE(SUBSTITUTE(SUBSTITUTE(SUBSTITUTE(MID(L134,SEARCH("(",L134)+1,SEARCH(")",L134)-SEARCH("(",L134)-1),"$",""),",","")," ","")),0),0))</f>
        <v>0</v>
      </c>
    </row>
    <row r="135" spans="1:27">
      <c r="A135" s="76">
        <v>45903</v>
      </c>
      <c r="B135" s="77" t="s">
        <v>652</v>
      </c>
      <c r="C135" s="77" t="s">
        <v>653</v>
      </c>
      <c r="D135" s="77" t="s">
        <v>112</v>
      </c>
      <c r="E135" s="77">
        <v>85388</v>
      </c>
      <c r="F135" s="77" t="s">
        <v>25</v>
      </c>
      <c r="G135" s="77" t="s">
        <v>506</v>
      </c>
      <c r="H135" s="77" t="s">
        <v>209</v>
      </c>
      <c r="I135" s="77"/>
      <c r="J135" s="77"/>
      <c r="K135" s="77"/>
      <c r="L135" s="77"/>
      <c r="M135" s="77"/>
      <c r="N135" s="77"/>
      <c r="O135" s="77"/>
      <c r="P135" s="77"/>
      <c r="Q135" s="76"/>
      <c r="R135" s="77"/>
      <c r="S135" s="77"/>
      <c r="T135" s="77"/>
      <c r="U135" s="77"/>
      <c r="V135" s="78"/>
      <c r="W135" s="79"/>
      <c r="X135" s="78"/>
      <c r="Y135" s="78"/>
      <c r="Z135" s="78"/>
      <c r="AA135">
        <f>IF(COUNTIF('Call Queue'!$H$6:$H$20,V135)&gt;0,0,IF(AND(ISNUMBER(N135),N135&gt;0),10000000+N135,IF(ISNUMBER(N135*1),IF(N135*1&gt;0,10000000+N135*1,0),0))+IF(ISNUMBER(SEARCH("(",L135)),1000000+IFERROR(VALUE(SUBSTITUTE(SUBSTITUTE(SUBSTITUTE(MID(L135,SEARCH("(",L135)+1,SEARCH(")",L135)-SEARCH("(",L135)-1),"$",""),",","")," ","")),0),0))</f>
        <v>0</v>
      </c>
    </row>
    <row r="136" spans="1:27">
      <c r="A136" s="76">
        <v>45903</v>
      </c>
      <c r="B136" s="77" t="s">
        <v>654</v>
      </c>
      <c r="C136" s="77" t="s">
        <v>655</v>
      </c>
      <c r="D136" s="77" t="s">
        <v>30</v>
      </c>
      <c r="E136" s="77">
        <v>85254</v>
      </c>
      <c r="F136" s="77" t="s">
        <v>310</v>
      </c>
      <c r="G136" s="77" t="s">
        <v>506</v>
      </c>
      <c r="H136" s="77">
        <v>8701977261</v>
      </c>
      <c r="I136" s="77" t="s">
        <v>126</v>
      </c>
      <c r="J136" s="77" t="s">
        <v>37</v>
      </c>
      <c r="K136" s="77" t="s">
        <v>37</v>
      </c>
      <c r="L136" s="77" t="s">
        <v>38</v>
      </c>
      <c r="M136" s="77" t="s">
        <v>38</v>
      </c>
      <c r="N136" s="77">
        <v>664.06</v>
      </c>
      <c r="O136" s="77" t="s">
        <v>38</v>
      </c>
      <c r="P136" s="77"/>
      <c r="Q136" s="76">
        <v>45968</v>
      </c>
      <c r="R136" s="77"/>
      <c r="S136" s="77"/>
      <c r="T136" s="77"/>
      <c r="U136" s="77"/>
      <c r="V136" s="78" t="s">
        <v>117</v>
      </c>
      <c r="W136" s="79">
        <v>46018</v>
      </c>
      <c r="X136" s="78" t="s">
        <v>38</v>
      </c>
      <c r="Y136" s="78"/>
      <c r="Z136" s="78"/>
      <c r="AA136">
        <f>IF(COUNTIF('Call Queue'!$H$6:$H$20,V136)&gt;0,0,IF(AND(ISNUMBER(N136),N136&gt;0),10000000+N136,IF(ISNUMBER(N136*1),IF(N136*1&gt;0,10000000+N136*1,0),0))+IF(ISNUMBER(SEARCH("(",L136)),1000000+IFERROR(VALUE(SUBSTITUTE(SUBSTITUTE(SUBSTITUTE(MID(L136,SEARCH("(",L136)+1,SEARCH(")",L136)-SEARCH("(",L136)-1),"$",""),",","")," ","")),0),0))</f>
        <v>0</v>
      </c>
    </row>
    <row r="137" spans="1:27">
      <c r="A137" s="76">
        <v>45903</v>
      </c>
      <c r="B137" s="77" t="s">
        <v>665</v>
      </c>
      <c r="C137" s="77" t="s">
        <v>666</v>
      </c>
      <c r="D137" s="77" t="s">
        <v>169</v>
      </c>
      <c r="E137" s="77">
        <v>85338</v>
      </c>
      <c r="F137" s="77" t="s">
        <v>667</v>
      </c>
      <c r="G137" s="77" t="s">
        <v>506</v>
      </c>
      <c r="H137" s="77">
        <v>5411325149</v>
      </c>
      <c r="I137" s="77" t="s">
        <v>57</v>
      </c>
      <c r="J137" s="77" t="s">
        <v>38</v>
      </c>
      <c r="K137" s="77" t="s">
        <v>37</v>
      </c>
      <c r="L137" s="77" t="s">
        <v>669</v>
      </c>
      <c r="M137" s="77" t="s">
        <v>38</v>
      </c>
      <c r="N137" s="77">
        <v>3681.83</v>
      </c>
      <c r="O137" s="77" t="s">
        <v>38</v>
      </c>
      <c r="P137" s="77">
        <v>45933</v>
      </c>
      <c r="Q137" s="76">
        <v>45968</v>
      </c>
      <c r="R137" s="77" t="s">
        <v>5425</v>
      </c>
      <c r="S137" s="77"/>
      <c r="T137" s="77"/>
      <c r="U137" s="77"/>
      <c r="V137" s="78" t="s">
        <v>117</v>
      </c>
      <c r="W137" s="79">
        <v>46025</v>
      </c>
      <c r="X137" s="78" t="s">
        <v>38</v>
      </c>
      <c r="Y137" s="78"/>
      <c r="Z137" s="78"/>
      <c r="AA137">
        <f>IF(COUNTIF('Call Queue'!$H$6:$H$20,V137)&gt;0,0,IF(AND(ISNUMBER(N137),N137&gt;0),10000000+N137,IF(ISNUMBER(N137*1),IF(N137*1&gt;0,10000000+N137*1,0),0))+IF(ISNUMBER(SEARCH("(",L137)),1000000+IFERROR(VALUE(SUBSTITUTE(SUBSTITUTE(SUBSTITUTE(MID(L137,SEARCH("(",L137)+1,SEARCH(")",L137)-SEARCH("(",L137)-1),"$",""),",","")," ","")),0),0))</f>
        <v>0</v>
      </c>
    </row>
    <row r="138" spans="1:27">
      <c r="A138" s="76">
        <v>45903</v>
      </c>
      <c r="B138" s="77" t="s">
        <v>671</v>
      </c>
      <c r="C138" s="77" t="s">
        <v>376</v>
      </c>
      <c r="D138" s="77" t="s">
        <v>63</v>
      </c>
      <c r="E138" s="77">
        <v>85083</v>
      </c>
      <c r="F138" s="77" t="s">
        <v>310</v>
      </c>
      <c r="G138" s="77" t="s">
        <v>506</v>
      </c>
      <c r="H138" s="77" t="s">
        <v>209</v>
      </c>
      <c r="I138" s="77"/>
      <c r="J138" s="77"/>
      <c r="K138" s="77"/>
      <c r="L138" s="77"/>
      <c r="M138" s="77"/>
      <c r="N138" s="77"/>
      <c r="O138" s="77"/>
      <c r="P138" s="77"/>
      <c r="Q138" s="76"/>
      <c r="R138" s="77"/>
      <c r="S138" s="77"/>
      <c r="T138" s="77"/>
      <c r="U138" s="77"/>
      <c r="V138" s="78"/>
      <c r="W138" s="79"/>
      <c r="X138" s="78"/>
      <c r="Y138" s="78"/>
      <c r="Z138" s="78"/>
      <c r="AA138">
        <f>IF(COUNTIF('Call Queue'!$H$6:$H$20,V138)&gt;0,0,IF(AND(ISNUMBER(N138),N138&gt;0),10000000+N138,IF(ISNUMBER(N138*1),IF(N138*1&gt;0,10000000+N138*1,0),0))+IF(ISNUMBER(SEARCH("(",L138)),1000000+IFERROR(VALUE(SUBSTITUTE(SUBSTITUTE(SUBSTITUTE(MID(L138,SEARCH("(",L138)+1,SEARCH(")",L138)-SEARCH("(",L138)-1),"$",""),",","")," ","")),0),0))</f>
        <v>0</v>
      </c>
    </row>
    <row r="139" spans="1:27">
      <c r="A139" s="76">
        <v>45903</v>
      </c>
      <c r="B139" s="77" t="s">
        <v>672</v>
      </c>
      <c r="C139" s="77" t="s">
        <v>673</v>
      </c>
      <c r="D139" s="77" t="s">
        <v>202</v>
      </c>
      <c r="E139" s="77">
        <v>85382</v>
      </c>
      <c r="F139" s="77" t="s">
        <v>31</v>
      </c>
      <c r="G139" s="77" t="s">
        <v>506</v>
      </c>
      <c r="H139" s="77">
        <v>4664521000</v>
      </c>
      <c r="I139" s="77" t="s">
        <v>73</v>
      </c>
      <c r="J139" s="77" t="s">
        <v>37</v>
      </c>
      <c r="K139" s="77" t="s">
        <v>37</v>
      </c>
      <c r="L139" s="77" t="s">
        <v>38</v>
      </c>
      <c r="M139" s="77" t="s">
        <v>37</v>
      </c>
      <c r="N139" s="77" t="s">
        <v>37</v>
      </c>
      <c r="O139" s="77" t="s">
        <v>38</v>
      </c>
      <c r="P139" s="77" t="s">
        <v>39</v>
      </c>
      <c r="Q139" s="76">
        <v>45968</v>
      </c>
      <c r="R139" s="77"/>
      <c r="S139" s="77"/>
      <c r="T139" s="77"/>
      <c r="U139" s="77"/>
      <c r="V139" s="78"/>
      <c r="W139" s="79"/>
      <c r="X139" s="78"/>
      <c r="Y139" s="78"/>
      <c r="Z139" s="78"/>
      <c r="AA139">
        <f>IF(COUNTIF('Call Queue'!$H$6:$H$20,V139)&gt;0,0,IF(AND(ISNUMBER(N139),N139&gt;0),10000000+N139,IF(ISNUMBER(N139*1),IF(N139*1&gt;0,10000000+N139*1,0),0))+IF(ISNUMBER(SEARCH("(",L139)),1000000+IFERROR(VALUE(SUBSTITUTE(SUBSTITUTE(SUBSTITUTE(MID(L139,SEARCH("(",L139)+1,SEARCH(")",L139)-SEARCH("(",L139)-1),"$",""),",","")," ","")),0),0))</f>
        <v>0</v>
      </c>
    </row>
    <row r="140" spans="1:27">
      <c r="A140" s="76">
        <v>45903</v>
      </c>
      <c r="B140" s="77" t="s">
        <v>675</v>
      </c>
      <c r="C140" s="77" t="s">
        <v>676</v>
      </c>
      <c r="D140" s="77" t="s">
        <v>523</v>
      </c>
      <c r="E140" s="77">
        <v>85392</v>
      </c>
      <c r="F140" s="77" t="s">
        <v>677</v>
      </c>
      <c r="G140" s="77" t="s">
        <v>506</v>
      </c>
      <c r="H140" s="77">
        <v>1037080000</v>
      </c>
      <c r="I140" s="77" t="s">
        <v>36</v>
      </c>
      <c r="J140" s="77" t="s">
        <v>37</v>
      </c>
      <c r="K140" s="77" t="s">
        <v>37</v>
      </c>
      <c r="L140" s="77" t="s">
        <v>38</v>
      </c>
      <c r="M140" s="77" t="s">
        <v>37</v>
      </c>
      <c r="N140" s="77" t="s">
        <v>37</v>
      </c>
      <c r="O140" s="77" t="s">
        <v>38</v>
      </c>
      <c r="P140" s="77" t="s">
        <v>39</v>
      </c>
      <c r="Q140" s="76">
        <v>45968</v>
      </c>
      <c r="R140" s="77"/>
      <c r="S140" s="77"/>
      <c r="T140" s="77"/>
      <c r="U140" s="77"/>
      <c r="V140" s="78" t="s">
        <v>117</v>
      </c>
      <c r="W140" s="79">
        <v>46074</v>
      </c>
      <c r="X140" s="78" t="s">
        <v>37</v>
      </c>
      <c r="Y140" s="78" t="s">
        <v>5442</v>
      </c>
      <c r="Z140" s="78"/>
      <c r="AA140">
        <f>IF(COUNTIF('Call Queue'!$H$6:$H$20,V140)&gt;0,0,IF(AND(ISNUMBER(N140),N140&gt;0),10000000+N140,IF(ISNUMBER(N140*1),IF(N140*1&gt;0,10000000+N140*1,0),0))+IF(ISNUMBER(SEARCH("(",L140)),1000000+IFERROR(VALUE(SUBSTITUTE(SUBSTITUTE(SUBSTITUTE(MID(L140,SEARCH("(",L140)+1,SEARCH(")",L140)-SEARCH("(",L140)-1),"$",""),",","")," ","")),0),0))</f>
        <v>0</v>
      </c>
    </row>
    <row r="141" spans="1:27">
      <c r="A141" s="76">
        <v>45903</v>
      </c>
      <c r="B141" s="77" t="s">
        <v>679</v>
      </c>
      <c r="C141" s="77" t="s">
        <v>680</v>
      </c>
      <c r="D141" s="77" t="s">
        <v>202</v>
      </c>
      <c r="E141" s="77">
        <v>85383</v>
      </c>
      <c r="F141" s="77" t="s">
        <v>310</v>
      </c>
      <c r="G141" s="77" t="s">
        <v>506</v>
      </c>
      <c r="H141" s="77">
        <v>7246270000</v>
      </c>
      <c r="I141" s="77" t="s">
        <v>36</v>
      </c>
      <c r="J141" s="77" t="s">
        <v>37</v>
      </c>
      <c r="K141" s="77" t="s">
        <v>37</v>
      </c>
      <c r="L141" s="77" t="s">
        <v>38</v>
      </c>
      <c r="M141" s="77" t="s">
        <v>37</v>
      </c>
      <c r="N141" s="77" t="s">
        <v>37</v>
      </c>
      <c r="O141" s="77" t="s">
        <v>38</v>
      </c>
      <c r="P141" s="77" t="s">
        <v>39</v>
      </c>
      <c r="Q141" s="76">
        <v>45968</v>
      </c>
      <c r="R141" s="77"/>
      <c r="S141" s="77"/>
      <c r="T141" s="77"/>
      <c r="U141" s="77"/>
      <c r="V141" s="78"/>
      <c r="W141" s="79"/>
      <c r="X141" s="78"/>
      <c r="Y141" s="78"/>
      <c r="Z141" s="78"/>
      <c r="AA141">
        <f>IF(COUNTIF('Call Queue'!$H$6:$H$20,V141)&gt;0,0,IF(AND(ISNUMBER(N141),N141&gt;0),10000000+N141,IF(ISNUMBER(N141*1),IF(N141*1&gt;0,10000000+N141*1,0),0))+IF(ISNUMBER(SEARCH("(",L141)),1000000+IFERROR(VALUE(SUBSTITUTE(SUBSTITUTE(SUBSTITUTE(MID(L141,SEARCH("(",L141)+1,SEARCH(")",L141)-SEARCH("(",L141)-1),"$",""),",","")," ","")),0),0))</f>
        <v>0</v>
      </c>
    </row>
    <row r="142" spans="1:27">
      <c r="A142" s="76">
        <v>45903</v>
      </c>
      <c r="B142" s="77" t="s">
        <v>688</v>
      </c>
      <c r="C142" s="77" t="s">
        <v>312</v>
      </c>
      <c r="D142" s="77" t="s">
        <v>63</v>
      </c>
      <c r="E142" s="77">
        <v>85053</v>
      </c>
      <c r="F142" s="77" t="s">
        <v>310</v>
      </c>
      <c r="G142" s="77" t="s">
        <v>506</v>
      </c>
      <c r="H142" s="77" t="s">
        <v>209</v>
      </c>
      <c r="I142" s="77"/>
      <c r="J142" s="77"/>
      <c r="K142" s="77"/>
      <c r="L142" s="77"/>
      <c r="M142" s="77"/>
      <c r="N142" s="77"/>
      <c r="O142" s="77"/>
      <c r="P142" s="77"/>
      <c r="Q142" s="76"/>
      <c r="R142" s="77"/>
      <c r="S142" s="77"/>
      <c r="T142" s="77"/>
      <c r="U142" s="77"/>
      <c r="V142" s="78"/>
      <c r="W142" s="79"/>
      <c r="X142" s="78"/>
      <c r="Y142" s="78"/>
      <c r="Z142" s="78"/>
      <c r="AA142">
        <f>IF(COUNTIF('Call Queue'!$H$6:$H$20,V142)&gt;0,0,IF(AND(ISNUMBER(N142),N142&gt;0),10000000+N142,IF(ISNUMBER(N142*1),IF(N142*1&gt;0,10000000+N142*1,0),0))+IF(ISNUMBER(SEARCH("(",L142)),1000000+IFERROR(VALUE(SUBSTITUTE(SUBSTITUTE(SUBSTITUTE(MID(L142,SEARCH("(",L142)+1,SEARCH(")",L142)-SEARCH("(",L142)-1),"$",""),",","")," ","")),0),0))</f>
        <v>0</v>
      </c>
    </row>
    <row r="143" spans="1:27">
      <c r="A143" s="76">
        <v>45903</v>
      </c>
      <c r="B143" s="77" t="s">
        <v>692</v>
      </c>
      <c r="C143" s="77" t="s">
        <v>693</v>
      </c>
      <c r="D143" s="77" t="s">
        <v>202</v>
      </c>
      <c r="E143" s="77">
        <v>85383</v>
      </c>
      <c r="F143" s="77" t="s">
        <v>310</v>
      </c>
      <c r="G143" s="77" t="s">
        <v>506</v>
      </c>
      <c r="H143" s="77">
        <v>7001761000</v>
      </c>
      <c r="I143" s="77" t="s">
        <v>196</v>
      </c>
      <c r="J143" s="77" t="s">
        <v>37</v>
      </c>
      <c r="K143" s="77" t="s">
        <v>37</v>
      </c>
      <c r="L143" s="77" t="s">
        <v>695</v>
      </c>
      <c r="M143" s="77" t="s">
        <v>37</v>
      </c>
      <c r="N143" s="77" t="s">
        <v>37</v>
      </c>
      <c r="O143" s="77" t="s">
        <v>38</v>
      </c>
      <c r="P143" s="77">
        <v>45933</v>
      </c>
      <c r="Q143" s="76">
        <v>45968</v>
      </c>
      <c r="R143" s="77" t="s">
        <v>561</v>
      </c>
      <c r="S143" s="77"/>
      <c r="T143" s="77"/>
      <c r="U143" s="77"/>
      <c r="V143" s="78" t="s">
        <v>117</v>
      </c>
      <c r="W143" s="79">
        <v>46039</v>
      </c>
      <c r="X143" s="78" t="s">
        <v>38</v>
      </c>
      <c r="Y143" s="78"/>
      <c r="Z143" s="78" t="s">
        <v>5434</v>
      </c>
      <c r="AA143">
        <f>IF(COUNTIF('Call Queue'!$H$6:$H$20,V143)&gt;0,0,IF(AND(ISNUMBER(N143),N143&gt;0),10000000+N143,IF(ISNUMBER(N143*1),IF(N143*1&gt;0,10000000+N143*1,0),0))+IF(ISNUMBER(SEARCH("(",L143)),1000000+IFERROR(VALUE(SUBSTITUTE(SUBSTITUTE(SUBSTITUTE(MID(L143,SEARCH("(",L143)+1,SEARCH(")",L143)-SEARCH("(",L143)-1),"$",""),",","")," ","")),0),0))</f>
        <v>0</v>
      </c>
    </row>
    <row r="144" spans="1:27">
      <c r="A144" s="76">
        <v>45903</v>
      </c>
      <c r="B144" s="77" t="s">
        <v>696</v>
      </c>
      <c r="C144" s="77" t="s">
        <v>697</v>
      </c>
      <c r="D144" s="77" t="s">
        <v>698</v>
      </c>
      <c r="E144" s="77">
        <v>85375</v>
      </c>
      <c r="F144" s="77" t="s">
        <v>699</v>
      </c>
      <c r="G144" s="77" t="s">
        <v>506</v>
      </c>
      <c r="H144" s="77">
        <v>7345723859</v>
      </c>
      <c r="I144" s="77" t="s">
        <v>73</v>
      </c>
      <c r="J144" s="77" t="s">
        <v>37</v>
      </c>
      <c r="K144" s="77" t="s">
        <v>37</v>
      </c>
      <c r="L144" s="77" t="s">
        <v>38</v>
      </c>
      <c r="M144" s="77" t="s">
        <v>37</v>
      </c>
      <c r="N144" s="77" t="s">
        <v>37</v>
      </c>
      <c r="O144" s="77" t="s">
        <v>38</v>
      </c>
      <c r="P144" s="77" t="s">
        <v>39</v>
      </c>
      <c r="Q144" s="76">
        <v>45968</v>
      </c>
      <c r="R144" s="77"/>
      <c r="S144" s="77"/>
      <c r="T144" s="77"/>
      <c r="U144" s="77"/>
      <c r="V144" s="78"/>
      <c r="W144" s="79"/>
      <c r="X144" s="78"/>
      <c r="Y144" s="78"/>
      <c r="Z144" s="78"/>
      <c r="AA144">
        <f>IF(COUNTIF('Call Queue'!$H$6:$H$20,V144)&gt;0,0,IF(AND(ISNUMBER(N144),N144&gt;0),10000000+N144,IF(ISNUMBER(N144*1),IF(N144*1&gt;0,10000000+N144*1,0),0))+IF(ISNUMBER(SEARCH("(",L144)),1000000+IFERROR(VALUE(SUBSTITUTE(SUBSTITUTE(SUBSTITUTE(MID(L144,SEARCH("(",L144)+1,SEARCH(")",L144)-SEARCH("(",L144)-1),"$",""),",","")," ","")),0),0))</f>
        <v>0</v>
      </c>
    </row>
    <row r="145" spans="1:27">
      <c r="A145" s="76">
        <v>45903</v>
      </c>
      <c r="B145" s="77" t="s">
        <v>706</v>
      </c>
      <c r="C145" s="77" t="s">
        <v>707</v>
      </c>
      <c r="D145" s="77" t="s">
        <v>112</v>
      </c>
      <c r="E145" s="77">
        <v>85388</v>
      </c>
      <c r="F145" s="77" t="s">
        <v>708</v>
      </c>
      <c r="G145" s="77" t="s">
        <v>506</v>
      </c>
      <c r="H145" s="77">
        <v>9712385989</v>
      </c>
      <c r="I145" s="77" t="s">
        <v>36</v>
      </c>
      <c r="J145" s="77" t="s">
        <v>37</v>
      </c>
      <c r="K145" s="77" t="s">
        <v>37</v>
      </c>
      <c r="L145" s="77" t="s">
        <v>38</v>
      </c>
      <c r="M145" s="77" t="s">
        <v>37</v>
      </c>
      <c r="N145" s="77" t="s">
        <v>37</v>
      </c>
      <c r="O145" s="77" t="s">
        <v>38</v>
      </c>
      <c r="P145" s="77" t="s">
        <v>39</v>
      </c>
      <c r="Q145" s="76">
        <v>45968</v>
      </c>
      <c r="R145" s="77"/>
      <c r="S145" s="77"/>
      <c r="T145" s="77"/>
      <c r="U145" s="77"/>
      <c r="V145" s="78" t="s">
        <v>117</v>
      </c>
      <c r="W145" s="79">
        <v>46074</v>
      </c>
      <c r="X145" s="78" t="s">
        <v>38</v>
      </c>
      <c r="Y145" s="78"/>
      <c r="Z145" s="78"/>
      <c r="AA145">
        <f>IF(COUNTIF('Call Queue'!$H$6:$H$20,V145)&gt;0,0,IF(AND(ISNUMBER(N145),N145&gt;0),10000000+N145,IF(ISNUMBER(N145*1),IF(N145*1&gt;0,10000000+N145*1,0),0))+IF(ISNUMBER(SEARCH("(",L145)),1000000+IFERROR(VALUE(SUBSTITUTE(SUBSTITUTE(SUBSTITUTE(MID(L145,SEARCH("(",L145)+1,SEARCH(")",L145)-SEARCH("(",L145)-1),"$",""),",","")," ","")),0),0))</f>
        <v>0</v>
      </c>
    </row>
    <row r="146" spans="1:27">
      <c r="A146" s="76">
        <v>45903</v>
      </c>
      <c r="B146" s="77" t="s">
        <v>713</v>
      </c>
      <c r="C146" s="77" t="s">
        <v>714</v>
      </c>
      <c r="D146" s="77" t="s">
        <v>63</v>
      </c>
      <c r="E146" s="77">
        <v>85085</v>
      </c>
      <c r="F146" s="77" t="s">
        <v>310</v>
      </c>
      <c r="G146" s="77" t="s">
        <v>506</v>
      </c>
      <c r="H146" s="77">
        <v>6558990000</v>
      </c>
      <c r="I146" s="77" t="s">
        <v>36</v>
      </c>
      <c r="J146" s="77" t="s">
        <v>37</v>
      </c>
      <c r="K146" s="77" t="s">
        <v>37</v>
      </c>
      <c r="L146" s="77" t="s">
        <v>38</v>
      </c>
      <c r="M146" s="77" t="s">
        <v>37</v>
      </c>
      <c r="N146" s="77" t="s">
        <v>37</v>
      </c>
      <c r="O146" s="77" t="s">
        <v>38</v>
      </c>
      <c r="P146" s="77" t="s">
        <v>39</v>
      </c>
      <c r="Q146" s="76">
        <v>45968</v>
      </c>
      <c r="R146" s="77"/>
      <c r="S146" s="77"/>
      <c r="T146" s="77"/>
      <c r="U146" s="77"/>
      <c r="V146" s="78"/>
      <c r="W146" s="79"/>
      <c r="X146" s="78"/>
      <c r="Y146" s="78"/>
      <c r="Z146" s="78"/>
      <c r="AA146">
        <f>IF(COUNTIF('Call Queue'!$H$6:$H$20,V146)&gt;0,0,IF(AND(ISNUMBER(N146),N146&gt;0),10000000+N146,IF(ISNUMBER(N146*1),IF(N146*1&gt;0,10000000+N146*1,0),0))+IF(ISNUMBER(SEARCH("(",L146)),1000000+IFERROR(VALUE(SUBSTITUTE(SUBSTITUTE(SUBSTITUTE(MID(L146,SEARCH("(",L146)+1,SEARCH(")",L146)-SEARCH("(",L146)-1),"$",""),",","")," ","")),0),0))</f>
        <v>0</v>
      </c>
    </row>
    <row r="147" spans="1:27">
      <c r="A147" s="76">
        <v>45903</v>
      </c>
      <c r="B147" s="77" t="s">
        <v>716</v>
      </c>
      <c r="C147" s="77" t="s">
        <v>717</v>
      </c>
      <c r="D147" s="77" t="s">
        <v>240</v>
      </c>
      <c r="E147" s="77">
        <v>85340</v>
      </c>
      <c r="F147" s="77" t="s">
        <v>718</v>
      </c>
      <c r="G147" s="77" t="s">
        <v>506</v>
      </c>
      <c r="H147" s="77" t="s">
        <v>719</v>
      </c>
      <c r="I147" s="77" t="s">
        <v>720</v>
      </c>
      <c r="J147" s="77" t="s">
        <v>37</v>
      </c>
      <c r="K147" s="77" t="s">
        <v>37</v>
      </c>
      <c r="L147" s="77" t="s">
        <v>721</v>
      </c>
      <c r="M147" s="77" t="s">
        <v>37</v>
      </c>
      <c r="N147" s="77" t="s">
        <v>37</v>
      </c>
      <c r="O147" s="77" t="s">
        <v>38</v>
      </c>
      <c r="P147" s="77" t="s">
        <v>39</v>
      </c>
      <c r="Q147" s="76">
        <v>45968</v>
      </c>
      <c r="R147" s="77"/>
      <c r="S147" s="77"/>
      <c r="T147" s="77"/>
      <c r="U147" s="77"/>
      <c r="V147" s="78"/>
      <c r="W147" s="79"/>
      <c r="X147" s="78"/>
      <c r="Y147" s="78"/>
      <c r="Z147" s="78"/>
      <c r="AA147">
        <f>IF(COUNTIF('Call Queue'!$H$6:$H$20,V147)&gt;0,0,IF(AND(ISNUMBER(N147),N147&gt;0),10000000+N147,IF(ISNUMBER(N147*1),IF(N147*1&gt;0,10000000+N147*1,0),0))+IF(ISNUMBER(SEARCH("(",L147)),1000000+IFERROR(VALUE(SUBSTITUTE(SUBSTITUTE(SUBSTITUTE(MID(L147,SEARCH("(",L147)+1,SEARCH(")",L147)-SEARCH("(",L147)-1),"$",""),",","")," ","")),0),0))</f>
        <v>1000127.42</v>
      </c>
    </row>
    <row r="148" spans="1:27">
      <c r="A148" s="76">
        <v>45903</v>
      </c>
      <c r="B148" s="77" t="s">
        <v>686</v>
      </c>
      <c r="C148" s="77" t="s">
        <v>722</v>
      </c>
      <c r="D148" s="77" t="s">
        <v>370</v>
      </c>
      <c r="E148" s="77">
        <v>85225</v>
      </c>
      <c r="F148" s="77" t="s">
        <v>310</v>
      </c>
      <c r="G148" s="77" t="s">
        <v>506</v>
      </c>
      <c r="H148" s="77">
        <v>8773518025</v>
      </c>
      <c r="I148" s="77" t="s">
        <v>36</v>
      </c>
      <c r="J148" s="77" t="s">
        <v>37</v>
      </c>
      <c r="K148" s="77" t="s">
        <v>37</v>
      </c>
      <c r="L148" s="77" t="s">
        <v>38</v>
      </c>
      <c r="M148" s="77" t="s">
        <v>37</v>
      </c>
      <c r="N148" s="77" t="s">
        <v>37</v>
      </c>
      <c r="O148" s="77" t="s">
        <v>38</v>
      </c>
      <c r="P148" s="77" t="s">
        <v>39</v>
      </c>
      <c r="Q148" s="76">
        <v>45968</v>
      </c>
      <c r="R148" s="77"/>
      <c r="S148" s="77"/>
      <c r="T148" s="77"/>
      <c r="U148" s="77" t="s">
        <v>724</v>
      </c>
      <c r="V148" s="78" t="s">
        <v>117</v>
      </c>
      <c r="W148" s="79">
        <v>46074</v>
      </c>
      <c r="X148" s="78" t="s">
        <v>37</v>
      </c>
      <c r="Y148" s="78" t="s">
        <v>5457</v>
      </c>
      <c r="Z148" s="78"/>
      <c r="AA148">
        <f>IF(COUNTIF('Call Queue'!$H$6:$H$20,V148)&gt;0,0,IF(AND(ISNUMBER(N148),N148&gt;0),10000000+N148,IF(ISNUMBER(N148*1),IF(N148*1&gt;0,10000000+N148*1,0),0))+IF(ISNUMBER(SEARCH("(",L148)),1000000+IFERROR(VALUE(SUBSTITUTE(SUBSTITUTE(SUBSTITUTE(MID(L148,SEARCH("(",L148)+1,SEARCH(")",L148)-SEARCH("(",L148)-1),"$",""),",","")," ","")),0),0))</f>
        <v>0</v>
      </c>
    </row>
    <row r="149" spans="1:27">
      <c r="A149" s="76">
        <v>45903</v>
      </c>
      <c r="B149" s="77" t="s">
        <v>725</v>
      </c>
      <c r="C149" s="77" t="s">
        <v>153</v>
      </c>
      <c r="D149" s="77" t="s">
        <v>63</v>
      </c>
      <c r="E149" s="77">
        <v>85051</v>
      </c>
      <c r="F149" s="77" t="s">
        <v>310</v>
      </c>
      <c r="G149" s="77" t="s">
        <v>506</v>
      </c>
      <c r="H149" s="77">
        <v>5425180000</v>
      </c>
      <c r="I149" s="77" t="s">
        <v>73</v>
      </c>
      <c r="J149" s="77" t="s">
        <v>37</v>
      </c>
      <c r="K149" s="77" t="s">
        <v>37</v>
      </c>
      <c r="L149" s="77" t="s">
        <v>38</v>
      </c>
      <c r="M149" s="77" t="s">
        <v>37</v>
      </c>
      <c r="N149" s="77" t="s">
        <v>37</v>
      </c>
      <c r="O149" s="77" t="s">
        <v>38</v>
      </c>
      <c r="P149" s="77" t="s">
        <v>39</v>
      </c>
      <c r="Q149" s="76">
        <v>45968</v>
      </c>
      <c r="R149" s="77"/>
      <c r="S149" s="77"/>
      <c r="T149" s="77"/>
      <c r="U149" s="77"/>
      <c r="V149" s="78"/>
      <c r="W149" s="79"/>
      <c r="X149" s="78"/>
      <c r="Y149" s="78"/>
      <c r="Z149" s="78"/>
      <c r="AA149">
        <f>IF(COUNTIF('Call Queue'!$H$6:$H$20,V149)&gt;0,0,IF(AND(ISNUMBER(N149),N149&gt;0),10000000+N149,IF(ISNUMBER(N149*1),IF(N149*1&gt;0,10000000+N149*1,0),0))+IF(ISNUMBER(SEARCH("(",L149)),1000000+IFERROR(VALUE(SUBSTITUTE(SUBSTITUTE(SUBSTITUTE(MID(L149,SEARCH("(",L149)+1,SEARCH(")",L149)-SEARCH("(",L149)-1),"$",""),",","")," ","")),0),0))</f>
        <v>0</v>
      </c>
    </row>
    <row r="150" spans="1:27">
      <c r="A150" s="76">
        <v>45903</v>
      </c>
      <c r="B150" s="77" t="s">
        <v>729</v>
      </c>
      <c r="C150" s="77" t="s">
        <v>690</v>
      </c>
      <c r="D150" s="77" t="s">
        <v>112</v>
      </c>
      <c r="E150" s="77">
        <v>85388</v>
      </c>
      <c r="F150" s="77" t="s">
        <v>730</v>
      </c>
      <c r="G150" s="77" t="s">
        <v>506</v>
      </c>
      <c r="H150" s="77">
        <v>726041000</v>
      </c>
      <c r="I150" s="77" t="s">
        <v>46</v>
      </c>
      <c r="J150" s="77" t="s">
        <v>37</v>
      </c>
      <c r="K150" s="77" t="s">
        <v>37</v>
      </c>
      <c r="L150" s="77" t="s">
        <v>38</v>
      </c>
      <c r="M150" s="77" t="s">
        <v>37</v>
      </c>
      <c r="N150" s="77" t="s">
        <v>37</v>
      </c>
      <c r="O150" s="77" t="s">
        <v>38</v>
      </c>
      <c r="P150" s="77" t="s">
        <v>39</v>
      </c>
      <c r="Q150" s="76">
        <v>45968</v>
      </c>
      <c r="R150" s="77"/>
      <c r="S150" s="77"/>
      <c r="T150" s="77"/>
      <c r="U150" s="77"/>
      <c r="V150" s="78" t="s">
        <v>117</v>
      </c>
      <c r="W150" s="79">
        <v>46074</v>
      </c>
      <c r="X150" s="78" t="s">
        <v>37</v>
      </c>
      <c r="Y150" s="78"/>
      <c r="Z150" s="78" t="s">
        <v>5434</v>
      </c>
      <c r="AA150">
        <f>IF(COUNTIF('Call Queue'!$H$6:$H$20,V150)&gt;0,0,IF(AND(ISNUMBER(N150),N150&gt;0),10000000+N150,IF(ISNUMBER(N150*1),IF(N150*1&gt;0,10000000+N150*1,0),0))+IF(ISNUMBER(SEARCH("(",L150)),1000000+IFERROR(VALUE(SUBSTITUTE(SUBSTITUTE(SUBSTITUTE(MID(L150,SEARCH("(",L150)+1,SEARCH(")",L150)-SEARCH("(",L150)-1),"$",""),",","")," ","")),0),0))</f>
        <v>0</v>
      </c>
    </row>
    <row r="151" spans="1:27">
      <c r="A151" s="76">
        <v>45903</v>
      </c>
      <c r="B151" s="77" t="s">
        <v>732</v>
      </c>
      <c r="C151" s="77" t="s">
        <v>733</v>
      </c>
      <c r="D151" s="77" t="s">
        <v>169</v>
      </c>
      <c r="E151" s="77">
        <v>85338</v>
      </c>
      <c r="F151" s="77" t="s">
        <v>734</v>
      </c>
      <c r="G151" s="77" t="s">
        <v>506</v>
      </c>
      <c r="H151" s="77">
        <v>2439620000</v>
      </c>
      <c r="I151" s="77" t="s">
        <v>73</v>
      </c>
      <c r="J151" s="77" t="s">
        <v>37</v>
      </c>
      <c r="K151" s="77" t="s">
        <v>37</v>
      </c>
      <c r="L151" s="77" t="s">
        <v>38</v>
      </c>
      <c r="M151" s="77" t="s">
        <v>37</v>
      </c>
      <c r="N151" s="77" t="s">
        <v>37</v>
      </c>
      <c r="O151" s="77" t="s">
        <v>38</v>
      </c>
      <c r="P151" s="77" t="s">
        <v>39</v>
      </c>
      <c r="Q151" s="76">
        <v>45968</v>
      </c>
      <c r="R151" s="77"/>
      <c r="S151" s="77"/>
      <c r="T151" s="77"/>
      <c r="U151" s="77"/>
      <c r="V151" s="78"/>
      <c r="W151" s="79"/>
      <c r="X151" s="78"/>
      <c r="Y151" s="78"/>
      <c r="Z151" s="78"/>
      <c r="AA151">
        <f>IF(COUNTIF('Call Queue'!$H$6:$H$20,V151)&gt;0,0,IF(AND(ISNUMBER(N151),N151&gt;0),10000000+N151,IF(ISNUMBER(N151*1),IF(N151*1&gt;0,10000000+N151*1,0),0))+IF(ISNUMBER(SEARCH("(",L151)),1000000+IFERROR(VALUE(SUBSTITUTE(SUBSTITUTE(SUBSTITUTE(MID(L151,SEARCH("(",L151)+1,SEARCH(")",L151)-SEARCH("(",L151)-1),"$",""),",","")," ","")),0),0))</f>
        <v>0</v>
      </c>
    </row>
    <row r="152" spans="1:27">
      <c r="A152" s="76">
        <v>45903</v>
      </c>
      <c r="B152" s="77" t="s">
        <v>736</v>
      </c>
      <c r="C152" s="77" t="s">
        <v>411</v>
      </c>
      <c r="D152" s="77" t="s">
        <v>737</v>
      </c>
      <c r="E152" s="77">
        <v>86326</v>
      </c>
      <c r="F152" s="77" t="s">
        <v>738</v>
      </c>
      <c r="G152" s="77" t="s">
        <v>506</v>
      </c>
      <c r="H152" s="77">
        <v>217135178</v>
      </c>
      <c r="I152" s="77" t="s">
        <v>541</v>
      </c>
      <c r="J152" s="77" t="s">
        <v>37</v>
      </c>
      <c r="K152" s="77" t="s">
        <v>37</v>
      </c>
      <c r="L152" s="77" t="s">
        <v>389</v>
      </c>
      <c r="M152" s="77" t="s">
        <v>37</v>
      </c>
      <c r="N152" s="77" t="s">
        <v>37</v>
      </c>
      <c r="O152" s="77" t="s">
        <v>38</v>
      </c>
      <c r="P152" s="77" t="s">
        <v>39</v>
      </c>
      <c r="Q152" s="76">
        <v>45968</v>
      </c>
      <c r="R152" s="77"/>
      <c r="S152" s="77"/>
      <c r="T152" s="77"/>
      <c r="U152" s="77"/>
      <c r="V152" s="78" t="s">
        <v>117</v>
      </c>
      <c r="W152" s="79">
        <v>46074</v>
      </c>
      <c r="X152" s="78" t="s">
        <v>38</v>
      </c>
      <c r="Y152" s="78"/>
      <c r="Z152" s="78"/>
      <c r="AA152">
        <f>IF(COUNTIF('Call Queue'!$H$6:$H$20,V152)&gt;0,0,IF(AND(ISNUMBER(N152),N152&gt;0),10000000+N152,IF(ISNUMBER(N152*1),IF(N152*1&gt;0,10000000+N152*1,0),0))+IF(ISNUMBER(SEARCH("(",L152)),1000000+IFERROR(VALUE(SUBSTITUTE(SUBSTITUTE(SUBSTITUTE(MID(L152,SEARCH("(",L152)+1,SEARCH(")",L152)-SEARCH("(",L152)-1),"$",""),",","")," ","")),0),0))</f>
        <v>0</v>
      </c>
    </row>
    <row r="153" spans="1:27">
      <c r="A153" s="76">
        <v>45903</v>
      </c>
      <c r="B153" s="77" t="s">
        <v>740</v>
      </c>
      <c r="C153" s="77" t="s">
        <v>597</v>
      </c>
      <c r="D153" s="77" t="s">
        <v>169</v>
      </c>
      <c r="E153" s="77">
        <v>85338</v>
      </c>
      <c r="F153" s="77" t="s">
        <v>741</v>
      </c>
      <c r="G153" s="77" t="s">
        <v>506</v>
      </c>
      <c r="H153" s="77">
        <v>110711000</v>
      </c>
      <c r="I153" s="77" t="s">
        <v>541</v>
      </c>
      <c r="J153" s="77" t="s">
        <v>37</v>
      </c>
      <c r="K153" s="77" t="s">
        <v>37</v>
      </c>
      <c r="L153" s="77" t="s">
        <v>389</v>
      </c>
      <c r="M153" s="77" t="s">
        <v>37</v>
      </c>
      <c r="N153" s="77" t="s">
        <v>37</v>
      </c>
      <c r="O153" s="77" t="s">
        <v>38</v>
      </c>
      <c r="P153" s="77" t="s">
        <v>39</v>
      </c>
      <c r="Q153" s="76">
        <v>45968</v>
      </c>
      <c r="R153" s="77"/>
      <c r="S153" s="77"/>
      <c r="T153" s="77"/>
      <c r="U153" s="77"/>
      <c r="V153" s="78"/>
      <c r="W153" s="79"/>
      <c r="X153" s="78"/>
      <c r="Y153" s="78"/>
      <c r="Z153" s="78"/>
      <c r="AA153">
        <f>IF(COUNTIF('Call Queue'!$H$6:$H$20,V153)&gt;0,0,IF(AND(ISNUMBER(N153),N153&gt;0),10000000+N153,IF(ISNUMBER(N153*1),IF(N153*1&gt;0,10000000+N153*1,0),0))+IF(ISNUMBER(SEARCH("(",L153)),1000000+IFERROR(VALUE(SUBSTITUTE(SUBSTITUTE(SUBSTITUTE(MID(L153,SEARCH("(",L153)+1,SEARCH(")",L153)-SEARCH("(",L153)-1),"$",""),",","")," ","")),0),0))</f>
        <v>0</v>
      </c>
    </row>
    <row r="154" spans="1:27">
      <c r="A154" s="76">
        <v>45903</v>
      </c>
      <c r="B154" s="77" t="s">
        <v>743</v>
      </c>
      <c r="C154" s="77" t="s">
        <v>744</v>
      </c>
      <c r="D154" s="77" t="s">
        <v>63</v>
      </c>
      <c r="E154" s="77">
        <v>85023</v>
      </c>
      <c r="F154" s="77" t="s">
        <v>310</v>
      </c>
      <c r="G154" s="77" t="s">
        <v>506</v>
      </c>
      <c r="H154" s="77">
        <v>8799324553</v>
      </c>
      <c r="I154" s="77" t="s">
        <v>36</v>
      </c>
      <c r="J154" s="77" t="s">
        <v>37</v>
      </c>
      <c r="K154" s="77" t="s">
        <v>37</v>
      </c>
      <c r="L154" s="77" t="s">
        <v>38</v>
      </c>
      <c r="M154" s="77" t="s">
        <v>37</v>
      </c>
      <c r="N154" s="77" t="s">
        <v>37</v>
      </c>
      <c r="O154" s="77" t="s">
        <v>38</v>
      </c>
      <c r="P154" s="77" t="s">
        <v>39</v>
      </c>
      <c r="Q154" s="76">
        <v>45968</v>
      </c>
      <c r="R154" s="77"/>
      <c r="S154" s="77"/>
      <c r="T154" s="77"/>
      <c r="U154" s="77"/>
      <c r="V154" s="78" t="s">
        <v>117</v>
      </c>
      <c r="W154" s="79">
        <v>46074</v>
      </c>
      <c r="X154" s="78" t="s">
        <v>38</v>
      </c>
      <c r="Y154" s="78"/>
      <c r="Z154" s="78"/>
      <c r="AA154">
        <f>IF(COUNTIF('Call Queue'!$H$6:$H$20,V154)&gt;0,0,IF(AND(ISNUMBER(N154),N154&gt;0),10000000+N154,IF(ISNUMBER(N154*1),IF(N154*1&gt;0,10000000+N154*1,0),0))+IF(ISNUMBER(SEARCH("(",L154)),1000000+IFERROR(VALUE(SUBSTITUTE(SUBSTITUTE(SUBSTITUTE(MID(L154,SEARCH("(",L154)+1,SEARCH(")",L154)-SEARCH("(",L154)-1),"$",""),",","")," ","")),0),0))</f>
        <v>0</v>
      </c>
    </row>
    <row r="155" spans="1:27">
      <c r="A155" s="76">
        <v>45903</v>
      </c>
      <c r="B155" s="77" t="s">
        <v>746</v>
      </c>
      <c r="C155" s="77" t="s">
        <v>747</v>
      </c>
      <c r="D155" s="77" t="s">
        <v>202</v>
      </c>
      <c r="E155" s="77">
        <v>85383</v>
      </c>
      <c r="F155" s="77" t="s">
        <v>748</v>
      </c>
      <c r="G155" s="77" t="s">
        <v>506</v>
      </c>
      <c r="H155" s="77">
        <v>72923417</v>
      </c>
      <c r="I155" s="77" t="s">
        <v>126</v>
      </c>
      <c r="J155" s="77" t="s">
        <v>37</v>
      </c>
      <c r="K155" s="77" t="s">
        <v>37</v>
      </c>
      <c r="L155" s="77" t="s">
        <v>38</v>
      </c>
      <c r="M155" s="77" t="s">
        <v>37</v>
      </c>
      <c r="N155" s="77" t="s">
        <v>37</v>
      </c>
      <c r="O155" s="77" t="s">
        <v>38</v>
      </c>
      <c r="P155" s="77" t="s">
        <v>39</v>
      </c>
      <c r="Q155" s="76">
        <v>45968</v>
      </c>
      <c r="R155" s="77"/>
      <c r="S155" s="77"/>
      <c r="T155" s="77"/>
      <c r="U155" s="77"/>
      <c r="V155" s="78"/>
      <c r="W155" s="79"/>
      <c r="X155" s="78"/>
      <c r="Y155" s="78"/>
      <c r="Z155" s="78"/>
      <c r="AA155">
        <f>IF(COUNTIF('Call Queue'!$H$6:$H$20,V155)&gt;0,0,IF(AND(ISNUMBER(N155),N155&gt;0),10000000+N155,IF(ISNUMBER(N155*1),IF(N155*1&gt;0,10000000+N155*1,0),0))+IF(ISNUMBER(SEARCH("(",L155)),1000000+IFERROR(VALUE(SUBSTITUTE(SUBSTITUTE(SUBSTITUTE(MID(L155,SEARCH("(",L155)+1,SEARCH(")",L155)-SEARCH("(",L155)-1),"$",""),",","")," ","")),0),0))</f>
        <v>0</v>
      </c>
    </row>
    <row r="156" spans="1:27">
      <c r="A156" s="76">
        <v>45903</v>
      </c>
      <c r="B156" s="77" t="s">
        <v>752</v>
      </c>
      <c r="C156" s="77" t="s">
        <v>411</v>
      </c>
      <c r="D156" s="77" t="s">
        <v>63</v>
      </c>
      <c r="E156" s="77">
        <v>85085</v>
      </c>
      <c r="F156" s="77" t="s">
        <v>310</v>
      </c>
      <c r="G156" s="77" t="s">
        <v>506</v>
      </c>
      <c r="H156" s="77">
        <v>6591717645</v>
      </c>
      <c r="I156" s="77" t="s">
        <v>73</v>
      </c>
      <c r="J156" s="77" t="s">
        <v>37</v>
      </c>
      <c r="K156" s="77" t="s">
        <v>37</v>
      </c>
      <c r="L156" s="77" t="s">
        <v>38</v>
      </c>
      <c r="M156" s="77" t="s">
        <v>37</v>
      </c>
      <c r="N156" s="77" t="s">
        <v>37</v>
      </c>
      <c r="O156" s="77" t="s">
        <v>38</v>
      </c>
      <c r="P156" s="77" t="s">
        <v>39</v>
      </c>
      <c r="Q156" s="76">
        <v>45968</v>
      </c>
      <c r="R156" s="77"/>
      <c r="S156" s="77"/>
      <c r="T156" s="77"/>
      <c r="U156" s="77"/>
      <c r="V156" s="78" t="s">
        <v>117</v>
      </c>
      <c r="W156" s="79">
        <v>46074</v>
      </c>
      <c r="X156" s="78" t="s">
        <v>38</v>
      </c>
      <c r="Y156" s="78"/>
      <c r="Z156" s="78"/>
      <c r="AA156">
        <f>IF(COUNTIF('Call Queue'!$H$6:$H$20,V156)&gt;0,0,IF(AND(ISNUMBER(N156),N156&gt;0),10000000+N156,IF(ISNUMBER(N156*1),IF(N156*1&gt;0,10000000+N156*1,0),0))+IF(ISNUMBER(SEARCH("(",L156)),1000000+IFERROR(VALUE(SUBSTITUTE(SUBSTITUTE(SUBSTITUTE(MID(L156,SEARCH("(",L156)+1,SEARCH(")",L156)-SEARCH("(",L156)-1),"$",""),",","")," ","")),0),0))</f>
        <v>0</v>
      </c>
    </row>
    <row r="157" spans="1:27">
      <c r="A157" s="76">
        <v>45903</v>
      </c>
      <c r="B157" s="77" t="s">
        <v>756</v>
      </c>
      <c r="C157" s="77" t="s">
        <v>757</v>
      </c>
      <c r="D157" s="77" t="s">
        <v>24</v>
      </c>
      <c r="E157" s="77">
        <v>85310</v>
      </c>
      <c r="F157" s="77" t="s">
        <v>758</v>
      </c>
      <c r="G157" s="77" t="s">
        <v>506</v>
      </c>
      <c r="H157" s="77">
        <v>7297283438</v>
      </c>
      <c r="I157" s="77" t="s">
        <v>36</v>
      </c>
      <c r="J157" s="77" t="s">
        <v>37</v>
      </c>
      <c r="K157" s="77" t="s">
        <v>37</v>
      </c>
      <c r="L157" s="77" t="s">
        <v>38</v>
      </c>
      <c r="M157" s="77" t="s">
        <v>37</v>
      </c>
      <c r="N157" s="77" t="s">
        <v>37</v>
      </c>
      <c r="O157" s="77" t="s">
        <v>38</v>
      </c>
      <c r="P157" s="77" t="s">
        <v>39</v>
      </c>
      <c r="Q157" s="76">
        <v>45968</v>
      </c>
      <c r="R157" s="77"/>
      <c r="S157" s="77"/>
      <c r="T157" s="77"/>
      <c r="U157" s="77"/>
      <c r="V157" s="78"/>
      <c r="W157" s="79"/>
      <c r="X157" s="78"/>
      <c r="Y157" s="78"/>
      <c r="Z157" s="78"/>
      <c r="AA157">
        <f>IF(COUNTIF('Call Queue'!$H$6:$H$20,V157)&gt;0,0,IF(AND(ISNUMBER(N157),N157&gt;0),10000000+N157,IF(ISNUMBER(N157*1),IF(N157*1&gt;0,10000000+N157*1,0),0))+IF(ISNUMBER(SEARCH("(",L157)),1000000+IFERROR(VALUE(SUBSTITUTE(SUBSTITUTE(SUBSTITUTE(MID(L157,SEARCH("(",L157)+1,SEARCH(")",L157)-SEARCH("(",L157)-1),"$",""),",","")," ","")),0),0))</f>
        <v>0</v>
      </c>
    </row>
    <row r="158" spans="1:27">
      <c r="A158" s="76">
        <v>45903</v>
      </c>
      <c r="B158" s="77" t="s">
        <v>227</v>
      </c>
      <c r="C158" s="77" t="s">
        <v>760</v>
      </c>
      <c r="D158" s="77" t="s">
        <v>112</v>
      </c>
      <c r="E158" s="77">
        <v>85388</v>
      </c>
      <c r="F158" s="77" t="s">
        <v>761</v>
      </c>
      <c r="G158" s="77" t="s">
        <v>506</v>
      </c>
      <c r="H158" s="77" t="s">
        <v>209</v>
      </c>
      <c r="I158" s="77"/>
      <c r="J158" s="77"/>
      <c r="K158" s="77"/>
      <c r="L158" s="77"/>
      <c r="M158" s="77"/>
      <c r="N158" s="77"/>
      <c r="O158" s="77"/>
      <c r="P158" s="77"/>
      <c r="Q158" s="76"/>
      <c r="R158" s="77"/>
      <c r="S158" s="77"/>
      <c r="T158" s="77"/>
      <c r="U158" s="77"/>
      <c r="V158" s="78"/>
      <c r="W158" s="79"/>
      <c r="X158" s="78"/>
      <c r="Y158" s="78"/>
      <c r="Z158" s="78"/>
      <c r="AA158">
        <f>IF(COUNTIF('Call Queue'!$H$6:$H$20,V158)&gt;0,0,IF(AND(ISNUMBER(N158),N158&gt;0),10000000+N158,IF(ISNUMBER(N158*1),IF(N158*1&gt;0,10000000+N158*1,0),0))+IF(ISNUMBER(SEARCH("(",L158)),1000000+IFERROR(VALUE(SUBSTITUTE(SUBSTITUTE(SUBSTITUTE(MID(L158,SEARCH("(",L158)+1,SEARCH(")",L158)-SEARCH("(",L158)-1),"$",""),",","")," ","")),0),0))</f>
        <v>0</v>
      </c>
    </row>
    <row r="159" spans="1:27">
      <c r="A159" s="76">
        <v>45903</v>
      </c>
      <c r="B159" s="77" t="s">
        <v>762</v>
      </c>
      <c r="C159" s="77" t="s">
        <v>763</v>
      </c>
      <c r="D159" s="77" t="s">
        <v>63</v>
      </c>
      <c r="E159" s="77">
        <v>85006</v>
      </c>
      <c r="F159" s="77" t="s">
        <v>310</v>
      </c>
      <c r="G159" s="77" t="s">
        <v>506</v>
      </c>
      <c r="H159" s="77">
        <v>5849875191</v>
      </c>
      <c r="I159" s="77" t="s">
        <v>196</v>
      </c>
      <c r="J159" s="77" t="s">
        <v>37</v>
      </c>
      <c r="K159" s="77" t="s">
        <v>37</v>
      </c>
      <c r="L159" s="77" t="s">
        <v>765</v>
      </c>
      <c r="M159" s="77" t="s">
        <v>37</v>
      </c>
      <c r="N159" s="77" t="s">
        <v>37</v>
      </c>
      <c r="O159" s="77" t="s">
        <v>38</v>
      </c>
      <c r="P159" s="77">
        <v>45933</v>
      </c>
      <c r="Q159" s="76">
        <v>45968</v>
      </c>
      <c r="R159" s="77" t="s">
        <v>766</v>
      </c>
      <c r="S159" s="77"/>
      <c r="T159" s="77"/>
      <c r="U159" s="77"/>
      <c r="V159" s="78" t="s">
        <v>117</v>
      </c>
      <c r="W159" s="79">
        <v>46074</v>
      </c>
      <c r="X159" s="78" t="s">
        <v>37</v>
      </c>
      <c r="Y159" s="78" t="s">
        <v>5442</v>
      </c>
      <c r="Z159" s="78"/>
      <c r="AA159">
        <f>IF(COUNTIF('Call Queue'!$H$6:$H$20,V159)&gt;0,0,IF(AND(ISNUMBER(N159),N159&gt;0),10000000+N159,IF(ISNUMBER(N159*1),IF(N159*1&gt;0,10000000+N159*1,0),0))+IF(ISNUMBER(SEARCH("(",L159)),1000000+IFERROR(VALUE(SUBSTITUTE(SUBSTITUTE(SUBSTITUTE(MID(L159,SEARCH("(",L159)+1,SEARCH(")",L159)-SEARCH("(",L159)-1),"$",""),",","")," ","")),0),0))</f>
        <v>0</v>
      </c>
    </row>
    <row r="160" spans="1:27">
      <c r="A160" s="76">
        <v>45903</v>
      </c>
      <c r="B160" s="77" t="s">
        <v>767</v>
      </c>
      <c r="C160" s="77" t="s">
        <v>768</v>
      </c>
      <c r="D160" s="77" t="s">
        <v>125</v>
      </c>
      <c r="E160" s="77">
        <v>85254</v>
      </c>
      <c r="F160" s="77" t="s">
        <v>310</v>
      </c>
      <c r="G160" s="77" t="s">
        <v>506</v>
      </c>
      <c r="H160" s="77">
        <v>8720343919</v>
      </c>
      <c r="I160" s="77" t="s">
        <v>196</v>
      </c>
      <c r="J160" s="77" t="s">
        <v>37</v>
      </c>
      <c r="K160" s="77" t="s">
        <v>37</v>
      </c>
      <c r="L160" s="77" t="s">
        <v>38</v>
      </c>
      <c r="M160" s="77" t="s">
        <v>37</v>
      </c>
      <c r="N160" s="77" t="s">
        <v>37</v>
      </c>
      <c r="O160" s="77" t="s">
        <v>38</v>
      </c>
      <c r="P160" s="77" t="s">
        <v>39</v>
      </c>
      <c r="Q160" s="76">
        <v>45968</v>
      </c>
      <c r="R160" s="77"/>
      <c r="S160" s="77"/>
      <c r="T160" s="77"/>
      <c r="U160" s="77"/>
      <c r="V160" s="78"/>
      <c r="W160" s="79"/>
      <c r="X160" s="78"/>
      <c r="Y160" s="78"/>
      <c r="Z160" s="78"/>
      <c r="AA160">
        <f>IF(COUNTIF('Call Queue'!$H$6:$H$20,V160)&gt;0,0,IF(AND(ISNUMBER(N160),N160&gt;0),10000000+N160,IF(ISNUMBER(N160*1),IF(N160*1&gt;0,10000000+N160*1,0),0))+IF(ISNUMBER(SEARCH("(",L160)),1000000+IFERROR(VALUE(SUBSTITUTE(SUBSTITUTE(SUBSTITUTE(MID(L160,SEARCH("(",L160)+1,SEARCH(")",L160)-SEARCH("(",L160)-1),"$",""),",","")," ","")),0),0))</f>
        <v>0</v>
      </c>
    </row>
    <row r="161" spans="1:27">
      <c r="A161" s="76">
        <v>45903</v>
      </c>
      <c r="B161" s="77" t="s">
        <v>770</v>
      </c>
      <c r="C161" s="77" t="s">
        <v>771</v>
      </c>
      <c r="D161" s="77" t="s">
        <v>202</v>
      </c>
      <c r="E161" s="77">
        <v>85383</v>
      </c>
      <c r="F161" s="77" t="s">
        <v>772</v>
      </c>
      <c r="G161" s="77" t="s">
        <v>506</v>
      </c>
      <c r="H161" s="77">
        <v>7849027455</v>
      </c>
      <c r="I161" s="77" t="s">
        <v>196</v>
      </c>
      <c r="J161" s="77" t="s">
        <v>38</v>
      </c>
      <c r="K161" s="77" t="s">
        <v>37</v>
      </c>
      <c r="L161" s="77" t="s">
        <v>38</v>
      </c>
      <c r="M161" s="77" t="s">
        <v>37</v>
      </c>
      <c r="N161" s="77" t="s">
        <v>37</v>
      </c>
      <c r="O161" s="77" t="s">
        <v>38</v>
      </c>
      <c r="P161" s="77" t="s">
        <v>39</v>
      </c>
      <c r="Q161" s="76">
        <v>45968</v>
      </c>
      <c r="R161" s="77"/>
      <c r="S161" s="77"/>
      <c r="T161" s="77"/>
      <c r="U161" s="77"/>
      <c r="V161" s="78" t="s">
        <v>117</v>
      </c>
      <c r="W161" s="79">
        <v>46074</v>
      </c>
      <c r="X161" s="78" t="s">
        <v>38</v>
      </c>
      <c r="Y161" s="78"/>
      <c r="Z161" s="78" t="s">
        <v>5434</v>
      </c>
      <c r="AA161">
        <f>IF(COUNTIF('Call Queue'!$H$6:$H$20,V161)&gt;0,0,IF(AND(ISNUMBER(N161),N161&gt;0),10000000+N161,IF(ISNUMBER(N161*1),IF(N161*1&gt;0,10000000+N161*1,0),0))+IF(ISNUMBER(SEARCH("(",L161)),1000000+IFERROR(VALUE(SUBSTITUTE(SUBSTITUTE(SUBSTITUTE(MID(L161,SEARCH("(",L161)+1,SEARCH(")",L161)-SEARCH("(",L161)-1),"$",""),",","")," ","")),0),0))</f>
        <v>0</v>
      </c>
    </row>
    <row r="162" spans="1:27">
      <c r="A162" s="76">
        <v>45903</v>
      </c>
      <c r="B162" s="77" t="s">
        <v>774</v>
      </c>
      <c r="C162" s="77" t="s">
        <v>320</v>
      </c>
      <c r="D162" s="77" t="s">
        <v>428</v>
      </c>
      <c r="E162" s="77">
        <v>85335</v>
      </c>
      <c r="F162" s="77" t="s">
        <v>310</v>
      </c>
      <c r="G162" s="77" t="s">
        <v>506</v>
      </c>
      <c r="H162" s="77">
        <v>4225001000</v>
      </c>
      <c r="I162" s="77" t="s">
        <v>36</v>
      </c>
      <c r="J162" s="77" t="s">
        <v>37</v>
      </c>
      <c r="K162" s="77" t="s">
        <v>37</v>
      </c>
      <c r="L162" s="77" t="s">
        <v>38</v>
      </c>
      <c r="M162" s="77" t="s">
        <v>37</v>
      </c>
      <c r="N162" s="77" t="s">
        <v>37</v>
      </c>
      <c r="O162" s="77" t="s">
        <v>38</v>
      </c>
      <c r="P162" s="77" t="s">
        <v>39</v>
      </c>
      <c r="Q162" s="76">
        <v>45968</v>
      </c>
      <c r="R162" s="77"/>
      <c r="S162" s="77"/>
      <c r="T162" s="77"/>
      <c r="U162" s="77"/>
      <c r="V162" s="78"/>
      <c r="W162" s="79"/>
      <c r="X162" s="78"/>
      <c r="Y162" s="78"/>
      <c r="Z162" s="78"/>
      <c r="AA162">
        <f>IF(COUNTIF('Call Queue'!$H$6:$H$20,V162)&gt;0,0,IF(AND(ISNUMBER(N162),N162&gt;0),10000000+N162,IF(ISNUMBER(N162*1),IF(N162*1&gt;0,10000000+N162*1,0),0))+IF(ISNUMBER(SEARCH("(",L162)),1000000+IFERROR(VALUE(SUBSTITUTE(SUBSTITUTE(SUBSTITUTE(MID(L162,SEARCH("(",L162)+1,SEARCH(")",L162)-SEARCH("(",L162)-1),"$",""),",","")," ","")),0),0))</f>
        <v>0</v>
      </c>
    </row>
    <row r="163" spans="1:27">
      <c r="A163" s="76">
        <v>45903</v>
      </c>
      <c r="B163" s="77" t="s">
        <v>776</v>
      </c>
      <c r="C163" s="77" t="s">
        <v>777</v>
      </c>
      <c r="D163" s="77" t="s">
        <v>174</v>
      </c>
      <c r="E163" s="77">
        <v>85326</v>
      </c>
      <c r="F163" s="77" t="s">
        <v>310</v>
      </c>
      <c r="G163" s="77" t="s">
        <v>506</v>
      </c>
      <c r="H163" s="77" t="s">
        <v>778</v>
      </c>
      <c r="I163" s="77" t="s">
        <v>36</v>
      </c>
      <c r="J163" s="77" t="s">
        <v>37</v>
      </c>
      <c r="K163" s="77" t="s">
        <v>37</v>
      </c>
      <c r="L163" s="77" t="s">
        <v>38</v>
      </c>
      <c r="M163" s="77" t="s">
        <v>37</v>
      </c>
      <c r="N163" s="77" t="s">
        <v>37</v>
      </c>
      <c r="O163" s="77" t="s">
        <v>38</v>
      </c>
      <c r="P163" s="77" t="s">
        <v>39</v>
      </c>
      <c r="Q163" s="76">
        <v>45968</v>
      </c>
      <c r="R163" s="77"/>
      <c r="S163" s="77"/>
      <c r="T163" s="77"/>
      <c r="U163" s="77"/>
      <c r="V163" s="78" t="s">
        <v>117</v>
      </c>
      <c r="W163" s="79">
        <v>46074</v>
      </c>
      <c r="X163" s="78" t="s">
        <v>38</v>
      </c>
      <c r="Y163" s="78"/>
      <c r="Z163" s="78"/>
      <c r="AA163">
        <f>IF(COUNTIF('Call Queue'!$H$6:$H$20,V163)&gt;0,0,IF(AND(ISNUMBER(N163),N163&gt;0),10000000+N163,IF(ISNUMBER(N163*1),IF(N163*1&gt;0,10000000+N163*1,0),0))+IF(ISNUMBER(SEARCH("(",L163)),1000000+IFERROR(VALUE(SUBSTITUTE(SUBSTITUTE(SUBSTITUTE(MID(L163,SEARCH("(",L163)+1,SEARCH(")",L163)-SEARCH("(",L163)-1),"$",""),",","")," ","")),0),0))</f>
        <v>0</v>
      </c>
    </row>
    <row r="164" spans="1:27">
      <c r="A164" s="76">
        <v>45903</v>
      </c>
      <c r="B164" s="77" t="s">
        <v>786</v>
      </c>
      <c r="C164" s="77" t="s">
        <v>787</v>
      </c>
      <c r="D164" s="77" t="s">
        <v>313</v>
      </c>
      <c r="E164" s="77">
        <v>85383</v>
      </c>
      <c r="F164" s="77" t="s">
        <v>310</v>
      </c>
      <c r="G164" s="77" t="s">
        <v>506</v>
      </c>
      <c r="H164" s="77">
        <v>3462131000</v>
      </c>
      <c r="I164" s="77" t="s">
        <v>36</v>
      </c>
      <c r="J164" s="77" t="s">
        <v>37</v>
      </c>
      <c r="K164" s="77" t="s">
        <v>37</v>
      </c>
      <c r="L164" s="77" t="s">
        <v>38</v>
      </c>
      <c r="M164" s="77" t="s">
        <v>37</v>
      </c>
      <c r="N164" s="77" t="s">
        <v>37</v>
      </c>
      <c r="O164" s="77" t="s">
        <v>38</v>
      </c>
      <c r="P164" s="77" t="s">
        <v>39</v>
      </c>
      <c r="Q164" s="76">
        <v>45968</v>
      </c>
      <c r="R164" s="77"/>
      <c r="S164" s="77"/>
      <c r="T164" s="77"/>
      <c r="U164" s="77"/>
      <c r="V164" s="78"/>
      <c r="W164" s="79"/>
      <c r="X164" s="78"/>
      <c r="Y164" s="78"/>
      <c r="Z164" s="78"/>
      <c r="AA164">
        <f>IF(COUNTIF('Call Queue'!$H$6:$H$20,V164)&gt;0,0,IF(AND(ISNUMBER(N164),N164&gt;0),10000000+N164,IF(ISNUMBER(N164*1),IF(N164*1&gt;0,10000000+N164*1,0),0))+IF(ISNUMBER(SEARCH("(",L164)),1000000+IFERROR(VALUE(SUBSTITUTE(SUBSTITUTE(SUBSTITUTE(MID(L164,SEARCH("(",L164)+1,SEARCH(")",L164)-SEARCH("(",L164)-1),"$",""),",","")," ","")),0),0))</f>
        <v>0</v>
      </c>
    </row>
    <row r="165" spans="1:27">
      <c r="A165" s="76">
        <v>45903</v>
      </c>
      <c r="B165" s="77" t="s">
        <v>792</v>
      </c>
      <c r="C165" s="77" t="s">
        <v>793</v>
      </c>
      <c r="D165" s="77" t="s">
        <v>63</v>
      </c>
      <c r="E165" s="77">
        <v>85028</v>
      </c>
      <c r="F165" s="77" t="s">
        <v>310</v>
      </c>
      <c r="G165" s="77" t="s">
        <v>506</v>
      </c>
      <c r="H165" s="77" t="s">
        <v>794</v>
      </c>
      <c r="I165" s="77" t="s">
        <v>36</v>
      </c>
      <c r="J165" s="77" t="s">
        <v>37</v>
      </c>
      <c r="K165" s="77" t="s">
        <v>37</v>
      </c>
      <c r="L165" s="77" t="s">
        <v>38</v>
      </c>
      <c r="M165" s="77" t="s">
        <v>37</v>
      </c>
      <c r="N165" s="77" t="s">
        <v>37</v>
      </c>
      <c r="O165" s="77" t="s">
        <v>38</v>
      </c>
      <c r="P165" s="77" t="s">
        <v>39</v>
      </c>
      <c r="Q165" s="76">
        <v>45968</v>
      </c>
      <c r="R165" s="77"/>
      <c r="S165" s="77"/>
      <c r="T165" s="77"/>
      <c r="U165" s="77"/>
      <c r="V165" s="78" t="s">
        <v>117</v>
      </c>
      <c r="W165" s="79">
        <v>46074</v>
      </c>
      <c r="X165" s="78" t="s">
        <v>38</v>
      </c>
      <c r="Y165" s="78"/>
      <c r="Z165" s="78"/>
      <c r="AA165">
        <f>IF(COUNTIF('Call Queue'!$H$6:$H$20,V165)&gt;0,0,IF(AND(ISNUMBER(N165),N165&gt;0),10000000+N165,IF(ISNUMBER(N165*1),IF(N165*1&gt;0,10000000+N165*1,0),0))+IF(ISNUMBER(SEARCH("(",L165)),1000000+IFERROR(VALUE(SUBSTITUTE(SUBSTITUTE(SUBSTITUTE(MID(L165,SEARCH("(",L165)+1,SEARCH(")",L165)-SEARCH("(",L165)-1),"$",""),",","")," ","")),0),0))</f>
        <v>0</v>
      </c>
    </row>
    <row r="166" spans="1:27">
      <c r="A166" s="76">
        <v>45903</v>
      </c>
      <c r="B166" s="77" t="s">
        <v>797</v>
      </c>
      <c r="C166" s="77" t="s">
        <v>363</v>
      </c>
      <c r="D166" s="77" t="s">
        <v>125</v>
      </c>
      <c r="E166" s="77">
        <v>85258</v>
      </c>
      <c r="F166" s="77" t="s">
        <v>798</v>
      </c>
      <c r="G166" s="77" t="s">
        <v>506</v>
      </c>
      <c r="H166" s="77">
        <v>9797240000</v>
      </c>
      <c r="I166" s="77" t="s">
        <v>36</v>
      </c>
      <c r="J166" s="77" t="s">
        <v>37</v>
      </c>
      <c r="K166" s="77" t="s">
        <v>37</v>
      </c>
      <c r="L166" s="77" t="s">
        <v>38</v>
      </c>
      <c r="M166" s="77" t="s">
        <v>37</v>
      </c>
      <c r="N166" s="77" t="s">
        <v>37</v>
      </c>
      <c r="O166" s="77" t="s">
        <v>38</v>
      </c>
      <c r="P166" s="77" t="s">
        <v>39</v>
      </c>
      <c r="Q166" s="76">
        <v>45968</v>
      </c>
      <c r="R166" s="77"/>
      <c r="S166" s="77"/>
      <c r="T166" s="77"/>
      <c r="U166" s="77"/>
      <c r="V166" s="78"/>
      <c r="W166" s="79"/>
      <c r="X166" s="78"/>
      <c r="Y166" s="78"/>
      <c r="Z166" s="78"/>
      <c r="AA166">
        <f>IF(COUNTIF('Call Queue'!$H$6:$H$20,V166)&gt;0,0,IF(AND(ISNUMBER(N166),N166&gt;0),10000000+N166,IF(ISNUMBER(N166*1),IF(N166*1&gt;0,10000000+N166*1,0),0))+IF(ISNUMBER(SEARCH("(",L166)),1000000+IFERROR(VALUE(SUBSTITUTE(SUBSTITUTE(SUBSTITUTE(MID(L166,SEARCH("(",L166)+1,SEARCH(")",L166)-SEARCH("(",L166)-1),"$",""),",","")," ","")),0),0))</f>
        <v>0</v>
      </c>
    </row>
    <row r="167" spans="1:27">
      <c r="A167" s="76">
        <v>45903</v>
      </c>
      <c r="B167" s="77" t="s">
        <v>800</v>
      </c>
      <c r="C167" s="77" t="s">
        <v>801</v>
      </c>
      <c r="D167" s="77" t="s">
        <v>63</v>
      </c>
      <c r="E167" s="77">
        <v>85028</v>
      </c>
      <c r="F167" s="77" t="s">
        <v>310</v>
      </c>
      <c r="G167" s="77" t="s">
        <v>506</v>
      </c>
      <c r="H167" s="77" t="s">
        <v>802</v>
      </c>
      <c r="I167" s="77" t="s">
        <v>73</v>
      </c>
      <c r="J167" s="77" t="s">
        <v>37</v>
      </c>
      <c r="K167" s="77" t="s">
        <v>37</v>
      </c>
      <c r="L167" s="77" t="s">
        <v>38</v>
      </c>
      <c r="M167" s="77" t="s">
        <v>37</v>
      </c>
      <c r="N167" s="77" t="s">
        <v>37</v>
      </c>
      <c r="O167" s="77" t="s">
        <v>38</v>
      </c>
      <c r="P167" s="77" t="s">
        <v>39</v>
      </c>
      <c r="Q167" s="76">
        <v>45968</v>
      </c>
      <c r="R167" s="77"/>
      <c r="S167" s="77"/>
      <c r="T167" s="77"/>
      <c r="U167" s="77"/>
      <c r="V167" s="78" t="s">
        <v>117</v>
      </c>
      <c r="W167" s="79">
        <v>46074</v>
      </c>
      <c r="X167" s="78" t="s">
        <v>38</v>
      </c>
      <c r="Y167" s="78"/>
      <c r="Z167" s="78"/>
      <c r="AA167">
        <f>IF(COUNTIF('Call Queue'!$H$6:$H$20,V167)&gt;0,0,IF(AND(ISNUMBER(N167),N167&gt;0),10000000+N167,IF(ISNUMBER(N167*1),IF(N167*1&gt;0,10000000+N167*1,0),0))+IF(ISNUMBER(SEARCH("(",L167)),1000000+IFERROR(VALUE(SUBSTITUTE(SUBSTITUTE(SUBSTITUTE(MID(L167,SEARCH("(",L167)+1,SEARCH(")",L167)-SEARCH("(",L167)-1),"$",""),",","")," ","")),0),0))</f>
        <v>0</v>
      </c>
    </row>
    <row r="168" spans="1:27">
      <c r="A168" s="76">
        <v>45903</v>
      </c>
      <c r="B168" s="77" t="s">
        <v>803</v>
      </c>
      <c r="C168" s="77" t="s">
        <v>804</v>
      </c>
      <c r="D168" s="77" t="s">
        <v>63</v>
      </c>
      <c r="E168" s="77">
        <v>85085</v>
      </c>
      <c r="F168" s="77" t="s">
        <v>805</v>
      </c>
      <c r="G168" s="77" t="s">
        <v>506</v>
      </c>
      <c r="H168" s="77" t="s">
        <v>806</v>
      </c>
      <c r="I168" s="77" t="s">
        <v>196</v>
      </c>
      <c r="J168" s="77" t="s">
        <v>37</v>
      </c>
      <c r="K168" s="77" t="s">
        <v>37</v>
      </c>
      <c r="L168" s="77" t="s">
        <v>38</v>
      </c>
      <c r="M168" s="77" t="s">
        <v>37</v>
      </c>
      <c r="N168" s="77" t="s">
        <v>37</v>
      </c>
      <c r="O168" s="77" t="s">
        <v>38</v>
      </c>
      <c r="P168" s="77" t="s">
        <v>39</v>
      </c>
      <c r="Q168" s="76">
        <v>45968</v>
      </c>
      <c r="R168" s="77"/>
      <c r="S168" s="77"/>
      <c r="T168" s="77"/>
      <c r="U168" s="77"/>
      <c r="V168" s="78"/>
      <c r="W168" s="79"/>
      <c r="X168" s="78"/>
      <c r="Y168" s="78"/>
      <c r="Z168" s="78"/>
      <c r="AA168">
        <f>IF(COUNTIF('Call Queue'!$H$6:$H$20,V168)&gt;0,0,IF(AND(ISNUMBER(N168),N168&gt;0),10000000+N168,IF(ISNUMBER(N168*1),IF(N168*1&gt;0,10000000+N168*1,0),0))+IF(ISNUMBER(SEARCH("(",L168)),1000000+IFERROR(VALUE(SUBSTITUTE(SUBSTITUTE(SUBSTITUTE(MID(L168,SEARCH("(",L168)+1,SEARCH(")",L168)-SEARCH("(",L168)-1),"$",""),",","")," ","")),0),0))</f>
        <v>0</v>
      </c>
    </row>
    <row r="169" spans="1:27">
      <c r="A169" s="76">
        <v>45903</v>
      </c>
      <c r="B169" s="77" t="s">
        <v>810</v>
      </c>
      <c r="C169" s="77" t="s">
        <v>811</v>
      </c>
      <c r="D169" s="77" t="s">
        <v>169</v>
      </c>
      <c r="E169" s="77">
        <v>85338</v>
      </c>
      <c r="F169" s="77" t="s">
        <v>812</v>
      </c>
      <c r="G169" s="77" t="s">
        <v>506</v>
      </c>
      <c r="H169" s="77" t="s">
        <v>813</v>
      </c>
      <c r="I169" s="77" t="s">
        <v>541</v>
      </c>
      <c r="J169" s="77" t="s">
        <v>37</v>
      </c>
      <c r="K169" s="77" t="s">
        <v>37</v>
      </c>
      <c r="L169" s="77" t="s">
        <v>389</v>
      </c>
      <c r="M169" s="77" t="s">
        <v>37</v>
      </c>
      <c r="N169" s="77" t="s">
        <v>37</v>
      </c>
      <c r="O169" s="77" t="s">
        <v>38</v>
      </c>
      <c r="P169" s="77" t="s">
        <v>39</v>
      </c>
      <c r="Q169" s="76">
        <v>45968</v>
      </c>
      <c r="R169" s="77"/>
      <c r="S169" s="77"/>
      <c r="T169" s="77"/>
      <c r="U169" s="77"/>
      <c r="V169" s="78" t="s">
        <v>117</v>
      </c>
      <c r="W169" s="79">
        <v>46074</v>
      </c>
      <c r="X169" s="78" t="s">
        <v>38</v>
      </c>
      <c r="Y169" s="78"/>
      <c r="Z169" s="78" t="s">
        <v>5434</v>
      </c>
      <c r="AA169">
        <f>IF(COUNTIF('Call Queue'!$H$6:$H$20,V169)&gt;0,0,IF(AND(ISNUMBER(N169),N169&gt;0),10000000+N169,IF(ISNUMBER(N169*1),IF(N169*1&gt;0,10000000+N169*1,0),0))+IF(ISNUMBER(SEARCH("(",L169)),1000000+IFERROR(VALUE(SUBSTITUTE(SUBSTITUTE(SUBSTITUTE(MID(L169,SEARCH("(",L169)+1,SEARCH(")",L169)-SEARCH("(",L169)-1),"$",""),",","")," ","")),0),0))</f>
        <v>0</v>
      </c>
    </row>
    <row r="170" spans="1:27">
      <c r="A170" s="76">
        <v>45903</v>
      </c>
      <c r="B170" s="77" t="s">
        <v>814</v>
      </c>
      <c r="C170" s="77" t="s">
        <v>815</v>
      </c>
      <c r="D170" s="77" t="s">
        <v>816</v>
      </c>
      <c r="E170" s="77">
        <v>86303</v>
      </c>
      <c r="F170" s="77" t="s">
        <v>310</v>
      </c>
      <c r="G170" s="77" t="s">
        <v>506</v>
      </c>
      <c r="H170" s="77" t="s">
        <v>817</v>
      </c>
      <c r="I170" s="77" t="s">
        <v>73</v>
      </c>
      <c r="J170" s="77" t="s">
        <v>37</v>
      </c>
      <c r="K170" s="77" t="s">
        <v>37</v>
      </c>
      <c r="L170" s="77" t="s">
        <v>38</v>
      </c>
      <c r="M170" s="77" t="s">
        <v>37</v>
      </c>
      <c r="N170" s="77" t="s">
        <v>37</v>
      </c>
      <c r="O170" s="77" t="s">
        <v>38</v>
      </c>
      <c r="P170" s="77" t="s">
        <v>39</v>
      </c>
      <c r="Q170" s="76">
        <v>45968</v>
      </c>
      <c r="R170" s="77"/>
      <c r="S170" s="77"/>
      <c r="T170" s="77"/>
      <c r="U170" s="77"/>
      <c r="V170" s="78"/>
      <c r="W170" s="79"/>
      <c r="X170" s="78"/>
      <c r="Y170" s="78"/>
      <c r="Z170" s="78"/>
      <c r="AA170">
        <f>IF(COUNTIF('Call Queue'!$H$6:$H$20,V170)&gt;0,0,IF(AND(ISNUMBER(N170),N170&gt;0),10000000+N170,IF(ISNUMBER(N170*1),IF(N170*1&gt;0,10000000+N170*1,0),0))+IF(ISNUMBER(SEARCH("(",L170)),1000000+IFERROR(VALUE(SUBSTITUTE(SUBSTITUTE(SUBSTITUTE(MID(L170,SEARCH("(",L170)+1,SEARCH(")",L170)-SEARCH("(",L170)-1),"$",""),",","")," ","")),0),0))</f>
        <v>0</v>
      </c>
    </row>
    <row r="171" spans="1:27">
      <c r="A171" s="76">
        <v>45903</v>
      </c>
      <c r="B171" s="77" t="s">
        <v>818</v>
      </c>
      <c r="C171" s="77" t="s">
        <v>199</v>
      </c>
      <c r="D171" s="77" t="s">
        <v>63</v>
      </c>
      <c r="E171" s="77">
        <v>85028</v>
      </c>
      <c r="F171" s="77" t="s">
        <v>310</v>
      </c>
      <c r="G171" s="77" t="s">
        <v>506</v>
      </c>
      <c r="H171" s="77" t="s">
        <v>819</v>
      </c>
      <c r="I171" s="77" t="s">
        <v>36</v>
      </c>
      <c r="J171" s="77" t="s">
        <v>37</v>
      </c>
      <c r="K171" s="77" t="s">
        <v>37</v>
      </c>
      <c r="L171" s="77" t="s">
        <v>38</v>
      </c>
      <c r="M171" s="77" t="s">
        <v>37</v>
      </c>
      <c r="N171" s="77" t="s">
        <v>37</v>
      </c>
      <c r="O171" s="77" t="s">
        <v>38</v>
      </c>
      <c r="P171" s="77" t="s">
        <v>39</v>
      </c>
      <c r="Q171" s="76">
        <v>45968</v>
      </c>
      <c r="R171" s="77"/>
      <c r="S171" s="77"/>
      <c r="T171" s="77"/>
      <c r="U171" s="77"/>
      <c r="V171" s="78" t="s">
        <v>117</v>
      </c>
      <c r="W171" s="79">
        <v>46074</v>
      </c>
      <c r="X171" s="78" t="s">
        <v>37</v>
      </c>
      <c r="Y171" s="78"/>
      <c r="Z171" s="78"/>
      <c r="AA171">
        <f>IF(COUNTIF('Call Queue'!$H$6:$H$20,V171)&gt;0,0,IF(AND(ISNUMBER(N171),N171&gt;0),10000000+N171,IF(ISNUMBER(N171*1),IF(N171*1&gt;0,10000000+N171*1,0),0))+IF(ISNUMBER(SEARCH("(",L171)),1000000+IFERROR(VALUE(SUBSTITUTE(SUBSTITUTE(SUBSTITUTE(MID(L171,SEARCH("(",L171)+1,SEARCH(")",L171)-SEARCH("(",L171)-1),"$",""),",","")," ","")),0),0))</f>
        <v>0</v>
      </c>
    </row>
    <row r="172" spans="1:27">
      <c r="A172" s="76">
        <v>45903</v>
      </c>
      <c r="B172" s="77" t="s">
        <v>820</v>
      </c>
      <c r="C172" s="77" t="s">
        <v>821</v>
      </c>
      <c r="D172" s="77" t="s">
        <v>169</v>
      </c>
      <c r="E172" s="77">
        <v>85338</v>
      </c>
      <c r="F172" s="77" t="s">
        <v>822</v>
      </c>
      <c r="G172" s="77" t="s">
        <v>506</v>
      </c>
      <c r="H172" s="77">
        <v>5733698031</v>
      </c>
      <c r="I172" s="77" t="s">
        <v>36</v>
      </c>
      <c r="J172" s="77" t="s">
        <v>37</v>
      </c>
      <c r="K172" s="77" t="s">
        <v>37</v>
      </c>
      <c r="L172" s="77" t="s">
        <v>38</v>
      </c>
      <c r="M172" s="77" t="s">
        <v>37</v>
      </c>
      <c r="N172" s="77" t="s">
        <v>37</v>
      </c>
      <c r="O172" s="77" t="s">
        <v>38</v>
      </c>
      <c r="P172" s="77" t="s">
        <v>39</v>
      </c>
      <c r="Q172" s="76">
        <v>45968</v>
      </c>
      <c r="R172" s="77"/>
      <c r="S172" s="77"/>
      <c r="T172" s="77"/>
      <c r="U172" s="77"/>
      <c r="V172" s="78"/>
      <c r="W172" s="79"/>
      <c r="X172" s="78"/>
      <c r="Y172" s="78"/>
      <c r="Z172" s="78"/>
      <c r="AA172">
        <f>IF(COUNTIF('Call Queue'!$H$6:$H$20,V172)&gt;0,0,IF(AND(ISNUMBER(N172),N172&gt;0),10000000+N172,IF(ISNUMBER(N172*1),IF(N172*1&gt;0,10000000+N172*1,0),0))+IF(ISNUMBER(SEARCH("(",L172)),1000000+IFERROR(VALUE(SUBSTITUTE(SUBSTITUTE(SUBSTITUTE(MID(L172,SEARCH("(",L172)+1,SEARCH(")",L172)-SEARCH("(",L172)-1),"$",""),",","")," ","")),0),0))</f>
        <v>0</v>
      </c>
    </row>
    <row r="173" spans="1:27">
      <c r="A173" s="76">
        <v>45903</v>
      </c>
      <c r="B173" s="77" t="s">
        <v>824</v>
      </c>
      <c r="C173" s="77" t="s">
        <v>825</v>
      </c>
      <c r="D173" s="77" t="s">
        <v>63</v>
      </c>
      <c r="E173" s="77">
        <v>85013</v>
      </c>
      <c r="F173" s="77" t="s">
        <v>310</v>
      </c>
      <c r="G173" s="77" t="s">
        <v>506</v>
      </c>
      <c r="H173" s="77">
        <v>1391416918</v>
      </c>
      <c r="I173" s="77" t="s">
        <v>73</v>
      </c>
      <c r="J173" s="77" t="s">
        <v>37</v>
      </c>
      <c r="K173" s="77" t="s">
        <v>37</v>
      </c>
      <c r="L173" s="77" t="s">
        <v>38</v>
      </c>
      <c r="M173" s="77" t="s">
        <v>37</v>
      </c>
      <c r="N173" s="77" t="s">
        <v>37</v>
      </c>
      <c r="O173" s="77" t="s">
        <v>38</v>
      </c>
      <c r="P173" s="77" t="s">
        <v>39</v>
      </c>
      <c r="Q173" s="76">
        <v>45968</v>
      </c>
      <c r="R173" s="77"/>
      <c r="S173" s="77"/>
      <c r="T173" s="77"/>
      <c r="U173" s="77"/>
      <c r="V173" s="78" t="s">
        <v>117</v>
      </c>
      <c r="W173" s="79">
        <v>46074</v>
      </c>
      <c r="X173" s="78" t="s">
        <v>38</v>
      </c>
      <c r="Y173" s="78"/>
      <c r="Z173" s="78"/>
      <c r="AA173">
        <f>IF(COUNTIF('Call Queue'!$H$6:$H$20,V173)&gt;0,0,IF(AND(ISNUMBER(N173),N173&gt;0),10000000+N173,IF(ISNUMBER(N173*1),IF(N173*1&gt;0,10000000+N173*1,0),0))+IF(ISNUMBER(SEARCH("(",L173)),1000000+IFERROR(VALUE(SUBSTITUTE(SUBSTITUTE(SUBSTITUTE(MID(L173,SEARCH("(",L173)+1,SEARCH(")",L173)-SEARCH("(",L173)-1),"$",""),",","")," ","")),0),0))</f>
        <v>0</v>
      </c>
    </row>
    <row r="174" spans="1:27">
      <c r="A174" s="76">
        <v>45903</v>
      </c>
      <c r="B174" s="77" t="s">
        <v>827</v>
      </c>
      <c r="C174" s="77" t="s">
        <v>256</v>
      </c>
      <c r="D174" s="77" t="s">
        <v>63</v>
      </c>
      <c r="E174" s="77">
        <v>85083</v>
      </c>
      <c r="F174" s="77" t="s">
        <v>310</v>
      </c>
      <c r="G174" s="77" t="s">
        <v>506</v>
      </c>
      <c r="H174" s="77" t="s">
        <v>828</v>
      </c>
      <c r="I174" s="77" t="s">
        <v>36</v>
      </c>
      <c r="J174" s="77" t="s">
        <v>37</v>
      </c>
      <c r="K174" s="77" t="s">
        <v>37</v>
      </c>
      <c r="L174" s="77" t="s">
        <v>829</v>
      </c>
      <c r="M174" s="77" t="s">
        <v>37</v>
      </c>
      <c r="N174" s="77" t="s">
        <v>37</v>
      </c>
      <c r="O174" s="77" t="s">
        <v>38</v>
      </c>
      <c r="P174" s="77" t="s">
        <v>39</v>
      </c>
      <c r="Q174" s="76">
        <v>45968</v>
      </c>
      <c r="R174" s="77"/>
      <c r="S174" s="77"/>
      <c r="T174" s="77"/>
      <c r="U174" s="77"/>
      <c r="V174" s="78" t="s">
        <v>117</v>
      </c>
      <c r="W174" s="79">
        <v>46018</v>
      </c>
      <c r="X174" s="78" t="s">
        <v>38</v>
      </c>
      <c r="Y174" s="78"/>
      <c r="Z174" s="78"/>
      <c r="AA174">
        <f>IF(COUNTIF('Call Queue'!$H$6:$H$20,V174)&gt;0,0,IF(AND(ISNUMBER(N174),N174&gt;0),10000000+N174,IF(ISNUMBER(N174*1),IF(N174*1&gt;0,10000000+N174*1,0),0))+IF(ISNUMBER(SEARCH("(",L174)),1000000+IFERROR(VALUE(SUBSTITUTE(SUBSTITUTE(SUBSTITUTE(MID(L174,SEARCH("(",L174)+1,SEARCH(")",L174)-SEARCH("(",L174)-1),"$",""),",","")," ","")),0),0))</f>
        <v>0</v>
      </c>
    </row>
    <row r="175" spans="1:27">
      <c r="A175" s="76">
        <v>45903</v>
      </c>
      <c r="B175" s="77" t="s">
        <v>832</v>
      </c>
      <c r="C175" s="77" t="s">
        <v>601</v>
      </c>
      <c r="D175" s="77" t="s">
        <v>63</v>
      </c>
      <c r="E175" s="77">
        <v>85013</v>
      </c>
      <c r="F175" s="77" t="s">
        <v>310</v>
      </c>
      <c r="G175" s="77" t="s">
        <v>506</v>
      </c>
      <c r="H175" s="77" t="s">
        <v>833</v>
      </c>
      <c r="I175" s="77" t="s">
        <v>73</v>
      </c>
      <c r="J175" s="77" t="s">
        <v>37</v>
      </c>
      <c r="K175" s="77" t="s">
        <v>37</v>
      </c>
      <c r="L175" s="77" t="s">
        <v>38</v>
      </c>
      <c r="M175" s="77" t="s">
        <v>37</v>
      </c>
      <c r="N175" s="77" t="s">
        <v>37</v>
      </c>
      <c r="O175" s="77" t="s">
        <v>38</v>
      </c>
      <c r="P175" s="77" t="s">
        <v>39</v>
      </c>
      <c r="Q175" s="76">
        <v>45968</v>
      </c>
      <c r="R175" s="77"/>
      <c r="S175" s="77"/>
      <c r="T175" s="77"/>
      <c r="U175" s="77"/>
      <c r="V175" s="78" t="s">
        <v>117</v>
      </c>
      <c r="W175" s="79">
        <v>46081</v>
      </c>
      <c r="X175" s="78" t="s">
        <v>37</v>
      </c>
      <c r="Y175" s="78" t="s">
        <v>5442</v>
      </c>
      <c r="Z175" s="78"/>
      <c r="AA175">
        <f>IF(COUNTIF('Call Queue'!$H$6:$H$20,V175)&gt;0,0,IF(AND(ISNUMBER(N175),N175&gt;0),10000000+N175,IF(ISNUMBER(N175*1),IF(N175*1&gt;0,10000000+N175*1,0),0))+IF(ISNUMBER(SEARCH("(",L175)),1000000+IFERROR(VALUE(SUBSTITUTE(SUBSTITUTE(SUBSTITUTE(MID(L175,SEARCH("(",L175)+1,SEARCH(")",L175)-SEARCH("(",L175)-1),"$",""),",","")," ","")),0),0))</f>
        <v>0</v>
      </c>
    </row>
    <row r="176" spans="1:27">
      <c r="A176" s="76">
        <v>45903</v>
      </c>
      <c r="B176" s="77" t="s">
        <v>834</v>
      </c>
      <c r="C176" s="77" t="s">
        <v>835</v>
      </c>
      <c r="D176" s="77" t="s">
        <v>63</v>
      </c>
      <c r="E176" s="77">
        <v>85024</v>
      </c>
      <c r="F176" s="77" t="s">
        <v>310</v>
      </c>
      <c r="G176" s="77" t="s">
        <v>506</v>
      </c>
      <c r="H176" s="77" t="s">
        <v>836</v>
      </c>
      <c r="I176" s="77" t="s">
        <v>418</v>
      </c>
      <c r="J176" s="77" t="s">
        <v>37</v>
      </c>
      <c r="K176" s="77" t="s">
        <v>37</v>
      </c>
      <c r="L176" s="77" t="s">
        <v>389</v>
      </c>
      <c r="M176" s="77" t="s">
        <v>37</v>
      </c>
      <c r="N176" s="77" t="s">
        <v>37</v>
      </c>
      <c r="O176" s="77" t="s">
        <v>38</v>
      </c>
      <c r="P176" s="77" t="s">
        <v>39</v>
      </c>
      <c r="Q176" s="76">
        <v>45968</v>
      </c>
      <c r="R176" s="77"/>
      <c r="S176" s="77"/>
      <c r="T176" s="77"/>
      <c r="U176" s="77"/>
      <c r="V176" s="78"/>
      <c r="W176" s="79"/>
      <c r="X176" s="78"/>
      <c r="Y176" s="78"/>
      <c r="Z176" s="78"/>
      <c r="AA176">
        <f>IF(COUNTIF('Call Queue'!$H$6:$H$20,V176)&gt;0,0,IF(AND(ISNUMBER(N176),N176&gt;0),10000000+N176,IF(ISNUMBER(N176*1),IF(N176*1&gt;0,10000000+N176*1,0),0))+IF(ISNUMBER(SEARCH("(",L176)),1000000+IFERROR(VALUE(SUBSTITUTE(SUBSTITUTE(SUBSTITUTE(MID(L176,SEARCH("(",L176)+1,SEARCH(")",L176)-SEARCH("(",L176)-1),"$",""),",","")," ","")),0),0))</f>
        <v>0</v>
      </c>
    </row>
    <row r="177" spans="1:27">
      <c r="A177" s="76">
        <v>45903</v>
      </c>
      <c r="B177" s="77" t="s">
        <v>837</v>
      </c>
      <c r="C177" s="77" t="s">
        <v>838</v>
      </c>
      <c r="D177" s="77" t="s">
        <v>24</v>
      </c>
      <c r="E177" s="77">
        <v>85308</v>
      </c>
      <c r="F177" s="77" t="s">
        <v>310</v>
      </c>
      <c r="G177" s="77" t="s">
        <v>506</v>
      </c>
      <c r="H177" s="77" t="s">
        <v>839</v>
      </c>
      <c r="I177" s="77" t="s">
        <v>196</v>
      </c>
      <c r="J177" s="77" t="s">
        <v>37</v>
      </c>
      <c r="K177" s="77" t="s">
        <v>37</v>
      </c>
      <c r="L177" s="77" t="s">
        <v>840</v>
      </c>
      <c r="M177" s="77" t="s">
        <v>37</v>
      </c>
      <c r="N177" s="77" t="s">
        <v>37</v>
      </c>
      <c r="O177" s="77" t="s">
        <v>38</v>
      </c>
      <c r="P177" s="77">
        <v>45933</v>
      </c>
      <c r="Q177" s="76">
        <v>45968</v>
      </c>
      <c r="R177" s="77" t="s">
        <v>561</v>
      </c>
      <c r="S177" s="77"/>
      <c r="T177" s="77"/>
      <c r="U177" s="77"/>
      <c r="V177" s="78" t="s">
        <v>117</v>
      </c>
      <c r="W177" s="79">
        <v>46025</v>
      </c>
      <c r="X177" s="78" t="s">
        <v>38</v>
      </c>
      <c r="Y177" s="78"/>
      <c r="Z177" s="78"/>
      <c r="AA177">
        <f>IF(COUNTIF('Call Queue'!$H$6:$H$20,V177)&gt;0,0,IF(AND(ISNUMBER(N177),N177&gt;0),10000000+N177,IF(ISNUMBER(N177*1),IF(N177*1&gt;0,10000000+N177*1,0),0))+IF(ISNUMBER(SEARCH("(",L177)),1000000+IFERROR(VALUE(SUBSTITUTE(SUBSTITUTE(SUBSTITUTE(MID(L177,SEARCH("(",L177)+1,SEARCH(")",L177)-SEARCH("(",L177)-1),"$",""),",","")," ","")),0),0))</f>
        <v>0</v>
      </c>
    </row>
    <row r="178" spans="1:27">
      <c r="A178" s="76">
        <v>45903</v>
      </c>
      <c r="B178" s="77" t="s">
        <v>841</v>
      </c>
      <c r="C178" s="77" t="s">
        <v>842</v>
      </c>
      <c r="D178" s="77" t="s">
        <v>63</v>
      </c>
      <c r="E178" s="77">
        <v>85050</v>
      </c>
      <c r="F178" s="77" t="s">
        <v>31</v>
      </c>
      <c r="G178" s="77" t="s">
        <v>506</v>
      </c>
      <c r="H178" s="77" t="s">
        <v>843</v>
      </c>
      <c r="I178" s="77" t="s">
        <v>73</v>
      </c>
      <c r="J178" s="77" t="s">
        <v>37</v>
      </c>
      <c r="K178" s="77" t="s">
        <v>37</v>
      </c>
      <c r="L178" s="77" t="s">
        <v>38</v>
      </c>
      <c r="M178" s="77" t="s">
        <v>37</v>
      </c>
      <c r="N178" s="77" t="s">
        <v>37</v>
      </c>
      <c r="O178" s="77" t="s">
        <v>38</v>
      </c>
      <c r="P178" s="77" t="s">
        <v>39</v>
      </c>
      <c r="Q178" s="76">
        <v>45968</v>
      </c>
      <c r="R178" s="77"/>
      <c r="S178" s="77"/>
      <c r="T178" s="77"/>
      <c r="U178" s="77"/>
      <c r="V178" s="78"/>
      <c r="W178" s="79"/>
      <c r="X178" s="78"/>
      <c r="Y178" s="78"/>
      <c r="Z178" s="78"/>
      <c r="AA178">
        <f>IF(COUNTIF('Call Queue'!$H$6:$H$20,V178)&gt;0,0,IF(AND(ISNUMBER(N178),N178&gt;0),10000000+N178,IF(ISNUMBER(N178*1),IF(N178*1&gt;0,10000000+N178*1,0),0))+IF(ISNUMBER(SEARCH("(",L178)),1000000+IFERROR(VALUE(SUBSTITUTE(SUBSTITUTE(SUBSTITUTE(MID(L178,SEARCH("(",L178)+1,SEARCH(")",L178)-SEARCH("(",L178)-1),"$",""),",","")," ","")),0),0))</f>
        <v>0</v>
      </c>
    </row>
    <row r="179" spans="1:27">
      <c r="A179" s="76">
        <v>45903</v>
      </c>
      <c r="B179" s="77" t="s">
        <v>650</v>
      </c>
      <c r="C179" s="77" t="s">
        <v>844</v>
      </c>
      <c r="D179" s="77" t="s">
        <v>63</v>
      </c>
      <c r="E179" s="77">
        <v>85029</v>
      </c>
      <c r="F179" s="77" t="s">
        <v>31</v>
      </c>
      <c r="G179" s="77" t="s">
        <v>506</v>
      </c>
      <c r="H179" s="77" t="s">
        <v>845</v>
      </c>
      <c r="I179" s="77" t="s">
        <v>36</v>
      </c>
      <c r="J179" s="77" t="s">
        <v>37</v>
      </c>
      <c r="K179" s="77" t="s">
        <v>37</v>
      </c>
      <c r="L179" s="77" t="s">
        <v>38</v>
      </c>
      <c r="M179" s="77" t="s">
        <v>37</v>
      </c>
      <c r="N179" s="77" t="s">
        <v>37</v>
      </c>
      <c r="O179" s="77" t="s">
        <v>38</v>
      </c>
      <c r="P179" s="77" t="s">
        <v>39</v>
      </c>
      <c r="Q179" s="76">
        <v>45968</v>
      </c>
      <c r="R179" s="77"/>
      <c r="S179" s="77"/>
      <c r="T179" s="77"/>
      <c r="U179" s="77"/>
      <c r="V179" s="78" t="s">
        <v>117</v>
      </c>
      <c r="W179" s="79">
        <v>46081</v>
      </c>
      <c r="X179" s="78" t="s">
        <v>37</v>
      </c>
      <c r="Y179" s="78" t="s">
        <v>5442</v>
      </c>
      <c r="Z179" s="78"/>
      <c r="AA179">
        <f>IF(COUNTIF('Call Queue'!$H$6:$H$20,V179)&gt;0,0,IF(AND(ISNUMBER(N179),N179&gt;0),10000000+N179,IF(ISNUMBER(N179*1),IF(N179*1&gt;0,10000000+N179*1,0),0))+IF(ISNUMBER(SEARCH("(",L179)),1000000+IFERROR(VALUE(SUBSTITUTE(SUBSTITUTE(SUBSTITUTE(MID(L179,SEARCH("(",L179)+1,SEARCH(")",L179)-SEARCH("(",L179)-1),"$",""),",","")," ","")),0),0))</f>
        <v>0</v>
      </c>
    </row>
    <row r="180" spans="1:27">
      <c r="A180" s="76">
        <v>45903</v>
      </c>
      <c r="B180" s="77" t="s">
        <v>846</v>
      </c>
      <c r="C180" s="77" t="s">
        <v>847</v>
      </c>
      <c r="D180" s="77" t="s">
        <v>63</v>
      </c>
      <c r="E180" s="77">
        <v>85028</v>
      </c>
      <c r="F180" s="77" t="s">
        <v>31</v>
      </c>
      <c r="G180" s="77" t="s">
        <v>506</v>
      </c>
      <c r="H180" s="77" t="s">
        <v>848</v>
      </c>
      <c r="I180" s="77" t="s">
        <v>36</v>
      </c>
      <c r="J180" s="77" t="s">
        <v>38</v>
      </c>
      <c r="K180" s="77" t="s">
        <v>37</v>
      </c>
      <c r="L180" s="77" t="s">
        <v>38</v>
      </c>
      <c r="M180" s="77" t="s">
        <v>37</v>
      </c>
      <c r="N180" s="77" t="s">
        <v>37</v>
      </c>
      <c r="O180" s="77" t="s">
        <v>38</v>
      </c>
      <c r="P180" s="77" t="s">
        <v>39</v>
      </c>
      <c r="Q180" s="76">
        <v>45968</v>
      </c>
      <c r="R180" s="77"/>
      <c r="S180" s="77"/>
      <c r="T180" s="77"/>
      <c r="U180" s="77"/>
      <c r="V180" s="78"/>
      <c r="W180" s="79"/>
      <c r="X180" s="78"/>
      <c r="Y180" s="78"/>
      <c r="Z180" s="78"/>
      <c r="AA180">
        <f>IF(COUNTIF('Call Queue'!$H$6:$H$20,V180)&gt;0,0,IF(AND(ISNUMBER(N180),N180&gt;0),10000000+N180,IF(ISNUMBER(N180*1),IF(N180*1&gt;0,10000000+N180*1,0),0))+IF(ISNUMBER(SEARCH("(",L180)),1000000+IFERROR(VALUE(SUBSTITUTE(SUBSTITUTE(SUBSTITUTE(MID(L180,SEARCH("(",L180)+1,SEARCH(")",L180)-SEARCH("(",L180)-1),"$",""),",","")," ","")),0),0))</f>
        <v>0</v>
      </c>
    </row>
    <row r="181" spans="1:27">
      <c r="A181" s="76">
        <v>45903</v>
      </c>
      <c r="B181" s="77" t="s">
        <v>851</v>
      </c>
      <c r="C181" s="77" t="s">
        <v>852</v>
      </c>
      <c r="D181" s="77" t="s">
        <v>635</v>
      </c>
      <c r="E181" s="77">
        <v>85281</v>
      </c>
      <c r="F181" s="77" t="s">
        <v>853</v>
      </c>
      <c r="G181" s="77" t="s">
        <v>506</v>
      </c>
      <c r="H181" s="77" t="s">
        <v>854</v>
      </c>
      <c r="I181" s="77" t="s">
        <v>541</v>
      </c>
      <c r="J181" s="77" t="s">
        <v>37</v>
      </c>
      <c r="K181" s="77" t="s">
        <v>37</v>
      </c>
      <c r="L181" s="77" t="s">
        <v>389</v>
      </c>
      <c r="M181" s="77" t="s">
        <v>37</v>
      </c>
      <c r="N181" s="77" t="s">
        <v>37</v>
      </c>
      <c r="O181" s="77" t="s">
        <v>38</v>
      </c>
      <c r="P181" s="77" t="s">
        <v>39</v>
      </c>
      <c r="Q181" s="76">
        <v>45968</v>
      </c>
      <c r="R181" s="77"/>
      <c r="S181" s="77"/>
      <c r="T181" s="77"/>
      <c r="U181" s="77"/>
      <c r="V181" s="78" t="s">
        <v>117</v>
      </c>
      <c r="W181" s="79">
        <v>46081</v>
      </c>
      <c r="X181" s="78" t="s">
        <v>37</v>
      </c>
      <c r="Y181" s="78" t="s">
        <v>5442</v>
      </c>
      <c r="Z181" s="78"/>
      <c r="AA181">
        <f>IF(COUNTIF('Call Queue'!$H$6:$H$20,V181)&gt;0,0,IF(AND(ISNUMBER(N181),N181&gt;0),10000000+N181,IF(ISNUMBER(N181*1),IF(N181*1&gt;0,10000000+N181*1,0),0))+IF(ISNUMBER(SEARCH("(",L181)),1000000+IFERROR(VALUE(SUBSTITUTE(SUBSTITUTE(SUBSTITUTE(MID(L181,SEARCH("(",L181)+1,SEARCH(")",L181)-SEARCH("(",L181)-1),"$",""),",","")," ","")),0),0))</f>
        <v>0</v>
      </c>
    </row>
    <row r="182" spans="1:27">
      <c r="A182" s="76">
        <v>45903</v>
      </c>
      <c r="B182" s="77" t="s">
        <v>855</v>
      </c>
      <c r="C182" s="77" t="s">
        <v>135</v>
      </c>
      <c r="D182" s="77" t="s">
        <v>169</v>
      </c>
      <c r="E182" s="77">
        <v>85338</v>
      </c>
      <c r="F182" s="77" t="s">
        <v>856</v>
      </c>
      <c r="G182" s="77" t="s">
        <v>506</v>
      </c>
      <c r="H182" s="77">
        <v>4014511000</v>
      </c>
      <c r="I182" s="77" t="s">
        <v>196</v>
      </c>
      <c r="J182" s="77" t="s">
        <v>37</v>
      </c>
      <c r="K182" s="77" t="s">
        <v>37</v>
      </c>
      <c r="L182" s="77" t="s">
        <v>858</v>
      </c>
      <c r="M182" s="77" t="s">
        <v>37</v>
      </c>
      <c r="N182" s="77" t="s">
        <v>37</v>
      </c>
      <c r="O182" s="77" t="s">
        <v>38</v>
      </c>
      <c r="P182" s="77" t="s">
        <v>39</v>
      </c>
      <c r="Q182" s="76">
        <v>45968</v>
      </c>
      <c r="R182" s="77" t="s">
        <v>859</v>
      </c>
      <c r="S182" s="77"/>
      <c r="T182" s="77"/>
      <c r="U182" s="77"/>
      <c r="V182" s="78" t="s">
        <v>117</v>
      </c>
      <c r="W182" s="79">
        <v>46032</v>
      </c>
      <c r="X182" s="78" t="s">
        <v>38</v>
      </c>
      <c r="Y182" s="78"/>
      <c r="Z182" s="78" t="s">
        <v>5434</v>
      </c>
      <c r="AA182">
        <f>IF(COUNTIF('Call Queue'!$H$6:$H$20,V182)&gt;0,0,IF(AND(ISNUMBER(N182),N182&gt;0),10000000+N182,IF(ISNUMBER(N182*1),IF(N182*1&gt;0,10000000+N182*1,0),0))+IF(ISNUMBER(SEARCH("(",L182)),1000000+IFERROR(VALUE(SUBSTITUTE(SUBSTITUTE(SUBSTITUTE(MID(L182,SEARCH("(",L182)+1,SEARCH(")",L182)-SEARCH("(",L182)-1),"$",""),",","")," ","")),0),0))</f>
        <v>0</v>
      </c>
    </row>
    <row r="183" spans="1:27">
      <c r="A183" s="76">
        <v>45903</v>
      </c>
      <c r="B183" s="77" t="s">
        <v>860</v>
      </c>
      <c r="C183" s="77" t="s">
        <v>861</v>
      </c>
      <c r="D183" s="77" t="s">
        <v>63</v>
      </c>
      <c r="E183" s="77">
        <v>85016</v>
      </c>
      <c r="F183" s="77" t="s">
        <v>31</v>
      </c>
      <c r="G183" s="77" t="s">
        <v>506</v>
      </c>
      <c r="H183" s="77" t="s">
        <v>862</v>
      </c>
      <c r="I183" s="77" t="s">
        <v>57</v>
      </c>
      <c r="J183" s="77" t="s">
        <v>37</v>
      </c>
      <c r="K183" s="77" t="s">
        <v>37</v>
      </c>
      <c r="L183" s="77" t="s">
        <v>863</v>
      </c>
      <c r="M183" s="77" t="s">
        <v>37</v>
      </c>
      <c r="N183" s="77" t="s">
        <v>37</v>
      </c>
      <c r="O183" s="77" t="s">
        <v>38</v>
      </c>
      <c r="P183" s="77" t="s">
        <v>39</v>
      </c>
      <c r="Q183" s="76">
        <v>45968</v>
      </c>
      <c r="R183" s="77"/>
      <c r="S183" s="77"/>
      <c r="T183" s="77"/>
      <c r="U183" s="77"/>
      <c r="V183" s="78" t="s">
        <v>117</v>
      </c>
      <c r="W183" s="79">
        <v>46018</v>
      </c>
      <c r="X183" s="78" t="s">
        <v>38</v>
      </c>
      <c r="Y183" s="78"/>
      <c r="Z183" s="78"/>
      <c r="AA183">
        <f>IF(COUNTIF('Call Queue'!$H$6:$H$20,V183)&gt;0,0,IF(AND(ISNUMBER(N183),N183&gt;0),10000000+N183,IF(ISNUMBER(N183*1),IF(N183*1&gt;0,10000000+N183*1,0),0))+IF(ISNUMBER(SEARCH("(",L183)),1000000+IFERROR(VALUE(SUBSTITUTE(SUBSTITUTE(SUBSTITUTE(MID(L183,SEARCH("(",L183)+1,SEARCH(")",L183)-SEARCH("(",L183)-1),"$",""),",","")," ","")),0),0))</f>
        <v>0</v>
      </c>
    </row>
    <row r="184" spans="1:27">
      <c r="A184" s="76">
        <v>45903</v>
      </c>
      <c r="B184" s="77" t="s">
        <v>864</v>
      </c>
      <c r="C184" s="77" t="s">
        <v>865</v>
      </c>
      <c r="D184" s="77" t="s">
        <v>63</v>
      </c>
      <c r="E184" s="77">
        <v>85028</v>
      </c>
      <c r="F184" s="77" t="s">
        <v>310</v>
      </c>
      <c r="G184" s="77" t="s">
        <v>506</v>
      </c>
      <c r="H184" s="77" t="s">
        <v>866</v>
      </c>
      <c r="I184" s="77" t="s">
        <v>36</v>
      </c>
      <c r="J184" s="77" t="s">
        <v>37</v>
      </c>
      <c r="K184" s="77" t="s">
        <v>37</v>
      </c>
      <c r="L184" s="77" t="s">
        <v>38</v>
      </c>
      <c r="M184" s="77" t="s">
        <v>37</v>
      </c>
      <c r="N184" s="77" t="s">
        <v>37</v>
      </c>
      <c r="O184" s="77" t="s">
        <v>38</v>
      </c>
      <c r="P184" s="77" t="s">
        <v>39</v>
      </c>
      <c r="Q184" s="76">
        <v>45968</v>
      </c>
      <c r="R184" s="77"/>
      <c r="S184" s="77"/>
      <c r="T184" s="77"/>
      <c r="U184" s="77"/>
      <c r="V184" s="78"/>
      <c r="W184" s="79"/>
      <c r="X184" s="78"/>
      <c r="Y184" s="78"/>
      <c r="Z184" s="78"/>
      <c r="AA184">
        <f>IF(COUNTIF('Call Queue'!$H$6:$H$20,V184)&gt;0,0,IF(AND(ISNUMBER(N184),N184&gt;0),10000000+N184,IF(ISNUMBER(N184*1),IF(N184*1&gt;0,10000000+N184*1,0),0))+IF(ISNUMBER(SEARCH("(",L184)),1000000+IFERROR(VALUE(SUBSTITUTE(SUBSTITUTE(SUBSTITUTE(MID(L184,SEARCH("(",L184)+1,SEARCH(")",L184)-SEARCH("(",L184)-1),"$",""),",","")," ","")),0),0))</f>
        <v>0</v>
      </c>
    </row>
    <row r="185" spans="1:27">
      <c r="A185" s="76">
        <v>45903</v>
      </c>
      <c r="B185" s="77" t="s">
        <v>219</v>
      </c>
      <c r="C185" s="77" t="s">
        <v>867</v>
      </c>
      <c r="D185" s="77" t="s">
        <v>523</v>
      </c>
      <c r="E185" s="77">
        <v>85392</v>
      </c>
      <c r="F185" s="77" t="s">
        <v>868</v>
      </c>
      <c r="G185" s="77" t="s">
        <v>506</v>
      </c>
      <c r="H185" s="77" t="s">
        <v>869</v>
      </c>
      <c r="I185" s="77" t="s">
        <v>196</v>
      </c>
      <c r="J185" s="77" t="s">
        <v>38</v>
      </c>
      <c r="K185" s="77" t="s">
        <v>37</v>
      </c>
      <c r="L185" s="77" t="s">
        <v>38</v>
      </c>
      <c r="M185" s="77" t="s">
        <v>37</v>
      </c>
      <c r="N185" s="77" t="s">
        <v>37</v>
      </c>
      <c r="O185" s="77" t="s">
        <v>38</v>
      </c>
      <c r="P185" s="77" t="s">
        <v>39</v>
      </c>
      <c r="Q185" s="76">
        <v>45968</v>
      </c>
      <c r="R185" s="77"/>
      <c r="S185" s="77"/>
      <c r="T185" s="77"/>
      <c r="U185" s="77"/>
      <c r="V185" s="78" t="s">
        <v>117</v>
      </c>
      <c r="W185" s="79">
        <v>46081</v>
      </c>
      <c r="X185" s="78" t="s">
        <v>38</v>
      </c>
      <c r="Y185" s="78"/>
      <c r="Z185" s="78" t="s">
        <v>5434</v>
      </c>
      <c r="AA185">
        <f>IF(COUNTIF('Call Queue'!$H$6:$H$20,V185)&gt;0,0,IF(AND(ISNUMBER(N185),N185&gt;0),10000000+N185,IF(ISNUMBER(N185*1),IF(N185*1&gt;0,10000000+N185*1,0),0))+IF(ISNUMBER(SEARCH("(",L185)),1000000+IFERROR(VALUE(SUBSTITUTE(SUBSTITUTE(SUBSTITUTE(MID(L185,SEARCH("(",L185)+1,SEARCH(")",L185)-SEARCH("(",L185)-1),"$",""),",","")," ","")),0),0))</f>
        <v>0</v>
      </c>
    </row>
    <row r="186" spans="1:27">
      <c r="A186" s="76">
        <v>45903</v>
      </c>
      <c r="B186" s="77" t="s">
        <v>870</v>
      </c>
      <c r="C186" s="77" t="s">
        <v>440</v>
      </c>
      <c r="D186" s="77" t="s">
        <v>169</v>
      </c>
      <c r="E186" s="77">
        <v>85338</v>
      </c>
      <c r="F186" s="77" t="s">
        <v>871</v>
      </c>
      <c r="G186" s="77" t="s">
        <v>506</v>
      </c>
      <c r="H186" s="77">
        <v>5131511000</v>
      </c>
      <c r="I186" s="77" t="s">
        <v>196</v>
      </c>
      <c r="J186" s="77" t="s">
        <v>37</v>
      </c>
      <c r="K186" s="77" t="s">
        <v>37</v>
      </c>
      <c r="L186" s="77" t="s">
        <v>873</v>
      </c>
      <c r="M186" s="77" t="s">
        <v>37</v>
      </c>
      <c r="N186" s="77" t="s">
        <v>37</v>
      </c>
      <c r="O186" s="77" t="s">
        <v>38</v>
      </c>
      <c r="P186" s="77" t="s">
        <v>39</v>
      </c>
      <c r="Q186" s="76">
        <v>45968</v>
      </c>
      <c r="R186" s="77"/>
      <c r="S186" s="77"/>
      <c r="T186" s="77"/>
      <c r="U186" s="77"/>
      <c r="V186" s="78" t="s">
        <v>117</v>
      </c>
      <c r="W186" s="79">
        <v>46018</v>
      </c>
      <c r="X186" s="78" t="s">
        <v>37</v>
      </c>
      <c r="Y186" s="78"/>
      <c r="Z186" s="78"/>
      <c r="AA186">
        <f>IF(COUNTIF('Call Queue'!$H$6:$H$20,V186)&gt;0,0,IF(AND(ISNUMBER(N186),N186&gt;0),10000000+N186,IF(ISNUMBER(N186*1),IF(N186*1&gt;0,10000000+N186*1,0),0))+IF(ISNUMBER(SEARCH("(",L186)),1000000+IFERROR(VALUE(SUBSTITUTE(SUBSTITUTE(SUBSTITUTE(MID(L186,SEARCH("(",L186)+1,SEARCH(")",L186)-SEARCH("(",L186)-1),"$",""),",","")," ","")),0),0))</f>
        <v>0</v>
      </c>
    </row>
    <row r="187" spans="1:27">
      <c r="A187" s="76">
        <v>45903</v>
      </c>
      <c r="B187" s="77" t="s">
        <v>874</v>
      </c>
      <c r="C187" s="77" t="s">
        <v>875</v>
      </c>
      <c r="D187" s="77" t="s">
        <v>169</v>
      </c>
      <c r="E187" s="77">
        <v>85395</v>
      </c>
      <c r="F187" s="77" t="s">
        <v>876</v>
      </c>
      <c r="G187" s="77" t="s">
        <v>506</v>
      </c>
      <c r="H187" s="77" t="s">
        <v>877</v>
      </c>
      <c r="I187" s="77" t="s">
        <v>36</v>
      </c>
      <c r="J187" s="77" t="s">
        <v>37</v>
      </c>
      <c r="K187" s="77" t="s">
        <v>37</v>
      </c>
      <c r="L187" s="77" t="s">
        <v>38</v>
      </c>
      <c r="M187" s="77" t="s">
        <v>37</v>
      </c>
      <c r="N187" s="77" t="s">
        <v>37</v>
      </c>
      <c r="O187" s="77" t="s">
        <v>38</v>
      </c>
      <c r="P187" s="77" t="s">
        <v>39</v>
      </c>
      <c r="Q187" s="76">
        <v>45968</v>
      </c>
      <c r="R187" s="77"/>
      <c r="S187" s="77"/>
      <c r="T187" s="77"/>
      <c r="U187" s="77"/>
      <c r="V187" s="78" t="s">
        <v>117</v>
      </c>
      <c r="W187" s="79">
        <v>46081</v>
      </c>
      <c r="X187" s="78" t="s">
        <v>37</v>
      </c>
      <c r="Y187" s="78"/>
      <c r="Z187" s="78" t="s">
        <v>5553</v>
      </c>
      <c r="AA187">
        <f>IF(COUNTIF('Call Queue'!$H$6:$H$20,V187)&gt;0,0,IF(AND(ISNUMBER(N187),N187&gt;0),10000000+N187,IF(ISNUMBER(N187*1),IF(N187*1&gt;0,10000000+N187*1,0),0))+IF(ISNUMBER(SEARCH("(",L187)),1000000+IFERROR(VALUE(SUBSTITUTE(SUBSTITUTE(SUBSTITUTE(MID(L187,SEARCH("(",L187)+1,SEARCH(")",L187)-SEARCH("(",L187)-1),"$",""),",","")," ","")),0),0))</f>
        <v>0</v>
      </c>
    </row>
    <row r="188" spans="1:27">
      <c r="A188" s="76">
        <v>45903</v>
      </c>
      <c r="B188" s="77" t="s">
        <v>878</v>
      </c>
      <c r="C188" s="77" t="s">
        <v>879</v>
      </c>
      <c r="D188" s="77" t="s">
        <v>880</v>
      </c>
      <c r="E188" s="77">
        <v>85086</v>
      </c>
      <c r="F188" s="77" t="s">
        <v>798</v>
      </c>
      <c r="G188" s="77" t="s">
        <v>506</v>
      </c>
      <c r="H188" s="77" t="s">
        <v>881</v>
      </c>
      <c r="I188" s="77" t="s">
        <v>36</v>
      </c>
      <c r="J188" s="77" t="s">
        <v>37</v>
      </c>
      <c r="K188" s="77" t="s">
        <v>37</v>
      </c>
      <c r="L188" s="77" t="s">
        <v>882</v>
      </c>
      <c r="M188" s="77" t="s">
        <v>37</v>
      </c>
      <c r="N188" s="77" t="s">
        <v>37</v>
      </c>
      <c r="O188" s="77" t="s">
        <v>38</v>
      </c>
      <c r="P188" s="77" t="s">
        <v>39</v>
      </c>
      <c r="Q188" s="76">
        <v>45968</v>
      </c>
      <c r="R188" s="77"/>
      <c r="S188" s="77"/>
      <c r="T188" s="77"/>
      <c r="U188" s="77"/>
      <c r="V188" s="78" t="s">
        <v>117</v>
      </c>
      <c r="W188" s="79">
        <v>46025</v>
      </c>
      <c r="X188" s="78" t="s">
        <v>37</v>
      </c>
      <c r="Y188" s="78"/>
      <c r="Z188" s="78"/>
      <c r="AA188">
        <f>IF(COUNTIF('Call Queue'!$H$6:$H$20,V188)&gt;0,0,IF(AND(ISNUMBER(N188),N188&gt;0),10000000+N188,IF(ISNUMBER(N188*1),IF(N188*1&gt;0,10000000+N188*1,0),0))+IF(ISNUMBER(SEARCH("(",L188)),1000000+IFERROR(VALUE(SUBSTITUTE(SUBSTITUTE(SUBSTITUTE(MID(L188,SEARCH("(",L188)+1,SEARCH(")",L188)-SEARCH("(",L188)-1),"$",""),",","")," ","")),0),0))</f>
        <v>0</v>
      </c>
    </row>
    <row r="189" spans="1:27">
      <c r="A189" s="76">
        <v>45903</v>
      </c>
      <c r="B189" s="77" t="s">
        <v>883</v>
      </c>
      <c r="C189" s="77" t="s">
        <v>459</v>
      </c>
      <c r="D189" s="77" t="s">
        <v>63</v>
      </c>
      <c r="E189" s="77">
        <v>85024</v>
      </c>
      <c r="F189" s="77" t="s">
        <v>310</v>
      </c>
      <c r="G189" s="77" t="s">
        <v>506</v>
      </c>
      <c r="H189" s="77" t="s">
        <v>884</v>
      </c>
      <c r="I189" s="77" t="s">
        <v>196</v>
      </c>
      <c r="J189" s="77" t="s">
        <v>37</v>
      </c>
      <c r="K189" s="77" t="s">
        <v>37</v>
      </c>
      <c r="L189" s="77" t="s">
        <v>885</v>
      </c>
      <c r="M189" s="77" t="s">
        <v>37</v>
      </c>
      <c r="N189" s="77" t="s">
        <v>37</v>
      </c>
      <c r="O189" s="77" t="s">
        <v>38</v>
      </c>
      <c r="P189" s="77">
        <v>45933</v>
      </c>
      <c r="Q189" s="76">
        <v>45968</v>
      </c>
      <c r="R189" s="77" t="s">
        <v>561</v>
      </c>
      <c r="S189" s="77"/>
      <c r="T189" s="77"/>
      <c r="U189" s="77"/>
      <c r="V189" s="78" t="s">
        <v>117</v>
      </c>
      <c r="W189" s="79">
        <v>46025</v>
      </c>
      <c r="X189" s="78" t="s">
        <v>38</v>
      </c>
      <c r="Y189" s="78"/>
      <c r="Z189" s="78"/>
      <c r="AA189">
        <f>IF(COUNTIF('Call Queue'!$H$6:$H$20,V189)&gt;0,0,IF(AND(ISNUMBER(N189),N189&gt;0),10000000+N189,IF(ISNUMBER(N189*1),IF(N189*1&gt;0,10000000+N189*1,0),0))+IF(ISNUMBER(SEARCH("(",L189)),1000000+IFERROR(VALUE(SUBSTITUTE(SUBSTITUTE(SUBSTITUTE(MID(L189,SEARCH("(",L189)+1,SEARCH(")",L189)-SEARCH("(",L189)-1),"$",""),",","")," ","")),0),0))</f>
        <v>0</v>
      </c>
    </row>
    <row r="190" spans="1:27">
      <c r="A190" s="76">
        <v>45903</v>
      </c>
      <c r="B190" s="77" t="s">
        <v>886</v>
      </c>
      <c r="C190" s="77" t="s">
        <v>887</v>
      </c>
      <c r="D190" s="77" t="s">
        <v>169</v>
      </c>
      <c r="E190" s="77">
        <v>85338</v>
      </c>
      <c r="F190" s="77" t="s">
        <v>888</v>
      </c>
      <c r="G190" s="77" t="s">
        <v>506</v>
      </c>
      <c r="H190" s="77">
        <v>6626729560</v>
      </c>
      <c r="I190" s="77" t="s">
        <v>73</v>
      </c>
      <c r="J190" s="77" t="s">
        <v>37</v>
      </c>
      <c r="K190" s="77" t="s">
        <v>37</v>
      </c>
      <c r="L190" s="77" t="s">
        <v>38</v>
      </c>
      <c r="M190" s="77" t="s">
        <v>37</v>
      </c>
      <c r="N190" s="77" t="s">
        <v>37</v>
      </c>
      <c r="O190" s="77" t="s">
        <v>38</v>
      </c>
      <c r="P190" s="77" t="s">
        <v>39</v>
      </c>
      <c r="Q190" s="76">
        <v>45968</v>
      </c>
      <c r="R190" s="77"/>
      <c r="S190" s="77"/>
      <c r="T190" s="77"/>
      <c r="U190" s="77"/>
      <c r="V190" s="78"/>
      <c r="W190" s="79"/>
      <c r="X190" s="78"/>
      <c r="Y190" s="78"/>
      <c r="Z190" s="78"/>
      <c r="AA190">
        <f>IF(COUNTIF('Call Queue'!$H$6:$H$20,V190)&gt;0,0,IF(AND(ISNUMBER(N190),N190&gt;0),10000000+N190,IF(ISNUMBER(N190*1),IF(N190*1&gt;0,10000000+N190*1,0),0))+IF(ISNUMBER(SEARCH("(",L190)),1000000+IFERROR(VALUE(SUBSTITUTE(SUBSTITUTE(SUBSTITUTE(MID(L190,SEARCH("(",L190)+1,SEARCH(")",L190)-SEARCH("(",L190)-1),"$",""),",","")," ","")),0),0))</f>
        <v>0</v>
      </c>
    </row>
    <row r="191" spans="1:27">
      <c r="A191" s="76">
        <v>45903</v>
      </c>
      <c r="B191" s="77" t="s">
        <v>889</v>
      </c>
      <c r="C191" s="77" t="s">
        <v>890</v>
      </c>
      <c r="D191" s="77" t="s">
        <v>202</v>
      </c>
      <c r="E191" s="77">
        <v>85383</v>
      </c>
      <c r="F191" s="77" t="s">
        <v>31</v>
      </c>
      <c r="G191" s="77" t="s">
        <v>506</v>
      </c>
      <c r="H191" s="77" t="s">
        <v>891</v>
      </c>
      <c r="I191" s="77" t="s">
        <v>196</v>
      </c>
      <c r="J191" s="77" t="s">
        <v>37</v>
      </c>
      <c r="K191" s="77" t="s">
        <v>37</v>
      </c>
      <c r="L191" s="77" t="s">
        <v>892</v>
      </c>
      <c r="M191" s="77" t="s">
        <v>37</v>
      </c>
      <c r="N191" s="77" t="s">
        <v>37</v>
      </c>
      <c r="O191" s="77" t="s">
        <v>38</v>
      </c>
      <c r="P191" s="77" t="s">
        <v>39</v>
      </c>
      <c r="Q191" s="76">
        <v>45968</v>
      </c>
      <c r="R191" s="77"/>
      <c r="S191" s="77"/>
      <c r="T191" s="77"/>
      <c r="U191" s="77"/>
      <c r="V191" s="78" t="s">
        <v>117</v>
      </c>
      <c r="W191" s="79">
        <v>46032</v>
      </c>
      <c r="X191" s="78" t="s">
        <v>37</v>
      </c>
      <c r="Y191" s="78"/>
      <c r="Z191" s="78" t="s">
        <v>5434</v>
      </c>
      <c r="AA191">
        <f>IF(COUNTIF('Call Queue'!$H$6:$H$20,V191)&gt;0,0,IF(AND(ISNUMBER(N191),N191&gt;0),10000000+N191,IF(ISNUMBER(N191*1),IF(N191*1&gt;0,10000000+N191*1,0),0))+IF(ISNUMBER(SEARCH("(",L191)),1000000+IFERROR(VALUE(SUBSTITUTE(SUBSTITUTE(SUBSTITUTE(MID(L191,SEARCH("(",L191)+1,SEARCH(")",L191)-SEARCH("(",L191)-1),"$",""),",","")," ","")),0),0))</f>
        <v>0</v>
      </c>
    </row>
    <row r="192" spans="1:27">
      <c r="A192" s="76">
        <v>45903</v>
      </c>
      <c r="B192" s="77" t="s">
        <v>893</v>
      </c>
      <c r="C192" s="77" t="s">
        <v>777</v>
      </c>
      <c r="D192" s="77" t="s">
        <v>24</v>
      </c>
      <c r="E192" s="77">
        <v>85308</v>
      </c>
      <c r="F192" s="77" t="s">
        <v>894</v>
      </c>
      <c r="G192" s="77" t="s">
        <v>506</v>
      </c>
      <c r="H192" s="77" t="s">
        <v>895</v>
      </c>
      <c r="I192" s="77" t="s">
        <v>73</v>
      </c>
      <c r="J192" s="77" t="s">
        <v>37</v>
      </c>
      <c r="K192" s="77" t="s">
        <v>37</v>
      </c>
      <c r="L192" s="77" t="s">
        <v>38</v>
      </c>
      <c r="M192" s="77" t="s">
        <v>37</v>
      </c>
      <c r="N192" s="77" t="s">
        <v>37</v>
      </c>
      <c r="O192" s="77" t="s">
        <v>38</v>
      </c>
      <c r="P192" s="77" t="s">
        <v>39</v>
      </c>
      <c r="Q192" s="76">
        <v>45968</v>
      </c>
      <c r="R192" s="77"/>
      <c r="S192" s="77"/>
      <c r="T192" s="77"/>
      <c r="U192" s="77"/>
      <c r="V192" s="78"/>
      <c r="W192" s="79"/>
      <c r="X192" s="78"/>
      <c r="Y192" s="78"/>
      <c r="Z192" s="78"/>
      <c r="AA192">
        <f>IF(COUNTIF('Call Queue'!$H$6:$H$20,V192)&gt;0,0,IF(AND(ISNUMBER(N192),N192&gt;0),10000000+N192,IF(ISNUMBER(N192*1),IF(N192*1&gt;0,10000000+N192*1,0),0))+IF(ISNUMBER(SEARCH("(",L192)),1000000+IFERROR(VALUE(SUBSTITUTE(SUBSTITUTE(SUBSTITUTE(MID(L192,SEARCH("(",L192)+1,SEARCH(")",L192)-SEARCH("(",L192)-1),"$",""),",","")," ","")),0),0))</f>
        <v>0</v>
      </c>
    </row>
    <row r="193" spans="1:27">
      <c r="A193" s="76">
        <v>45903</v>
      </c>
      <c r="B193" s="77" t="s">
        <v>896</v>
      </c>
      <c r="C193" s="77" t="s">
        <v>897</v>
      </c>
      <c r="D193" s="77" t="s">
        <v>240</v>
      </c>
      <c r="E193" s="77">
        <v>85340</v>
      </c>
      <c r="F193" s="77" t="s">
        <v>31</v>
      </c>
      <c r="G193" s="77" t="s">
        <v>506</v>
      </c>
      <c r="H193" s="77">
        <v>6218364523</v>
      </c>
      <c r="I193" s="77" t="s">
        <v>73</v>
      </c>
      <c r="J193" s="77" t="s">
        <v>37</v>
      </c>
      <c r="K193" s="77" t="s">
        <v>37</v>
      </c>
      <c r="L193" s="77" t="s">
        <v>38</v>
      </c>
      <c r="M193" s="77" t="s">
        <v>37</v>
      </c>
      <c r="N193" s="77" t="s">
        <v>37</v>
      </c>
      <c r="O193" s="77" t="s">
        <v>38</v>
      </c>
      <c r="P193" s="77" t="s">
        <v>39</v>
      </c>
      <c r="Q193" s="76">
        <v>45968</v>
      </c>
      <c r="R193" s="77"/>
      <c r="S193" s="77"/>
      <c r="T193" s="77"/>
      <c r="U193" s="77"/>
      <c r="V193" s="78" t="s">
        <v>117</v>
      </c>
      <c r="W193" s="79">
        <v>46081</v>
      </c>
      <c r="X193" s="78" t="s">
        <v>37</v>
      </c>
      <c r="Y193" s="78" t="s">
        <v>5442</v>
      </c>
      <c r="Z193" s="78"/>
      <c r="AA193">
        <f>IF(COUNTIF('Call Queue'!$H$6:$H$20,V193)&gt;0,0,IF(AND(ISNUMBER(N193),N193&gt;0),10000000+N193,IF(ISNUMBER(N193*1),IF(N193*1&gt;0,10000000+N193*1,0),0))+IF(ISNUMBER(SEARCH("(",L193)),1000000+IFERROR(VALUE(SUBSTITUTE(SUBSTITUTE(SUBSTITUTE(MID(L193,SEARCH("(",L193)+1,SEARCH(")",L193)-SEARCH("(",L193)-1),"$",""),",","")," ","")),0),0))</f>
        <v>0</v>
      </c>
    </row>
    <row r="194" spans="1:27">
      <c r="A194" s="76">
        <v>45903</v>
      </c>
      <c r="B194" s="77" t="s">
        <v>900</v>
      </c>
      <c r="C194" s="77" t="s">
        <v>901</v>
      </c>
      <c r="D194" s="77" t="s">
        <v>125</v>
      </c>
      <c r="E194" s="77">
        <v>85255</v>
      </c>
      <c r="F194" s="77" t="s">
        <v>310</v>
      </c>
      <c r="G194" s="77" t="s">
        <v>506</v>
      </c>
      <c r="H194" s="77" t="s">
        <v>902</v>
      </c>
      <c r="I194" s="77" t="s">
        <v>36</v>
      </c>
      <c r="J194" s="77" t="s">
        <v>37</v>
      </c>
      <c r="K194" s="77" t="s">
        <v>37</v>
      </c>
      <c r="L194" s="77" t="s">
        <v>38</v>
      </c>
      <c r="M194" s="77" t="s">
        <v>37</v>
      </c>
      <c r="N194" s="77" t="s">
        <v>37</v>
      </c>
      <c r="O194" s="77" t="s">
        <v>38</v>
      </c>
      <c r="P194" s="77" t="s">
        <v>39</v>
      </c>
      <c r="Q194" s="76">
        <v>45968</v>
      </c>
      <c r="R194" s="77"/>
      <c r="S194" s="77"/>
      <c r="T194" s="77"/>
      <c r="U194" s="77"/>
      <c r="V194" s="78"/>
      <c r="W194" s="79"/>
      <c r="X194" s="78"/>
      <c r="Y194" s="78"/>
      <c r="Z194" s="78"/>
      <c r="AA194">
        <f>IF(COUNTIF('Call Queue'!$H$6:$H$20,V194)&gt;0,0,IF(AND(ISNUMBER(N194),N194&gt;0),10000000+N194,IF(ISNUMBER(N194*1),IF(N194*1&gt;0,10000000+N194*1,0),0))+IF(ISNUMBER(SEARCH("(",L194)),1000000+IFERROR(VALUE(SUBSTITUTE(SUBSTITUTE(SUBSTITUTE(MID(L194,SEARCH("(",L194)+1,SEARCH(")",L194)-SEARCH("(",L194)-1),"$",""),",","")," ","")),0),0))</f>
        <v>0</v>
      </c>
    </row>
    <row r="195" spans="1:27">
      <c r="A195" s="76">
        <v>45903</v>
      </c>
      <c r="B195" s="77" t="s">
        <v>903</v>
      </c>
      <c r="C195" s="77" t="s">
        <v>904</v>
      </c>
      <c r="D195" s="77" t="s">
        <v>240</v>
      </c>
      <c r="E195" s="77">
        <v>85340</v>
      </c>
      <c r="F195" s="77" t="s">
        <v>905</v>
      </c>
      <c r="G195" s="77" t="s">
        <v>506</v>
      </c>
      <c r="H195" s="77" t="s">
        <v>906</v>
      </c>
      <c r="I195" s="77" t="s">
        <v>36</v>
      </c>
      <c r="J195" s="77" t="s">
        <v>37</v>
      </c>
      <c r="K195" s="77" t="s">
        <v>37</v>
      </c>
      <c r="L195" s="77" t="s">
        <v>38</v>
      </c>
      <c r="M195" s="77" t="s">
        <v>37</v>
      </c>
      <c r="N195" s="77" t="s">
        <v>37</v>
      </c>
      <c r="O195" s="77" t="s">
        <v>38</v>
      </c>
      <c r="P195" s="77" t="s">
        <v>39</v>
      </c>
      <c r="Q195" s="76">
        <v>45968</v>
      </c>
      <c r="R195" s="77"/>
      <c r="S195" s="77"/>
      <c r="T195" s="77"/>
      <c r="U195" s="77"/>
      <c r="V195" s="78" t="s">
        <v>117</v>
      </c>
      <c r="W195" s="79">
        <v>46081</v>
      </c>
      <c r="X195" s="78" t="s">
        <v>37</v>
      </c>
      <c r="Y195" s="78"/>
      <c r="Z195" s="78"/>
      <c r="AA195">
        <f>IF(COUNTIF('Call Queue'!$H$6:$H$20,V195)&gt;0,0,IF(AND(ISNUMBER(N195),N195&gt;0),10000000+N195,IF(ISNUMBER(N195*1),IF(N195*1&gt;0,10000000+N195*1,0),0))+IF(ISNUMBER(SEARCH("(",L195)),1000000+IFERROR(VALUE(SUBSTITUTE(SUBSTITUTE(SUBSTITUTE(MID(L195,SEARCH("(",L195)+1,SEARCH(")",L195)-SEARCH("(",L195)-1),"$",""),",","")," ","")),0),0))</f>
        <v>0</v>
      </c>
    </row>
    <row r="196" spans="1:27">
      <c r="A196" s="76">
        <v>45903</v>
      </c>
      <c r="B196" s="77" t="s">
        <v>910</v>
      </c>
      <c r="C196" s="77" t="s">
        <v>911</v>
      </c>
      <c r="D196" s="77" t="s">
        <v>24</v>
      </c>
      <c r="E196" s="77">
        <v>85301</v>
      </c>
      <c r="F196" s="77" t="s">
        <v>310</v>
      </c>
      <c r="G196" s="77" t="s">
        <v>506</v>
      </c>
      <c r="H196" s="77" t="s">
        <v>912</v>
      </c>
      <c r="I196" s="77" t="s">
        <v>196</v>
      </c>
      <c r="J196" s="77" t="s">
        <v>37</v>
      </c>
      <c r="K196" s="77" t="s">
        <v>37</v>
      </c>
      <c r="L196" s="77" t="s">
        <v>38</v>
      </c>
      <c r="M196" s="77" t="s">
        <v>37</v>
      </c>
      <c r="N196" s="77" t="s">
        <v>37</v>
      </c>
      <c r="O196" s="77" t="s">
        <v>38</v>
      </c>
      <c r="P196" s="77" t="s">
        <v>39</v>
      </c>
      <c r="Q196" s="76">
        <v>45968</v>
      </c>
      <c r="R196" s="77"/>
      <c r="S196" s="77"/>
      <c r="T196" s="77"/>
      <c r="U196" s="77"/>
      <c r="V196" s="78"/>
      <c r="W196" s="79"/>
      <c r="X196" s="78"/>
      <c r="Y196" s="78"/>
      <c r="Z196" s="78"/>
      <c r="AA196">
        <f>IF(COUNTIF('Call Queue'!$H$6:$H$20,V196)&gt;0,0,IF(AND(ISNUMBER(N196),N196&gt;0),10000000+N196,IF(ISNUMBER(N196*1),IF(N196*1&gt;0,10000000+N196*1,0),0))+IF(ISNUMBER(SEARCH("(",L196)),1000000+IFERROR(VALUE(SUBSTITUTE(SUBSTITUTE(SUBSTITUTE(MID(L196,SEARCH("(",L196)+1,SEARCH(")",L196)-SEARCH("(",L196)-1),"$",""),",","")," ","")),0),0))</f>
        <v>0</v>
      </c>
    </row>
    <row r="197" spans="1:27">
      <c r="A197" s="76">
        <v>45903</v>
      </c>
      <c r="B197" s="77" t="s">
        <v>913</v>
      </c>
      <c r="C197" s="77" t="s">
        <v>914</v>
      </c>
      <c r="D197" s="77" t="s">
        <v>112</v>
      </c>
      <c r="E197" s="77">
        <v>85388</v>
      </c>
      <c r="F197" s="77" t="s">
        <v>310</v>
      </c>
      <c r="G197" s="77" t="s">
        <v>506</v>
      </c>
      <c r="H197" s="77" t="s">
        <v>915</v>
      </c>
      <c r="I197" s="77" t="s">
        <v>36</v>
      </c>
      <c r="J197" s="77" t="s">
        <v>37</v>
      </c>
      <c r="K197" s="77" t="s">
        <v>37</v>
      </c>
      <c r="L197" s="77" t="s">
        <v>38</v>
      </c>
      <c r="M197" s="77" t="s">
        <v>37</v>
      </c>
      <c r="N197" s="77" t="s">
        <v>37</v>
      </c>
      <c r="O197" s="77" t="s">
        <v>38</v>
      </c>
      <c r="P197" s="77" t="s">
        <v>39</v>
      </c>
      <c r="Q197" s="76">
        <v>45968</v>
      </c>
      <c r="R197" s="77"/>
      <c r="S197" s="77"/>
      <c r="T197" s="77"/>
      <c r="U197" s="77"/>
      <c r="V197" s="78" t="s">
        <v>117</v>
      </c>
      <c r="W197" s="79">
        <v>46081</v>
      </c>
      <c r="X197" s="78" t="s">
        <v>38</v>
      </c>
      <c r="Y197" s="78"/>
      <c r="Z197" s="78"/>
      <c r="AA197">
        <f>IF(COUNTIF('Call Queue'!$H$6:$H$20,V197)&gt;0,0,IF(AND(ISNUMBER(N197),N197&gt;0),10000000+N197,IF(ISNUMBER(N197*1),IF(N197*1&gt;0,10000000+N197*1,0),0))+IF(ISNUMBER(SEARCH("(",L197)),1000000+IFERROR(VALUE(SUBSTITUTE(SUBSTITUTE(SUBSTITUTE(MID(L197,SEARCH("(",L197)+1,SEARCH(")",L197)-SEARCH("(",L197)-1),"$",""),",","")," ","")),0),0))</f>
        <v>0</v>
      </c>
    </row>
    <row r="198" spans="1:27">
      <c r="A198" s="76">
        <v>45903</v>
      </c>
      <c r="B198" s="77" t="s">
        <v>916</v>
      </c>
      <c r="C198" s="77" t="s">
        <v>917</v>
      </c>
      <c r="D198" s="77" t="s">
        <v>24</v>
      </c>
      <c r="E198" s="77">
        <v>85301</v>
      </c>
      <c r="F198" s="77" t="s">
        <v>31</v>
      </c>
      <c r="G198" s="77" t="s">
        <v>506</v>
      </c>
      <c r="H198" s="77">
        <v>3352572159</v>
      </c>
      <c r="I198" s="77" t="s">
        <v>73</v>
      </c>
      <c r="J198" s="77" t="s">
        <v>37</v>
      </c>
      <c r="K198" s="77" t="s">
        <v>37</v>
      </c>
      <c r="L198" s="77" t="s">
        <v>38</v>
      </c>
      <c r="M198" s="77" t="s">
        <v>37</v>
      </c>
      <c r="N198" s="77" t="s">
        <v>37</v>
      </c>
      <c r="O198" s="77" t="s">
        <v>38</v>
      </c>
      <c r="P198" s="77" t="s">
        <v>39</v>
      </c>
      <c r="Q198" s="76">
        <v>45968</v>
      </c>
      <c r="R198" s="77"/>
      <c r="S198" s="77"/>
      <c r="T198" s="77"/>
      <c r="U198" s="77"/>
      <c r="V198" s="78"/>
      <c r="W198" s="79"/>
      <c r="X198" s="78"/>
      <c r="Y198" s="78"/>
      <c r="Z198" s="78"/>
      <c r="AA198">
        <f>IF(COUNTIF('Call Queue'!$H$6:$H$20,V198)&gt;0,0,IF(AND(ISNUMBER(N198),N198&gt;0),10000000+N198,IF(ISNUMBER(N198*1),IF(N198*1&gt;0,10000000+N198*1,0),0))+IF(ISNUMBER(SEARCH("(",L198)),1000000+IFERROR(VALUE(SUBSTITUTE(SUBSTITUTE(SUBSTITUTE(MID(L198,SEARCH("(",L198)+1,SEARCH(")",L198)-SEARCH("(",L198)-1),"$",""),",","")," ","")),0),0))</f>
        <v>0</v>
      </c>
    </row>
    <row r="199" spans="1:27">
      <c r="A199" s="76">
        <v>45903</v>
      </c>
      <c r="B199" s="77" t="s">
        <v>919</v>
      </c>
      <c r="C199" s="77" t="s">
        <v>920</v>
      </c>
      <c r="D199" s="77" t="s">
        <v>63</v>
      </c>
      <c r="E199" s="77">
        <v>85054</v>
      </c>
      <c r="F199" s="77" t="s">
        <v>310</v>
      </c>
      <c r="G199" s="77" t="s">
        <v>506</v>
      </c>
      <c r="H199" s="77" t="s">
        <v>209</v>
      </c>
      <c r="I199" s="77"/>
      <c r="J199" s="77"/>
      <c r="K199" s="77"/>
      <c r="L199" s="77"/>
      <c r="M199" s="77"/>
      <c r="N199" s="77"/>
      <c r="O199" s="77"/>
      <c r="P199" s="77"/>
      <c r="Q199" s="76"/>
      <c r="R199" s="77"/>
      <c r="S199" s="77"/>
      <c r="T199" s="77"/>
      <c r="U199" s="77"/>
      <c r="V199" s="78"/>
      <c r="W199" s="79"/>
      <c r="X199" s="78"/>
      <c r="Y199" s="78"/>
      <c r="Z199" s="78"/>
      <c r="AA199">
        <f>IF(COUNTIF('Call Queue'!$H$6:$H$20,V199)&gt;0,0,IF(AND(ISNUMBER(N199),N199&gt;0),10000000+N199,IF(ISNUMBER(N199*1),IF(N199*1&gt;0,10000000+N199*1,0),0))+IF(ISNUMBER(SEARCH("(",L199)),1000000+IFERROR(VALUE(SUBSTITUTE(SUBSTITUTE(SUBSTITUTE(MID(L199,SEARCH("(",L199)+1,SEARCH(")",L199)-SEARCH("(",L199)-1),"$",""),",","")," ","")),0),0))</f>
        <v>0</v>
      </c>
    </row>
    <row r="200" spans="1:27">
      <c r="A200" s="76">
        <v>45903</v>
      </c>
      <c r="B200" s="77" t="s">
        <v>921</v>
      </c>
      <c r="C200" s="77" t="s">
        <v>922</v>
      </c>
      <c r="D200" s="77" t="s">
        <v>923</v>
      </c>
      <c r="E200" s="77">
        <v>85501</v>
      </c>
      <c r="F200" s="77" t="s">
        <v>31</v>
      </c>
      <c r="G200" s="77" t="s">
        <v>506</v>
      </c>
      <c r="H200" s="77" t="s">
        <v>924</v>
      </c>
      <c r="I200" s="77" t="s">
        <v>196</v>
      </c>
      <c r="J200" s="77" t="s">
        <v>37</v>
      </c>
      <c r="K200" s="77" t="s">
        <v>37</v>
      </c>
      <c r="L200" s="77" t="s">
        <v>925</v>
      </c>
      <c r="M200" s="77" t="s">
        <v>37</v>
      </c>
      <c r="N200" s="77" t="s">
        <v>37</v>
      </c>
      <c r="O200" s="77" t="s">
        <v>38</v>
      </c>
      <c r="P200" s="77" t="s">
        <v>39</v>
      </c>
      <c r="Q200" s="76">
        <v>45968</v>
      </c>
      <c r="R200" s="77"/>
      <c r="S200" s="77"/>
      <c r="T200" s="77"/>
      <c r="U200" s="77"/>
      <c r="V200" s="78" t="s">
        <v>117</v>
      </c>
      <c r="W200" s="79">
        <v>46025</v>
      </c>
      <c r="X200" s="78" t="s">
        <v>38</v>
      </c>
      <c r="Y200" s="78"/>
      <c r="Z200" s="78"/>
      <c r="AA200">
        <f>IF(COUNTIF('Call Queue'!$H$6:$H$20,V200)&gt;0,0,IF(AND(ISNUMBER(N200),N200&gt;0),10000000+N200,IF(ISNUMBER(N200*1),IF(N200*1&gt;0,10000000+N200*1,0),0))+IF(ISNUMBER(SEARCH("(",L200)),1000000+IFERROR(VALUE(SUBSTITUTE(SUBSTITUTE(SUBSTITUTE(MID(L200,SEARCH("(",L200)+1,SEARCH(")",L200)-SEARCH("(",L200)-1),"$",""),",","")," ","")),0),0))</f>
        <v>0</v>
      </c>
    </row>
    <row r="201" spans="1:27">
      <c r="A201" s="76">
        <v>45903</v>
      </c>
      <c r="B201" s="77" t="s">
        <v>926</v>
      </c>
      <c r="C201" s="77" t="s">
        <v>927</v>
      </c>
      <c r="D201" s="77" t="s">
        <v>63</v>
      </c>
      <c r="E201" s="77">
        <v>85013</v>
      </c>
      <c r="F201" s="77" t="s">
        <v>310</v>
      </c>
      <c r="G201" s="77" t="s">
        <v>506</v>
      </c>
      <c r="H201" s="77" t="s">
        <v>928</v>
      </c>
      <c r="I201" s="77" t="s">
        <v>126</v>
      </c>
      <c r="J201" s="77" t="s">
        <v>37</v>
      </c>
      <c r="K201" s="77" t="s">
        <v>37</v>
      </c>
      <c r="L201" s="77" t="s">
        <v>929</v>
      </c>
      <c r="M201" s="77" t="s">
        <v>37</v>
      </c>
      <c r="N201" s="77" t="s">
        <v>37</v>
      </c>
      <c r="O201" s="77" t="s">
        <v>38</v>
      </c>
      <c r="P201" s="77" t="s">
        <v>39</v>
      </c>
      <c r="Q201" s="76">
        <v>45968</v>
      </c>
      <c r="R201" s="77"/>
      <c r="S201" s="77"/>
      <c r="T201" s="77"/>
      <c r="U201" s="77"/>
      <c r="V201" s="78" t="s">
        <v>117</v>
      </c>
      <c r="W201" s="79">
        <v>46018</v>
      </c>
      <c r="X201" s="78" t="s">
        <v>38</v>
      </c>
      <c r="Y201" s="78"/>
      <c r="Z201" s="78"/>
      <c r="AA201">
        <f>IF(COUNTIF('Call Queue'!$H$6:$H$20,V201)&gt;0,0,IF(AND(ISNUMBER(N201),N201&gt;0),10000000+N201,IF(ISNUMBER(N201*1),IF(N201*1&gt;0,10000000+N201*1,0),0))+IF(ISNUMBER(SEARCH("(",L201)),1000000+IFERROR(VALUE(SUBSTITUTE(SUBSTITUTE(SUBSTITUTE(MID(L201,SEARCH("(",L201)+1,SEARCH(")",L201)-SEARCH("(",L201)-1),"$",""),",","")," ","")),0),0))</f>
        <v>0</v>
      </c>
    </row>
    <row r="202" spans="1:27">
      <c r="A202" s="76">
        <v>45903</v>
      </c>
      <c r="B202" s="77" t="s">
        <v>930</v>
      </c>
      <c r="C202" s="77" t="s">
        <v>931</v>
      </c>
      <c r="D202" s="77" t="s">
        <v>169</v>
      </c>
      <c r="E202" s="77">
        <v>85395</v>
      </c>
      <c r="F202" s="77" t="s">
        <v>31</v>
      </c>
      <c r="G202" s="77" t="s">
        <v>506</v>
      </c>
      <c r="H202" s="77" t="s">
        <v>932</v>
      </c>
      <c r="I202" s="77" t="s">
        <v>36</v>
      </c>
      <c r="J202" s="77" t="s">
        <v>37</v>
      </c>
      <c r="K202" s="77" t="s">
        <v>37</v>
      </c>
      <c r="L202" s="77" t="s">
        <v>933</v>
      </c>
      <c r="M202" s="77" t="s">
        <v>37</v>
      </c>
      <c r="N202" s="77" t="s">
        <v>37</v>
      </c>
      <c r="O202" s="77" t="s">
        <v>38</v>
      </c>
      <c r="P202" s="77" t="s">
        <v>39</v>
      </c>
      <c r="Q202" s="76">
        <v>45968</v>
      </c>
      <c r="R202" s="77"/>
      <c r="S202" s="77"/>
      <c r="T202" s="77"/>
      <c r="U202" s="77"/>
      <c r="V202" s="78" t="s">
        <v>117</v>
      </c>
      <c r="W202" s="79">
        <v>46025</v>
      </c>
      <c r="X202" s="78" t="s">
        <v>38</v>
      </c>
      <c r="Y202" s="78"/>
      <c r="Z202" s="78"/>
      <c r="AA202">
        <f>IF(COUNTIF('Call Queue'!$H$6:$H$20,V202)&gt;0,0,IF(AND(ISNUMBER(N202),N202&gt;0),10000000+N202,IF(ISNUMBER(N202*1),IF(N202*1&gt;0,10000000+N202*1,0),0))+IF(ISNUMBER(SEARCH("(",L202)),1000000+IFERROR(VALUE(SUBSTITUTE(SUBSTITUTE(SUBSTITUTE(MID(L202,SEARCH("(",L202)+1,SEARCH(")",L202)-SEARCH("(",L202)-1),"$",""),",","")," ","")),0),0))</f>
        <v>0</v>
      </c>
    </row>
    <row r="203" spans="1:27">
      <c r="A203" s="76">
        <v>45903</v>
      </c>
      <c r="B203" s="77" t="s">
        <v>934</v>
      </c>
      <c r="C203" s="77" t="s">
        <v>935</v>
      </c>
      <c r="D203" s="77" t="s">
        <v>202</v>
      </c>
      <c r="E203" s="77">
        <v>85383</v>
      </c>
      <c r="F203" s="77" t="s">
        <v>310</v>
      </c>
      <c r="G203" s="77" t="s">
        <v>506</v>
      </c>
      <c r="H203" s="77" t="s">
        <v>936</v>
      </c>
      <c r="I203" s="77" t="s">
        <v>541</v>
      </c>
      <c r="J203" s="77" t="s">
        <v>37</v>
      </c>
      <c r="K203" s="77" t="s">
        <v>37</v>
      </c>
      <c r="L203" s="77" t="s">
        <v>389</v>
      </c>
      <c r="M203" s="77" t="s">
        <v>37</v>
      </c>
      <c r="N203" s="77" t="s">
        <v>37</v>
      </c>
      <c r="O203" s="77" t="s">
        <v>38</v>
      </c>
      <c r="P203" s="77" t="s">
        <v>39</v>
      </c>
      <c r="Q203" s="76">
        <v>45968</v>
      </c>
      <c r="R203" s="77"/>
      <c r="S203" s="77"/>
      <c r="T203" s="77"/>
      <c r="U203" s="77"/>
      <c r="V203" s="78"/>
      <c r="W203" s="79"/>
      <c r="X203" s="78"/>
      <c r="Y203" s="78"/>
      <c r="Z203" s="78"/>
      <c r="AA203">
        <f>IF(COUNTIF('Call Queue'!$H$6:$H$20,V203)&gt;0,0,IF(AND(ISNUMBER(N203),N203&gt;0),10000000+N203,IF(ISNUMBER(N203*1),IF(N203*1&gt;0,10000000+N203*1,0),0))+IF(ISNUMBER(SEARCH("(",L203)),1000000+IFERROR(VALUE(SUBSTITUTE(SUBSTITUTE(SUBSTITUTE(MID(L203,SEARCH("(",L203)+1,SEARCH(")",L203)-SEARCH("(",L203)-1),"$",""),",","")," ","")),0),0))</f>
        <v>0</v>
      </c>
    </row>
    <row r="204" spans="1:27">
      <c r="A204" s="76">
        <v>45903</v>
      </c>
      <c r="B204" s="77" t="s">
        <v>937</v>
      </c>
      <c r="C204" s="77" t="s">
        <v>938</v>
      </c>
      <c r="D204" s="77" t="s">
        <v>63</v>
      </c>
      <c r="E204" s="77">
        <v>85083</v>
      </c>
      <c r="F204" s="77" t="s">
        <v>31</v>
      </c>
      <c r="G204" s="77" t="s">
        <v>506</v>
      </c>
      <c r="H204" s="77" t="s">
        <v>939</v>
      </c>
      <c r="I204" s="77" t="s">
        <v>73</v>
      </c>
      <c r="J204" s="77" t="s">
        <v>37</v>
      </c>
      <c r="K204" s="77" t="s">
        <v>37</v>
      </c>
      <c r="L204" s="77" t="s">
        <v>401</v>
      </c>
      <c r="M204" s="77" t="s">
        <v>37</v>
      </c>
      <c r="N204" s="77" t="s">
        <v>37</v>
      </c>
      <c r="O204" s="77" t="s">
        <v>38</v>
      </c>
      <c r="P204" s="77" t="s">
        <v>39</v>
      </c>
      <c r="Q204" s="76">
        <v>45968</v>
      </c>
      <c r="R204" s="77"/>
      <c r="S204" s="77"/>
      <c r="T204" s="77"/>
      <c r="U204" s="77"/>
      <c r="V204" s="78" t="s">
        <v>117</v>
      </c>
      <c r="W204" s="79">
        <v>46053</v>
      </c>
      <c r="X204" s="78" t="s">
        <v>38</v>
      </c>
      <c r="Y204" s="78"/>
      <c r="Z204" s="78"/>
      <c r="AA204">
        <f>IF(COUNTIF('Call Queue'!$H$6:$H$20,V204)&gt;0,0,IF(AND(ISNUMBER(N204),N204&gt;0),10000000+N204,IF(ISNUMBER(N204*1),IF(N204*1&gt;0,10000000+N204*1,0),0))+IF(ISNUMBER(SEARCH("(",L204)),1000000+IFERROR(VALUE(SUBSTITUTE(SUBSTITUTE(SUBSTITUTE(MID(L204,SEARCH("(",L204)+1,SEARCH(")",L204)-SEARCH("(",L204)-1),"$",""),",","")," ","")),0),0))</f>
        <v>0</v>
      </c>
    </row>
    <row r="205" spans="1:27">
      <c r="A205" s="76">
        <v>45903</v>
      </c>
      <c r="B205" s="77" t="s">
        <v>940</v>
      </c>
      <c r="C205" s="77" t="s">
        <v>941</v>
      </c>
      <c r="D205" s="77" t="s">
        <v>63</v>
      </c>
      <c r="E205" s="77">
        <v>85014</v>
      </c>
      <c r="F205" s="77" t="s">
        <v>310</v>
      </c>
      <c r="G205" s="77" t="s">
        <v>506</v>
      </c>
      <c r="H205" s="77" t="s">
        <v>942</v>
      </c>
      <c r="I205" s="77" t="s">
        <v>73</v>
      </c>
      <c r="J205" s="77" t="s">
        <v>37</v>
      </c>
      <c r="K205" s="77" t="s">
        <v>37</v>
      </c>
      <c r="L205" s="77" t="s">
        <v>38</v>
      </c>
      <c r="M205" s="77" t="s">
        <v>37</v>
      </c>
      <c r="N205" s="77" t="s">
        <v>37</v>
      </c>
      <c r="O205" s="77" t="s">
        <v>38</v>
      </c>
      <c r="P205" s="77" t="s">
        <v>39</v>
      </c>
      <c r="Q205" s="76">
        <v>45968</v>
      </c>
      <c r="R205" s="77"/>
      <c r="S205" s="77"/>
      <c r="T205" s="77"/>
      <c r="U205" s="77"/>
      <c r="V205" s="78"/>
      <c r="W205" s="79"/>
      <c r="X205" s="78"/>
      <c r="Y205" s="78"/>
      <c r="Z205" s="78"/>
      <c r="AA205">
        <f>IF(COUNTIF('Call Queue'!$H$6:$H$20,V205)&gt;0,0,IF(AND(ISNUMBER(N205),N205&gt;0),10000000+N205,IF(ISNUMBER(N205*1),IF(N205*1&gt;0,10000000+N205*1,0),0))+IF(ISNUMBER(SEARCH("(",L205)),1000000+IFERROR(VALUE(SUBSTITUTE(SUBSTITUTE(SUBSTITUTE(MID(L205,SEARCH("(",L205)+1,SEARCH(")",L205)-SEARCH("(",L205)-1),"$",""),",","")," ","")),0),0))</f>
        <v>0</v>
      </c>
    </row>
    <row r="206" spans="1:27">
      <c r="A206" s="76">
        <v>45903</v>
      </c>
      <c r="B206" s="77" t="s">
        <v>943</v>
      </c>
      <c r="C206" s="77" t="s">
        <v>944</v>
      </c>
      <c r="D206" s="77" t="s">
        <v>202</v>
      </c>
      <c r="E206" s="77">
        <v>85382</v>
      </c>
      <c r="F206" s="77" t="s">
        <v>310</v>
      </c>
      <c r="G206" s="77" t="s">
        <v>506</v>
      </c>
      <c r="H206" s="77">
        <v>487982450</v>
      </c>
      <c r="I206" s="77" t="s">
        <v>36</v>
      </c>
      <c r="J206" s="77" t="s">
        <v>37</v>
      </c>
      <c r="K206" s="77" t="s">
        <v>37</v>
      </c>
      <c r="L206" s="77" t="s">
        <v>946</v>
      </c>
      <c r="M206" s="77" t="s">
        <v>37</v>
      </c>
      <c r="N206" s="77" t="s">
        <v>37</v>
      </c>
      <c r="O206" s="77" t="s">
        <v>38</v>
      </c>
      <c r="P206" s="77" t="s">
        <v>39</v>
      </c>
      <c r="Q206" s="76">
        <v>45968</v>
      </c>
      <c r="R206" s="77"/>
      <c r="S206" s="77"/>
      <c r="T206" s="77"/>
      <c r="U206" s="77"/>
      <c r="V206" s="78" t="s">
        <v>117</v>
      </c>
      <c r="W206" s="79">
        <v>46025</v>
      </c>
      <c r="X206" s="78" t="s">
        <v>38</v>
      </c>
      <c r="Y206" s="78"/>
      <c r="Z206" s="78"/>
      <c r="AA206">
        <f>IF(COUNTIF('Call Queue'!$H$6:$H$20,V206)&gt;0,0,IF(AND(ISNUMBER(N206),N206&gt;0),10000000+N206,IF(ISNUMBER(N206*1),IF(N206*1&gt;0,10000000+N206*1,0),0))+IF(ISNUMBER(SEARCH("(",L206)),1000000+IFERROR(VALUE(SUBSTITUTE(SUBSTITUTE(SUBSTITUTE(MID(L206,SEARCH("(",L206)+1,SEARCH(")",L206)-SEARCH("(",L206)-1),"$",""),",","")," ","")),0),0))</f>
        <v>0</v>
      </c>
    </row>
    <row r="207" spans="1:27">
      <c r="A207" s="76">
        <v>45903</v>
      </c>
      <c r="B207" s="77" t="s">
        <v>947</v>
      </c>
      <c r="C207" s="77" t="s">
        <v>948</v>
      </c>
      <c r="D207" s="77" t="s">
        <v>125</v>
      </c>
      <c r="E207" s="77">
        <v>85251</v>
      </c>
      <c r="F207" s="77" t="s">
        <v>310</v>
      </c>
      <c r="G207" s="77" t="s">
        <v>506</v>
      </c>
      <c r="H207" s="77" t="s">
        <v>949</v>
      </c>
      <c r="I207" s="77" t="s">
        <v>73</v>
      </c>
      <c r="J207" s="77" t="s">
        <v>37</v>
      </c>
      <c r="K207" s="77" t="s">
        <v>37</v>
      </c>
      <c r="L207" s="77" t="s">
        <v>38</v>
      </c>
      <c r="M207" s="77" t="s">
        <v>37</v>
      </c>
      <c r="N207" s="77" t="s">
        <v>37</v>
      </c>
      <c r="O207" s="77" t="s">
        <v>38</v>
      </c>
      <c r="P207" s="77" t="s">
        <v>39</v>
      </c>
      <c r="Q207" s="76">
        <v>45968</v>
      </c>
      <c r="R207" s="77"/>
      <c r="S207" s="77"/>
      <c r="T207" s="77"/>
      <c r="U207" s="77"/>
      <c r="V207" s="78"/>
      <c r="W207" s="79"/>
      <c r="X207" s="78"/>
      <c r="Y207" s="78"/>
      <c r="Z207" s="78"/>
      <c r="AA207">
        <f>IF(COUNTIF('Call Queue'!$H$6:$H$20,V207)&gt;0,0,IF(AND(ISNUMBER(N207),N207&gt;0),10000000+N207,IF(ISNUMBER(N207*1),IF(N207*1&gt;0,10000000+N207*1,0),0))+IF(ISNUMBER(SEARCH("(",L207)),1000000+IFERROR(VALUE(SUBSTITUTE(SUBSTITUTE(SUBSTITUTE(MID(L207,SEARCH("(",L207)+1,SEARCH(")",L207)-SEARCH("(",L207)-1),"$",""),",","")," ","")),0),0))</f>
        <v>0</v>
      </c>
    </row>
    <row r="208" spans="1:27">
      <c r="A208" s="76">
        <v>45903</v>
      </c>
      <c r="B208" s="77" t="s">
        <v>950</v>
      </c>
      <c r="C208" s="77" t="s">
        <v>835</v>
      </c>
      <c r="D208" s="77" t="s">
        <v>63</v>
      </c>
      <c r="E208" s="77">
        <v>85016</v>
      </c>
      <c r="F208" s="77" t="s">
        <v>310</v>
      </c>
      <c r="G208" s="77" t="s">
        <v>506</v>
      </c>
      <c r="H208" s="77" t="s">
        <v>951</v>
      </c>
      <c r="I208" s="77" t="s">
        <v>126</v>
      </c>
      <c r="J208" s="77" t="s">
        <v>37</v>
      </c>
      <c r="K208" s="77" t="s">
        <v>37</v>
      </c>
      <c r="L208" s="77" t="s">
        <v>952</v>
      </c>
      <c r="M208" s="77" t="s">
        <v>37</v>
      </c>
      <c r="N208" s="77" t="s">
        <v>37</v>
      </c>
      <c r="O208" s="77" t="s">
        <v>38</v>
      </c>
      <c r="P208" s="77" t="s">
        <v>39</v>
      </c>
      <c r="Q208" s="76">
        <v>45968</v>
      </c>
      <c r="R208" s="77"/>
      <c r="S208" s="77"/>
      <c r="T208" s="77"/>
      <c r="U208" s="77"/>
      <c r="V208" s="78" t="s">
        <v>117</v>
      </c>
      <c r="W208" s="79">
        <v>46025</v>
      </c>
      <c r="X208" s="78" t="s">
        <v>38</v>
      </c>
      <c r="Y208" s="78"/>
      <c r="Z208" s="78"/>
      <c r="AA208">
        <f>IF(COUNTIF('Call Queue'!$H$6:$H$20,V208)&gt;0,0,IF(AND(ISNUMBER(N208),N208&gt;0),10000000+N208,IF(ISNUMBER(N208*1),IF(N208*1&gt;0,10000000+N208*1,0),0))+IF(ISNUMBER(SEARCH("(",L208)),1000000+IFERROR(VALUE(SUBSTITUTE(SUBSTITUTE(SUBSTITUTE(MID(L208,SEARCH("(",L208)+1,SEARCH(")",L208)-SEARCH("(",L208)-1),"$",""),",","")," ","")),0),0))</f>
        <v>0</v>
      </c>
    </row>
    <row r="209" spans="1:27">
      <c r="A209" s="76">
        <v>45903</v>
      </c>
      <c r="B209" s="77" t="s">
        <v>526</v>
      </c>
      <c r="C209" s="77" t="s">
        <v>129</v>
      </c>
      <c r="D209" s="77" t="s">
        <v>169</v>
      </c>
      <c r="E209" s="77">
        <v>85338</v>
      </c>
      <c r="F209" s="77" t="s">
        <v>31</v>
      </c>
      <c r="G209" s="77" t="s">
        <v>506</v>
      </c>
      <c r="H209" s="77" t="s">
        <v>209</v>
      </c>
      <c r="I209" s="77"/>
      <c r="J209" s="77"/>
      <c r="K209" s="77"/>
      <c r="L209" s="77"/>
      <c r="M209" s="77"/>
      <c r="N209" s="77"/>
      <c r="O209" s="77"/>
      <c r="P209" s="77"/>
      <c r="Q209" s="76"/>
      <c r="R209" s="77"/>
      <c r="S209" s="77"/>
      <c r="T209" s="77"/>
      <c r="U209" s="77"/>
      <c r="V209" s="78"/>
      <c r="W209" s="79"/>
      <c r="X209" s="78"/>
      <c r="Y209" s="78"/>
      <c r="Z209" s="78"/>
      <c r="AA209">
        <f>IF(COUNTIF('Call Queue'!$H$6:$H$20,V209)&gt;0,0,IF(AND(ISNUMBER(N209),N209&gt;0),10000000+N209,IF(ISNUMBER(N209*1),IF(N209*1&gt;0,10000000+N209*1,0),0))+IF(ISNUMBER(SEARCH("(",L209)),1000000+IFERROR(VALUE(SUBSTITUTE(SUBSTITUTE(SUBSTITUTE(MID(L209,SEARCH("(",L209)+1,SEARCH(")",L209)-SEARCH("(",L209)-1),"$",""),",","")," ","")),0),0))</f>
        <v>0</v>
      </c>
    </row>
    <row r="210" spans="1:27">
      <c r="A210" s="76">
        <v>45903</v>
      </c>
      <c r="B210" s="77" t="s">
        <v>290</v>
      </c>
      <c r="C210" s="77" t="s">
        <v>953</v>
      </c>
      <c r="D210" s="77" t="s">
        <v>63</v>
      </c>
      <c r="E210" s="77">
        <v>85013</v>
      </c>
      <c r="F210" s="77" t="s">
        <v>310</v>
      </c>
      <c r="G210" s="77" t="s">
        <v>506</v>
      </c>
      <c r="H210" s="77" t="s">
        <v>954</v>
      </c>
      <c r="I210" s="77" t="s">
        <v>73</v>
      </c>
      <c r="J210" s="77" t="s">
        <v>37</v>
      </c>
      <c r="K210" s="77" t="s">
        <v>37</v>
      </c>
      <c r="L210" s="77" t="s">
        <v>38</v>
      </c>
      <c r="M210" s="77" t="s">
        <v>37</v>
      </c>
      <c r="N210" s="77" t="s">
        <v>37</v>
      </c>
      <c r="O210" s="77" t="s">
        <v>38</v>
      </c>
      <c r="P210" s="77" t="s">
        <v>39</v>
      </c>
      <c r="Q210" s="76">
        <v>45968</v>
      </c>
      <c r="R210" s="77"/>
      <c r="S210" s="77"/>
      <c r="T210" s="77"/>
      <c r="U210" s="77"/>
      <c r="V210" s="78"/>
      <c r="W210" s="79"/>
      <c r="X210" s="78"/>
      <c r="Y210" s="78"/>
      <c r="Z210" s="78"/>
      <c r="AA210">
        <f>IF(COUNTIF('Call Queue'!$H$6:$H$20,V210)&gt;0,0,IF(AND(ISNUMBER(N210),N210&gt;0),10000000+N210,IF(ISNUMBER(N210*1),IF(N210*1&gt;0,10000000+N210*1,0),0))+IF(ISNUMBER(SEARCH("(",L210)),1000000+IFERROR(VALUE(SUBSTITUTE(SUBSTITUTE(SUBSTITUTE(MID(L210,SEARCH("(",L210)+1,SEARCH(")",L210)-SEARCH("(",L210)-1),"$",""),",","")," ","")),0),0))</f>
        <v>0</v>
      </c>
    </row>
    <row r="211" spans="1:27">
      <c r="A211" s="76">
        <v>45903</v>
      </c>
      <c r="B211" s="77" t="s">
        <v>955</v>
      </c>
      <c r="C211" s="77" t="s">
        <v>956</v>
      </c>
      <c r="D211" s="77" t="s">
        <v>63</v>
      </c>
      <c r="E211" s="77">
        <v>85028</v>
      </c>
      <c r="F211" s="77" t="s">
        <v>310</v>
      </c>
      <c r="G211" s="77" t="s">
        <v>506</v>
      </c>
      <c r="H211" s="77" t="s">
        <v>957</v>
      </c>
      <c r="I211" s="77" t="s">
        <v>196</v>
      </c>
      <c r="J211" s="77" t="s">
        <v>37</v>
      </c>
      <c r="K211" s="77" t="s">
        <v>37</v>
      </c>
      <c r="L211" s="77" t="s">
        <v>958</v>
      </c>
      <c r="M211" s="77" t="s">
        <v>37</v>
      </c>
      <c r="N211" s="77" t="s">
        <v>37</v>
      </c>
      <c r="O211" s="77" t="s">
        <v>38</v>
      </c>
      <c r="P211" s="77" t="s">
        <v>39</v>
      </c>
      <c r="Q211" s="76">
        <v>45968</v>
      </c>
      <c r="R211" s="77"/>
      <c r="S211" s="77"/>
      <c r="T211" s="77"/>
      <c r="U211" s="77"/>
      <c r="V211" s="78" t="s">
        <v>117</v>
      </c>
      <c r="W211" s="79">
        <v>46025</v>
      </c>
      <c r="X211" s="78" t="s">
        <v>37</v>
      </c>
      <c r="Y211" s="78"/>
      <c r="Z211" s="78"/>
      <c r="AA211">
        <f>IF(COUNTIF('Call Queue'!$H$6:$H$20,V211)&gt;0,0,IF(AND(ISNUMBER(N211),N211&gt;0),10000000+N211,IF(ISNUMBER(N211*1),IF(N211*1&gt;0,10000000+N211*1,0),0))+IF(ISNUMBER(SEARCH("(",L211)),1000000+IFERROR(VALUE(SUBSTITUTE(SUBSTITUTE(SUBSTITUTE(MID(L211,SEARCH("(",L211)+1,SEARCH(")",L211)-SEARCH("(",L211)-1),"$",""),",","")," ","")),0),0))</f>
        <v>0</v>
      </c>
    </row>
    <row r="212" spans="1:27">
      <c r="A212" s="76">
        <v>45903</v>
      </c>
      <c r="B212" s="77" t="s">
        <v>176</v>
      </c>
      <c r="C212" s="77" t="s">
        <v>911</v>
      </c>
      <c r="D212" s="77" t="s">
        <v>169</v>
      </c>
      <c r="E212" s="77">
        <v>85338</v>
      </c>
      <c r="F212" s="77" t="s">
        <v>517</v>
      </c>
      <c r="G212" s="77" t="s">
        <v>506</v>
      </c>
      <c r="H212" s="77" t="s">
        <v>209</v>
      </c>
      <c r="I212" s="77"/>
      <c r="J212" s="77"/>
      <c r="K212" s="77"/>
      <c r="L212" s="77"/>
      <c r="M212" s="77"/>
      <c r="N212" s="77"/>
      <c r="O212" s="77"/>
      <c r="P212" s="77"/>
      <c r="Q212" s="76"/>
      <c r="R212" s="77"/>
      <c r="S212" s="77"/>
      <c r="T212" s="77"/>
      <c r="U212" s="77"/>
      <c r="V212" s="78"/>
      <c r="W212" s="79"/>
      <c r="X212" s="78"/>
      <c r="Y212" s="78"/>
      <c r="Z212" s="78"/>
      <c r="AA212">
        <f>IF(COUNTIF('Call Queue'!$H$6:$H$20,V212)&gt;0,0,IF(AND(ISNUMBER(N212),N212&gt;0),10000000+N212,IF(ISNUMBER(N212*1),IF(N212*1&gt;0,10000000+N212*1,0),0))+IF(ISNUMBER(SEARCH("(",L212)),1000000+IFERROR(VALUE(SUBSTITUTE(SUBSTITUTE(SUBSTITUTE(MID(L212,SEARCH("(",L212)+1,SEARCH(")",L212)-SEARCH("(",L212)-1),"$",""),",","")," ","")),0),0))</f>
        <v>0</v>
      </c>
    </row>
    <row r="213" spans="1:27">
      <c r="A213" s="76">
        <v>45903</v>
      </c>
      <c r="B213" s="77" t="s">
        <v>959</v>
      </c>
      <c r="C213" s="77" t="s">
        <v>228</v>
      </c>
      <c r="D213" s="77" t="s">
        <v>202</v>
      </c>
      <c r="E213" s="77">
        <v>85381</v>
      </c>
      <c r="F213" s="77" t="s">
        <v>31</v>
      </c>
      <c r="G213" s="77" t="s">
        <v>506</v>
      </c>
      <c r="H213" s="77" t="s">
        <v>960</v>
      </c>
      <c r="I213" s="77" t="s">
        <v>36</v>
      </c>
      <c r="J213" s="77" t="s">
        <v>37</v>
      </c>
      <c r="K213" s="77" t="s">
        <v>37</v>
      </c>
      <c r="L213" s="77" t="s">
        <v>38</v>
      </c>
      <c r="M213" s="77" t="s">
        <v>37</v>
      </c>
      <c r="N213" s="77" t="s">
        <v>37</v>
      </c>
      <c r="O213" s="77" t="s">
        <v>38</v>
      </c>
      <c r="P213" s="77" t="s">
        <v>39</v>
      </c>
      <c r="Q213" s="76">
        <v>45968</v>
      </c>
      <c r="R213" s="77"/>
      <c r="S213" s="77"/>
      <c r="T213" s="77"/>
      <c r="U213" s="77"/>
      <c r="V213" s="78"/>
      <c r="W213" s="79"/>
      <c r="X213" s="78"/>
      <c r="Y213" s="78"/>
      <c r="Z213" s="78"/>
      <c r="AA213">
        <f>IF(COUNTIF('Call Queue'!$H$6:$H$20,V213)&gt;0,0,IF(AND(ISNUMBER(N213),N213&gt;0),10000000+N213,IF(ISNUMBER(N213*1),IF(N213*1&gt;0,10000000+N213*1,0),0))+IF(ISNUMBER(SEARCH("(",L213)),1000000+IFERROR(VALUE(SUBSTITUTE(SUBSTITUTE(SUBSTITUTE(MID(L213,SEARCH("(",L213)+1,SEARCH(")",L213)-SEARCH("(",L213)-1),"$",""),",","")," ","")),0),0))</f>
        <v>0</v>
      </c>
    </row>
    <row r="214" spans="1:27">
      <c r="A214" s="76">
        <v>45903</v>
      </c>
      <c r="B214" s="77" t="s">
        <v>961</v>
      </c>
      <c r="C214" s="77" t="s">
        <v>962</v>
      </c>
      <c r="D214" s="77" t="s">
        <v>112</v>
      </c>
      <c r="E214" s="77">
        <v>85388</v>
      </c>
      <c r="F214" s="77" t="s">
        <v>310</v>
      </c>
      <c r="G214" s="77" t="s">
        <v>506</v>
      </c>
      <c r="H214" s="77" t="s">
        <v>963</v>
      </c>
      <c r="I214" s="77" t="s">
        <v>418</v>
      </c>
      <c r="J214" s="77" t="s">
        <v>37</v>
      </c>
      <c r="K214" s="77" t="s">
        <v>37</v>
      </c>
      <c r="L214" s="77" t="s">
        <v>389</v>
      </c>
      <c r="M214" s="77" t="s">
        <v>37</v>
      </c>
      <c r="N214" s="77" t="s">
        <v>37</v>
      </c>
      <c r="O214" s="77" t="s">
        <v>38</v>
      </c>
      <c r="P214" s="77" t="s">
        <v>39</v>
      </c>
      <c r="Q214" s="76">
        <v>45968</v>
      </c>
      <c r="R214" s="77"/>
      <c r="S214" s="77"/>
      <c r="T214" s="77"/>
      <c r="U214" s="77"/>
      <c r="V214" s="78" t="s">
        <v>117</v>
      </c>
      <c r="W214" s="79">
        <v>46081</v>
      </c>
      <c r="X214" s="78" t="s">
        <v>38</v>
      </c>
      <c r="Y214" s="78"/>
      <c r="Z214" s="78" t="s">
        <v>5434</v>
      </c>
      <c r="AA214">
        <f>IF(COUNTIF('Call Queue'!$H$6:$H$20,V214)&gt;0,0,IF(AND(ISNUMBER(N214),N214&gt;0),10000000+N214,IF(ISNUMBER(N214*1),IF(N214*1&gt;0,10000000+N214*1,0),0))+IF(ISNUMBER(SEARCH("(",L214)),1000000+IFERROR(VALUE(SUBSTITUTE(SUBSTITUTE(SUBSTITUTE(MID(L214,SEARCH("(",L214)+1,SEARCH(")",L214)-SEARCH("(",L214)-1),"$",""),",","")," ","")),0),0))</f>
        <v>0</v>
      </c>
    </row>
    <row r="215" spans="1:27">
      <c r="A215" s="76">
        <v>45903</v>
      </c>
      <c r="B215" s="77" t="s">
        <v>964</v>
      </c>
      <c r="C215" s="77" t="s">
        <v>965</v>
      </c>
      <c r="D215" s="77" t="s">
        <v>125</v>
      </c>
      <c r="E215" s="77">
        <v>85254</v>
      </c>
      <c r="F215" s="77" t="s">
        <v>31</v>
      </c>
      <c r="G215" s="77" t="s">
        <v>506</v>
      </c>
      <c r="H215" s="77" t="s">
        <v>966</v>
      </c>
      <c r="I215" s="77" t="s">
        <v>196</v>
      </c>
      <c r="J215" s="77" t="s">
        <v>37</v>
      </c>
      <c r="K215" s="77" t="s">
        <v>37</v>
      </c>
      <c r="L215" s="77" t="s">
        <v>38</v>
      </c>
      <c r="M215" s="77" t="s">
        <v>37</v>
      </c>
      <c r="N215" s="77" t="s">
        <v>37</v>
      </c>
      <c r="O215" s="77" t="s">
        <v>38</v>
      </c>
      <c r="P215" s="77" t="s">
        <v>39</v>
      </c>
      <c r="Q215" s="76">
        <v>45968</v>
      </c>
      <c r="R215" s="77"/>
      <c r="S215" s="77"/>
      <c r="T215" s="77"/>
      <c r="U215" s="77"/>
      <c r="V215" s="78"/>
      <c r="W215" s="79"/>
      <c r="X215" s="78"/>
      <c r="Y215" s="78"/>
      <c r="Z215" s="78"/>
      <c r="AA215">
        <f>IF(COUNTIF('Call Queue'!$H$6:$H$20,V215)&gt;0,0,IF(AND(ISNUMBER(N215),N215&gt;0),10000000+N215,IF(ISNUMBER(N215*1),IF(N215*1&gt;0,10000000+N215*1,0),0))+IF(ISNUMBER(SEARCH("(",L215)),1000000+IFERROR(VALUE(SUBSTITUTE(SUBSTITUTE(SUBSTITUTE(MID(L215,SEARCH("(",L215)+1,SEARCH(")",L215)-SEARCH("(",L215)-1),"$",""),",","")," ","")),0),0))</f>
        <v>0</v>
      </c>
    </row>
    <row r="216" spans="1:27">
      <c r="A216" s="76">
        <v>45903</v>
      </c>
      <c r="B216" s="77" t="s">
        <v>970</v>
      </c>
      <c r="C216" s="77" t="s">
        <v>355</v>
      </c>
      <c r="D216" s="77" t="s">
        <v>202</v>
      </c>
      <c r="E216" s="77">
        <v>85382</v>
      </c>
      <c r="F216" s="77" t="s">
        <v>971</v>
      </c>
      <c r="G216" s="77" t="s">
        <v>506</v>
      </c>
      <c r="H216" s="77" t="s">
        <v>972</v>
      </c>
      <c r="I216" s="77" t="s">
        <v>541</v>
      </c>
      <c r="J216" s="77" t="s">
        <v>37</v>
      </c>
      <c r="K216" s="77" t="s">
        <v>37</v>
      </c>
      <c r="L216" s="77" t="s">
        <v>389</v>
      </c>
      <c r="M216" s="77" t="s">
        <v>37</v>
      </c>
      <c r="N216" s="77" t="s">
        <v>37</v>
      </c>
      <c r="O216" s="77" t="s">
        <v>38</v>
      </c>
      <c r="P216" s="77" t="s">
        <v>39</v>
      </c>
      <c r="Q216" s="76">
        <v>45968</v>
      </c>
      <c r="R216" s="77"/>
      <c r="S216" s="77"/>
      <c r="T216" s="77"/>
      <c r="U216" s="77"/>
      <c r="V216" s="78" t="s">
        <v>117</v>
      </c>
      <c r="W216" s="79">
        <v>46081</v>
      </c>
      <c r="X216" s="78" t="s">
        <v>37</v>
      </c>
      <c r="Y216" s="78"/>
      <c r="Z216" s="78"/>
      <c r="AA216">
        <f>IF(COUNTIF('Call Queue'!$H$6:$H$20,V216)&gt;0,0,IF(AND(ISNUMBER(N216),N216&gt;0),10000000+N216,IF(ISNUMBER(N216*1),IF(N216*1&gt;0,10000000+N216*1,0),0))+IF(ISNUMBER(SEARCH("(",L216)),1000000+IFERROR(VALUE(SUBSTITUTE(SUBSTITUTE(SUBSTITUTE(MID(L216,SEARCH("(",L216)+1,SEARCH(")",L216)-SEARCH("(",L216)-1),"$",""),",","")," ","")),0),0))</f>
        <v>0</v>
      </c>
    </row>
    <row r="217" spans="1:27">
      <c r="A217" s="76">
        <v>45903</v>
      </c>
      <c r="B217" s="77" t="s">
        <v>134</v>
      </c>
      <c r="C217" s="77" t="s">
        <v>789</v>
      </c>
      <c r="D217" s="77" t="s">
        <v>240</v>
      </c>
      <c r="E217" s="77">
        <v>85340</v>
      </c>
      <c r="F217" s="77" t="s">
        <v>31</v>
      </c>
      <c r="G217" s="77" t="s">
        <v>506</v>
      </c>
      <c r="H217" s="77" t="s">
        <v>973</v>
      </c>
      <c r="I217" s="77" t="s">
        <v>418</v>
      </c>
      <c r="J217" s="77" t="s">
        <v>37</v>
      </c>
      <c r="K217" s="77" t="s">
        <v>37</v>
      </c>
      <c r="L217" s="77" t="s">
        <v>389</v>
      </c>
      <c r="M217" s="77" t="s">
        <v>37</v>
      </c>
      <c r="N217" s="77" t="s">
        <v>37</v>
      </c>
      <c r="O217" s="77" t="s">
        <v>38</v>
      </c>
      <c r="P217" s="77" t="s">
        <v>39</v>
      </c>
      <c r="Q217" s="76">
        <v>45968</v>
      </c>
      <c r="R217" s="77"/>
      <c r="S217" s="77"/>
      <c r="T217" s="77"/>
      <c r="U217" s="77"/>
      <c r="V217" s="78"/>
      <c r="W217" s="79"/>
      <c r="X217" s="78"/>
      <c r="Y217" s="78"/>
      <c r="Z217" s="78"/>
      <c r="AA217">
        <f>IF(COUNTIF('Call Queue'!$H$6:$H$20,V217)&gt;0,0,IF(AND(ISNUMBER(N217),N217&gt;0),10000000+N217,IF(ISNUMBER(N217*1),IF(N217*1&gt;0,10000000+N217*1,0),0))+IF(ISNUMBER(SEARCH("(",L217)),1000000+IFERROR(VALUE(SUBSTITUTE(SUBSTITUTE(SUBSTITUTE(MID(L217,SEARCH("(",L217)+1,SEARCH(")",L217)-SEARCH("(",L217)-1),"$",""),",","")," ","")),0),0))</f>
        <v>0</v>
      </c>
    </row>
    <row r="218" spans="1:27">
      <c r="A218" s="76">
        <v>45903</v>
      </c>
      <c r="B218" s="77" t="s">
        <v>974</v>
      </c>
      <c r="C218" s="77" t="s">
        <v>975</v>
      </c>
      <c r="D218" s="77" t="s">
        <v>125</v>
      </c>
      <c r="E218" s="77">
        <v>85251</v>
      </c>
      <c r="F218" s="77" t="s">
        <v>310</v>
      </c>
      <c r="G218" s="77" t="s">
        <v>506</v>
      </c>
      <c r="H218" s="77" t="s">
        <v>976</v>
      </c>
      <c r="I218" s="77" t="s">
        <v>126</v>
      </c>
      <c r="J218" s="77" t="s">
        <v>37</v>
      </c>
      <c r="K218" s="77" t="s">
        <v>37</v>
      </c>
      <c r="L218" s="77" t="s">
        <v>977</v>
      </c>
      <c r="M218" s="77" t="s">
        <v>37</v>
      </c>
      <c r="N218" s="77" t="s">
        <v>37</v>
      </c>
      <c r="O218" s="77" t="s">
        <v>38</v>
      </c>
      <c r="P218" s="77">
        <v>45933</v>
      </c>
      <c r="Q218" s="76">
        <v>45967</v>
      </c>
      <c r="R218" s="77" t="s">
        <v>978</v>
      </c>
      <c r="S218" s="77"/>
      <c r="T218" s="77"/>
      <c r="U218" s="77"/>
      <c r="V218" s="78" t="s">
        <v>117</v>
      </c>
      <c r="W218" s="79">
        <v>46025</v>
      </c>
      <c r="X218" s="78" t="s">
        <v>38</v>
      </c>
      <c r="Y218" s="78"/>
      <c r="Z218" s="78"/>
      <c r="AA218">
        <f>IF(COUNTIF('Call Queue'!$H$6:$H$20,V218)&gt;0,0,IF(AND(ISNUMBER(N218),N218&gt;0),10000000+N218,IF(ISNUMBER(N218*1),IF(N218*1&gt;0,10000000+N218*1,0),0))+IF(ISNUMBER(SEARCH("(",L218)),1000000+IFERROR(VALUE(SUBSTITUTE(SUBSTITUTE(SUBSTITUTE(MID(L218,SEARCH("(",L218)+1,SEARCH(")",L218)-SEARCH("(",L218)-1),"$",""),",","")," ","")),0),0))</f>
        <v>0</v>
      </c>
    </row>
    <row r="219" spans="1:27">
      <c r="A219" s="76">
        <v>45903</v>
      </c>
      <c r="B219" s="77" t="s">
        <v>979</v>
      </c>
      <c r="C219" s="77" t="s">
        <v>673</v>
      </c>
      <c r="D219" s="77" t="s">
        <v>202</v>
      </c>
      <c r="E219" s="77">
        <v>85383</v>
      </c>
      <c r="F219" s="77" t="s">
        <v>310</v>
      </c>
      <c r="G219" s="77" t="s">
        <v>506</v>
      </c>
      <c r="H219" s="77" t="s">
        <v>980</v>
      </c>
      <c r="I219" s="77" t="s">
        <v>36</v>
      </c>
      <c r="J219" s="77" t="s">
        <v>37</v>
      </c>
      <c r="K219" s="77" t="s">
        <v>37</v>
      </c>
      <c r="L219" s="77" t="s">
        <v>38</v>
      </c>
      <c r="M219" s="77" t="s">
        <v>37</v>
      </c>
      <c r="N219" s="77" t="s">
        <v>37</v>
      </c>
      <c r="O219" s="77" t="s">
        <v>38</v>
      </c>
      <c r="P219" s="77" t="s">
        <v>39</v>
      </c>
      <c r="Q219" s="76">
        <v>45967</v>
      </c>
      <c r="R219" s="77"/>
      <c r="S219" s="77"/>
      <c r="T219" s="77"/>
      <c r="U219" s="77"/>
      <c r="V219" s="78"/>
      <c r="W219" s="79"/>
      <c r="X219" s="78"/>
      <c r="Y219" s="78"/>
      <c r="Z219" s="78"/>
      <c r="AA219">
        <f>IF(COUNTIF('Call Queue'!$H$6:$H$20,V219)&gt;0,0,IF(AND(ISNUMBER(N219),N219&gt;0),10000000+N219,IF(ISNUMBER(N219*1),IF(N219*1&gt;0,10000000+N219*1,0),0))+IF(ISNUMBER(SEARCH("(",L219)),1000000+IFERROR(VALUE(SUBSTITUTE(SUBSTITUTE(SUBSTITUTE(MID(L219,SEARCH("(",L219)+1,SEARCH(")",L219)-SEARCH("(",L219)-1),"$",""),",","")," ","")),0),0))</f>
        <v>0</v>
      </c>
    </row>
    <row r="220" spans="1:27">
      <c r="A220" s="76">
        <v>45903</v>
      </c>
      <c r="B220" s="77" t="s">
        <v>981</v>
      </c>
      <c r="C220" s="77" t="s">
        <v>208</v>
      </c>
      <c r="D220" s="77" t="s">
        <v>261</v>
      </c>
      <c r="E220" s="77">
        <v>86314</v>
      </c>
      <c r="F220" s="77" t="s">
        <v>31</v>
      </c>
      <c r="G220" s="77" t="s">
        <v>506</v>
      </c>
      <c r="H220" s="77" t="s">
        <v>982</v>
      </c>
      <c r="I220" s="77" t="s">
        <v>126</v>
      </c>
      <c r="J220" s="77" t="s">
        <v>37</v>
      </c>
      <c r="K220" s="77" t="s">
        <v>37</v>
      </c>
      <c r="L220" s="77" t="s">
        <v>983</v>
      </c>
      <c r="M220" s="77" t="s">
        <v>37</v>
      </c>
      <c r="N220" s="77" t="s">
        <v>37</v>
      </c>
      <c r="O220" s="77" t="s">
        <v>38</v>
      </c>
      <c r="P220" s="77" t="s">
        <v>39</v>
      </c>
      <c r="Q220" s="76">
        <v>45967</v>
      </c>
      <c r="R220" s="77" t="s">
        <v>984</v>
      </c>
      <c r="S220" s="77"/>
      <c r="T220" s="77"/>
      <c r="U220" s="77"/>
      <c r="V220" s="78" t="s">
        <v>117</v>
      </c>
      <c r="W220" s="79">
        <v>46025</v>
      </c>
      <c r="X220" s="78" t="s">
        <v>38</v>
      </c>
      <c r="Y220" s="78"/>
      <c r="Z220" s="78"/>
      <c r="AA220">
        <f>IF(COUNTIF('Call Queue'!$H$6:$H$20,V220)&gt;0,0,IF(AND(ISNUMBER(N220),N220&gt;0),10000000+N220,IF(ISNUMBER(N220*1),IF(N220*1&gt;0,10000000+N220*1,0),0))+IF(ISNUMBER(SEARCH("(",L220)),1000000+IFERROR(VALUE(SUBSTITUTE(SUBSTITUTE(SUBSTITUTE(MID(L220,SEARCH("(",L220)+1,SEARCH(")",L220)-SEARCH("(",L220)-1),"$",""),",","")," ","")),0),0))</f>
        <v>0</v>
      </c>
    </row>
    <row r="221" spans="1:27">
      <c r="A221" s="76">
        <v>45903</v>
      </c>
      <c r="B221" s="77" t="s">
        <v>985</v>
      </c>
      <c r="C221" s="77" t="s">
        <v>263</v>
      </c>
      <c r="D221" s="77" t="s">
        <v>169</v>
      </c>
      <c r="E221" s="77">
        <v>85395</v>
      </c>
      <c r="F221" s="77" t="s">
        <v>986</v>
      </c>
      <c r="G221" s="77" t="s">
        <v>506</v>
      </c>
      <c r="H221" s="77" t="s">
        <v>987</v>
      </c>
      <c r="I221" s="77" t="s">
        <v>196</v>
      </c>
      <c r="J221" s="77" t="s">
        <v>37</v>
      </c>
      <c r="K221" s="77" t="s">
        <v>37</v>
      </c>
      <c r="L221" s="77" t="s">
        <v>38</v>
      </c>
      <c r="M221" s="77" t="s">
        <v>37</v>
      </c>
      <c r="N221" s="77" t="s">
        <v>37</v>
      </c>
      <c r="O221" s="77" t="s">
        <v>38</v>
      </c>
      <c r="P221" s="77" t="s">
        <v>39</v>
      </c>
      <c r="Q221" s="76">
        <v>45967</v>
      </c>
      <c r="R221" s="77"/>
      <c r="S221" s="77"/>
      <c r="T221" s="77"/>
      <c r="U221" s="77"/>
      <c r="V221" s="78"/>
      <c r="W221" s="79"/>
      <c r="X221" s="78"/>
      <c r="Y221" s="78"/>
      <c r="Z221" s="78"/>
      <c r="AA221">
        <f>IF(COUNTIF('Call Queue'!$H$6:$H$20,V221)&gt;0,0,IF(AND(ISNUMBER(N221),N221&gt;0),10000000+N221,IF(ISNUMBER(N221*1),IF(N221*1&gt;0,10000000+N221*1,0),0))+IF(ISNUMBER(SEARCH("(",L221)),1000000+IFERROR(VALUE(SUBSTITUTE(SUBSTITUTE(SUBSTITUTE(MID(L221,SEARCH("(",L221)+1,SEARCH(")",L221)-SEARCH("(",L221)-1),"$",""),",","")," ","")),0),0))</f>
        <v>0</v>
      </c>
    </row>
    <row r="222" spans="1:27">
      <c r="A222" s="76">
        <v>45903</v>
      </c>
      <c r="B222" s="77" t="s">
        <v>134</v>
      </c>
      <c r="C222" s="77" t="s">
        <v>777</v>
      </c>
      <c r="D222" s="77" t="s">
        <v>240</v>
      </c>
      <c r="E222" s="77">
        <v>85340</v>
      </c>
      <c r="F222" s="77" t="s">
        <v>31</v>
      </c>
      <c r="G222" s="77" t="s">
        <v>506</v>
      </c>
      <c r="H222" s="77" t="s">
        <v>988</v>
      </c>
      <c r="I222" s="77" t="s">
        <v>243</v>
      </c>
      <c r="J222" s="77" t="s">
        <v>37</v>
      </c>
      <c r="K222" s="77" t="s">
        <v>37</v>
      </c>
      <c r="L222" s="77" t="s">
        <v>389</v>
      </c>
      <c r="M222" s="77" t="s">
        <v>37</v>
      </c>
      <c r="N222" s="77" t="s">
        <v>37</v>
      </c>
      <c r="O222" s="77" t="s">
        <v>38</v>
      </c>
      <c r="P222" s="77" t="s">
        <v>39</v>
      </c>
      <c r="Q222" s="76">
        <v>45967</v>
      </c>
      <c r="R222" s="77"/>
      <c r="S222" s="77"/>
      <c r="T222" s="77"/>
      <c r="U222" s="77"/>
      <c r="V222" s="78" t="s">
        <v>117</v>
      </c>
      <c r="W222" s="79">
        <v>46081</v>
      </c>
      <c r="X222" s="78" t="s">
        <v>38</v>
      </c>
      <c r="Y222" s="78"/>
      <c r="Z222" s="78" t="s">
        <v>5434</v>
      </c>
      <c r="AA222">
        <f>IF(COUNTIF('Call Queue'!$H$6:$H$20,V222)&gt;0,0,IF(AND(ISNUMBER(N222),N222&gt;0),10000000+N222,IF(ISNUMBER(N222*1),IF(N222*1&gt;0,10000000+N222*1,0),0))+IF(ISNUMBER(SEARCH("(",L222)),1000000+IFERROR(VALUE(SUBSTITUTE(SUBSTITUTE(SUBSTITUTE(MID(L222,SEARCH("(",L222)+1,SEARCH(")",L222)-SEARCH("(",L222)-1),"$",""),",","")," ","")),0),0))</f>
        <v>0</v>
      </c>
    </row>
    <row r="223" spans="1:27">
      <c r="A223" s="76">
        <v>45903</v>
      </c>
      <c r="B223" s="77" t="s">
        <v>990</v>
      </c>
      <c r="C223" s="77" t="s">
        <v>991</v>
      </c>
      <c r="D223" s="77" t="s">
        <v>169</v>
      </c>
      <c r="E223" s="77">
        <v>85338</v>
      </c>
      <c r="F223" s="77" t="s">
        <v>992</v>
      </c>
      <c r="G223" s="77" t="s">
        <v>506</v>
      </c>
      <c r="H223" s="77" t="s">
        <v>993</v>
      </c>
      <c r="I223" s="77" t="s">
        <v>418</v>
      </c>
      <c r="J223" s="77" t="s">
        <v>37</v>
      </c>
      <c r="K223" s="77" t="s">
        <v>37</v>
      </c>
      <c r="L223" s="77" t="s">
        <v>389</v>
      </c>
      <c r="M223" s="77" t="s">
        <v>37</v>
      </c>
      <c r="N223" s="77" t="s">
        <v>37</v>
      </c>
      <c r="O223" s="77" t="s">
        <v>38</v>
      </c>
      <c r="P223" s="77" t="s">
        <v>39</v>
      </c>
      <c r="Q223" s="76">
        <v>45967</v>
      </c>
      <c r="R223" s="77"/>
      <c r="S223" s="77"/>
      <c r="T223" s="77"/>
      <c r="U223" s="77"/>
      <c r="V223" s="78"/>
      <c r="W223" s="79"/>
      <c r="X223" s="78"/>
      <c r="Y223" s="78"/>
      <c r="Z223" s="78"/>
      <c r="AA223">
        <f>IF(COUNTIF('Call Queue'!$H$6:$H$20,V223)&gt;0,0,IF(AND(ISNUMBER(N223),N223&gt;0),10000000+N223,IF(ISNUMBER(N223*1),IF(N223*1&gt;0,10000000+N223*1,0),0))+IF(ISNUMBER(SEARCH("(",L223)),1000000+IFERROR(VALUE(SUBSTITUTE(SUBSTITUTE(SUBSTITUTE(MID(L223,SEARCH("(",L223)+1,SEARCH(")",L223)-SEARCH("(",L223)-1),"$",""),",","")," ","")),0),0))</f>
        <v>0</v>
      </c>
    </row>
    <row r="224" spans="1:27">
      <c r="A224" s="76">
        <v>45903</v>
      </c>
      <c r="B224" s="77" t="s">
        <v>657</v>
      </c>
      <c r="C224" s="77" t="s">
        <v>42</v>
      </c>
      <c r="D224" s="77" t="s">
        <v>169</v>
      </c>
      <c r="E224" s="77">
        <v>85395</v>
      </c>
      <c r="F224" s="77" t="s">
        <v>31</v>
      </c>
      <c r="G224" s="77" t="s">
        <v>506</v>
      </c>
      <c r="H224" s="77" t="s">
        <v>995</v>
      </c>
      <c r="I224" s="77" t="s">
        <v>541</v>
      </c>
      <c r="J224" s="77" t="s">
        <v>37</v>
      </c>
      <c r="K224" s="77" t="s">
        <v>37</v>
      </c>
      <c r="L224" s="77" t="s">
        <v>389</v>
      </c>
      <c r="M224" s="77" t="s">
        <v>37</v>
      </c>
      <c r="N224" s="77" t="s">
        <v>37</v>
      </c>
      <c r="O224" s="77" t="s">
        <v>38</v>
      </c>
      <c r="P224" s="77" t="s">
        <v>39</v>
      </c>
      <c r="Q224" s="76">
        <v>45967</v>
      </c>
      <c r="R224" s="77"/>
      <c r="S224" s="77"/>
      <c r="T224" s="77"/>
      <c r="U224" s="77"/>
      <c r="V224" s="78" t="s">
        <v>117</v>
      </c>
      <c r="W224" s="79">
        <v>46081</v>
      </c>
      <c r="X224" s="78" t="s">
        <v>38</v>
      </c>
      <c r="Y224" s="78"/>
      <c r="Z224" s="78" t="s">
        <v>5434</v>
      </c>
      <c r="AA224">
        <f>IF(COUNTIF('Call Queue'!$H$6:$H$20,V224)&gt;0,0,IF(AND(ISNUMBER(N224),N224&gt;0),10000000+N224,IF(ISNUMBER(N224*1),IF(N224*1&gt;0,10000000+N224*1,0),0))+IF(ISNUMBER(SEARCH("(",L224)),1000000+IFERROR(VALUE(SUBSTITUTE(SUBSTITUTE(SUBSTITUTE(MID(L224,SEARCH("(",L224)+1,SEARCH(")",L224)-SEARCH("(",L224)-1),"$",""),",","")," ","")),0),0))</f>
        <v>0</v>
      </c>
    </row>
    <row r="225" spans="1:27">
      <c r="A225" s="76">
        <v>45903</v>
      </c>
      <c r="B225" s="77" t="s">
        <v>998</v>
      </c>
      <c r="C225" s="77" t="s">
        <v>920</v>
      </c>
      <c r="D225" s="77" t="s">
        <v>63</v>
      </c>
      <c r="E225" s="77">
        <v>85004</v>
      </c>
      <c r="F225" s="77" t="s">
        <v>310</v>
      </c>
      <c r="G225" s="77" t="s">
        <v>506</v>
      </c>
      <c r="H225" s="77" t="s">
        <v>999</v>
      </c>
      <c r="I225" s="77" t="s">
        <v>126</v>
      </c>
      <c r="J225" s="77" t="s">
        <v>38</v>
      </c>
      <c r="K225" s="77" t="s">
        <v>37</v>
      </c>
      <c r="L225" s="77" t="s">
        <v>38</v>
      </c>
      <c r="M225" s="77" t="s">
        <v>37</v>
      </c>
      <c r="N225" s="77" t="s">
        <v>37</v>
      </c>
      <c r="O225" s="77" t="s">
        <v>38</v>
      </c>
      <c r="P225" s="77" t="s">
        <v>39</v>
      </c>
      <c r="Q225" s="76">
        <v>45967</v>
      </c>
      <c r="R225" s="77"/>
      <c r="S225" s="77"/>
      <c r="T225" s="77"/>
      <c r="U225" s="77"/>
      <c r="V225" s="78"/>
      <c r="W225" s="79"/>
      <c r="X225" s="78"/>
      <c r="Y225" s="78"/>
      <c r="Z225" s="78"/>
      <c r="AA225">
        <f>IF(COUNTIF('Call Queue'!$H$6:$H$20,V225)&gt;0,0,IF(AND(ISNUMBER(N225),N225&gt;0),10000000+N225,IF(ISNUMBER(N225*1),IF(N225*1&gt;0,10000000+N225*1,0),0))+IF(ISNUMBER(SEARCH("(",L225)),1000000+IFERROR(VALUE(SUBSTITUTE(SUBSTITUTE(SUBSTITUTE(MID(L225,SEARCH("(",L225)+1,SEARCH(")",L225)-SEARCH("(",L225)-1),"$",""),",","")," ","")),0),0))</f>
        <v>0</v>
      </c>
    </row>
    <row r="226" spans="1:27">
      <c r="A226" s="76">
        <v>45903</v>
      </c>
      <c r="B226" s="77" t="s">
        <v>1000</v>
      </c>
      <c r="C226" s="77" t="s">
        <v>1001</v>
      </c>
      <c r="D226" s="77" t="s">
        <v>63</v>
      </c>
      <c r="E226" s="77">
        <v>85012</v>
      </c>
      <c r="F226" s="77" t="s">
        <v>1002</v>
      </c>
      <c r="G226" s="77" t="s">
        <v>506</v>
      </c>
      <c r="H226" s="77" t="s">
        <v>1003</v>
      </c>
      <c r="I226" s="77" t="s">
        <v>36</v>
      </c>
      <c r="J226" s="77" t="s">
        <v>37</v>
      </c>
      <c r="K226" s="77" t="s">
        <v>37</v>
      </c>
      <c r="L226" s="77" t="s">
        <v>1004</v>
      </c>
      <c r="M226" s="77" t="s">
        <v>37</v>
      </c>
      <c r="N226" s="77" t="s">
        <v>37</v>
      </c>
      <c r="O226" s="77" t="s">
        <v>38</v>
      </c>
      <c r="P226" s="77" t="s">
        <v>39</v>
      </c>
      <c r="Q226" s="76">
        <v>45967</v>
      </c>
      <c r="R226" s="77"/>
      <c r="S226" s="77"/>
      <c r="T226" s="77"/>
      <c r="U226" s="77"/>
      <c r="V226" s="78" t="s">
        <v>117</v>
      </c>
      <c r="W226" s="79">
        <v>46025</v>
      </c>
      <c r="X226" s="78" t="s">
        <v>37</v>
      </c>
      <c r="Y226" s="78"/>
      <c r="Z226" s="78"/>
      <c r="AA226">
        <f>IF(COUNTIF('Call Queue'!$H$6:$H$20,V226)&gt;0,0,IF(AND(ISNUMBER(N226),N226&gt;0),10000000+N226,IF(ISNUMBER(N226*1),IF(N226*1&gt;0,10000000+N226*1,0),0))+IF(ISNUMBER(SEARCH("(",L226)),1000000+IFERROR(VALUE(SUBSTITUTE(SUBSTITUTE(SUBSTITUTE(MID(L226,SEARCH("(",L226)+1,SEARCH(")",L226)-SEARCH("(",L226)-1),"$",""),",","")," ","")),0),0))</f>
        <v>0</v>
      </c>
    </row>
    <row r="227" spans="1:27">
      <c r="A227" s="76">
        <v>45903</v>
      </c>
      <c r="B227" s="77" t="s">
        <v>1006</v>
      </c>
      <c r="C227" s="77" t="s">
        <v>1007</v>
      </c>
      <c r="D227" s="77" t="s">
        <v>63</v>
      </c>
      <c r="E227" s="77">
        <v>85085</v>
      </c>
      <c r="F227" s="77" t="s">
        <v>31</v>
      </c>
      <c r="G227" s="77" t="s">
        <v>506</v>
      </c>
      <c r="H227" s="77" t="s">
        <v>1008</v>
      </c>
      <c r="I227" s="77" t="s">
        <v>36</v>
      </c>
      <c r="J227" s="77" t="s">
        <v>37</v>
      </c>
      <c r="K227" s="77" t="s">
        <v>37</v>
      </c>
      <c r="L227" s="77" t="s">
        <v>38</v>
      </c>
      <c r="M227" s="77" t="s">
        <v>37</v>
      </c>
      <c r="N227" s="77" t="s">
        <v>37</v>
      </c>
      <c r="O227" s="77" t="s">
        <v>38</v>
      </c>
      <c r="P227" s="77" t="s">
        <v>39</v>
      </c>
      <c r="Q227" s="76">
        <v>45967</v>
      </c>
      <c r="R227" s="77"/>
      <c r="S227" s="77"/>
      <c r="T227" s="77"/>
      <c r="U227" s="77" t="s">
        <v>1009</v>
      </c>
      <c r="V227" s="78"/>
      <c r="W227" s="79"/>
      <c r="X227" s="78"/>
      <c r="Y227" s="78"/>
      <c r="Z227" s="78"/>
      <c r="AA227">
        <f>IF(COUNTIF('Call Queue'!$H$6:$H$20,V227)&gt;0,0,IF(AND(ISNUMBER(N227),N227&gt;0),10000000+N227,IF(ISNUMBER(N227*1),IF(N227*1&gt;0,10000000+N227*1,0),0))+IF(ISNUMBER(SEARCH("(",L227)),1000000+IFERROR(VALUE(SUBSTITUTE(SUBSTITUTE(SUBSTITUTE(MID(L227,SEARCH("(",L227)+1,SEARCH(")",L227)-SEARCH("(",L227)-1),"$",""),",","")," ","")),0),0))</f>
        <v>0</v>
      </c>
    </row>
    <row r="228" spans="1:27">
      <c r="A228" s="76">
        <v>45903</v>
      </c>
      <c r="B228" s="77" t="s">
        <v>1010</v>
      </c>
      <c r="C228" s="77" t="s">
        <v>1011</v>
      </c>
      <c r="D228" s="77" t="s">
        <v>63</v>
      </c>
      <c r="E228" s="77">
        <v>85024</v>
      </c>
      <c r="F228" s="77" t="s">
        <v>310</v>
      </c>
      <c r="G228" s="77" t="s">
        <v>506</v>
      </c>
      <c r="H228" s="77" t="s">
        <v>1012</v>
      </c>
      <c r="I228" s="77" t="s">
        <v>196</v>
      </c>
      <c r="J228" s="77" t="s">
        <v>37</v>
      </c>
      <c r="K228" s="77" t="s">
        <v>37</v>
      </c>
      <c r="L228" s="77" t="s">
        <v>38</v>
      </c>
      <c r="M228" s="77" t="s">
        <v>37</v>
      </c>
      <c r="N228" s="77" t="s">
        <v>37</v>
      </c>
      <c r="O228" s="77" t="s">
        <v>38</v>
      </c>
      <c r="P228" s="77" t="s">
        <v>39</v>
      </c>
      <c r="Q228" s="76">
        <v>45967</v>
      </c>
      <c r="R228" s="77"/>
      <c r="S228" s="77"/>
      <c r="T228" s="77"/>
      <c r="U228" s="77"/>
      <c r="V228" s="78" t="s">
        <v>117</v>
      </c>
      <c r="W228" s="79">
        <v>46081</v>
      </c>
      <c r="X228" s="78" t="s">
        <v>37</v>
      </c>
      <c r="Y228" s="78"/>
      <c r="Z228" s="78" t="s">
        <v>5459</v>
      </c>
      <c r="AA228">
        <f>IF(COUNTIF('Call Queue'!$H$6:$H$20,V228)&gt;0,0,IF(AND(ISNUMBER(N228),N228&gt;0),10000000+N228,IF(ISNUMBER(N228*1),IF(N228*1&gt;0,10000000+N228*1,0),0))+IF(ISNUMBER(SEARCH("(",L228)),1000000+IFERROR(VALUE(SUBSTITUTE(SUBSTITUTE(SUBSTITUTE(MID(L228,SEARCH("(",L228)+1,SEARCH(")",L228)-SEARCH("(",L228)-1),"$",""),",","")," ","")),0),0))</f>
        <v>0</v>
      </c>
    </row>
    <row r="229" spans="1:27">
      <c r="A229" s="76">
        <v>45903</v>
      </c>
      <c r="B229" s="77" t="s">
        <v>1013</v>
      </c>
      <c r="C229" s="77" t="s">
        <v>1014</v>
      </c>
      <c r="D229" s="77" t="s">
        <v>125</v>
      </c>
      <c r="E229" s="77">
        <v>85259</v>
      </c>
      <c r="F229" s="77" t="s">
        <v>310</v>
      </c>
      <c r="G229" s="77" t="s">
        <v>506</v>
      </c>
      <c r="H229" s="77" t="s">
        <v>209</v>
      </c>
      <c r="I229" s="77"/>
      <c r="J229" s="77"/>
      <c r="K229" s="77"/>
      <c r="L229" s="77"/>
      <c r="M229" s="77"/>
      <c r="N229" s="77"/>
      <c r="O229" s="77"/>
      <c r="P229" s="77"/>
      <c r="Q229" s="76"/>
      <c r="R229" s="77"/>
      <c r="S229" s="77"/>
      <c r="T229" s="77"/>
      <c r="U229" s="77"/>
      <c r="V229" s="78"/>
      <c r="W229" s="79"/>
      <c r="X229" s="78"/>
      <c r="Y229" s="78"/>
      <c r="Z229" s="78"/>
      <c r="AA229">
        <f>IF(COUNTIF('Call Queue'!$H$6:$H$20,V229)&gt;0,0,IF(AND(ISNUMBER(N229),N229&gt;0),10000000+N229,IF(ISNUMBER(N229*1),IF(N229*1&gt;0,10000000+N229*1,0),0))+IF(ISNUMBER(SEARCH("(",L229)),1000000+IFERROR(VALUE(SUBSTITUTE(SUBSTITUTE(SUBSTITUTE(MID(L229,SEARCH("(",L229)+1,SEARCH(")",L229)-SEARCH("(",L229)-1),"$",""),",","")," ","")),0),0))</f>
        <v>0</v>
      </c>
    </row>
    <row r="230" spans="1:27">
      <c r="A230" s="76">
        <v>45903</v>
      </c>
      <c r="B230" s="77" t="s">
        <v>779</v>
      </c>
      <c r="C230" s="77" t="s">
        <v>479</v>
      </c>
      <c r="D230" s="77" t="s">
        <v>63</v>
      </c>
      <c r="E230" s="77">
        <v>85023</v>
      </c>
      <c r="F230" s="77" t="s">
        <v>31</v>
      </c>
      <c r="G230" s="77" t="s">
        <v>506</v>
      </c>
      <c r="H230" s="77">
        <v>3322263490</v>
      </c>
      <c r="I230" s="77" t="s">
        <v>541</v>
      </c>
      <c r="J230" s="77" t="s">
        <v>38</v>
      </c>
      <c r="K230" s="77" t="s">
        <v>37</v>
      </c>
      <c r="L230" s="77" t="s">
        <v>389</v>
      </c>
      <c r="M230" s="77" t="s">
        <v>37</v>
      </c>
      <c r="N230" s="77" t="s">
        <v>37</v>
      </c>
      <c r="O230" s="77" t="s">
        <v>38</v>
      </c>
      <c r="P230" s="77" t="s">
        <v>39</v>
      </c>
      <c r="Q230" s="76">
        <v>45967</v>
      </c>
      <c r="R230" s="77"/>
      <c r="S230" s="77"/>
      <c r="T230" s="77"/>
      <c r="U230" s="77"/>
      <c r="V230" s="78"/>
      <c r="W230" s="79"/>
      <c r="X230" s="78"/>
      <c r="Y230" s="78"/>
      <c r="Z230" s="78"/>
      <c r="AA230">
        <f>IF(COUNTIF('Call Queue'!$H$6:$H$20,V230)&gt;0,0,IF(AND(ISNUMBER(N230),N230&gt;0),10000000+N230,IF(ISNUMBER(N230*1),IF(N230*1&gt;0,10000000+N230*1,0),0))+IF(ISNUMBER(SEARCH("(",L230)),1000000+IFERROR(VALUE(SUBSTITUTE(SUBSTITUTE(SUBSTITUTE(MID(L230,SEARCH("(",L230)+1,SEARCH(")",L230)-SEARCH("(",L230)-1),"$",""),",","")," ","")),0),0))</f>
        <v>0</v>
      </c>
    </row>
    <row r="231" spans="1:27">
      <c r="A231" s="76">
        <v>45903</v>
      </c>
      <c r="B231" s="77" t="s">
        <v>1016</v>
      </c>
      <c r="C231" s="77" t="s">
        <v>1017</v>
      </c>
      <c r="D231" s="77" t="s">
        <v>112</v>
      </c>
      <c r="E231" s="77">
        <v>85387</v>
      </c>
      <c r="F231" s="77" t="s">
        <v>310</v>
      </c>
      <c r="G231" s="77" t="s">
        <v>506</v>
      </c>
      <c r="H231" s="77" t="s">
        <v>1018</v>
      </c>
      <c r="I231" s="77" t="s">
        <v>126</v>
      </c>
      <c r="J231" s="77" t="s">
        <v>37</v>
      </c>
      <c r="K231" s="77" t="s">
        <v>37</v>
      </c>
      <c r="L231" s="77" t="s">
        <v>38</v>
      </c>
      <c r="M231" s="77" t="s">
        <v>37</v>
      </c>
      <c r="N231" s="77" t="s">
        <v>37</v>
      </c>
      <c r="O231" s="77" t="s">
        <v>38</v>
      </c>
      <c r="P231" s="77" t="s">
        <v>39</v>
      </c>
      <c r="Q231" s="76">
        <v>45967</v>
      </c>
      <c r="R231" s="77"/>
      <c r="S231" s="77"/>
      <c r="T231" s="77"/>
      <c r="U231" s="77"/>
      <c r="V231" s="78" t="s">
        <v>117</v>
      </c>
      <c r="W231" s="79">
        <v>46081</v>
      </c>
      <c r="X231" s="78" t="s">
        <v>38</v>
      </c>
      <c r="Y231" s="78"/>
      <c r="Z231" s="78"/>
      <c r="AA231">
        <f>IF(COUNTIF('Call Queue'!$H$6:$H$20,V231)&gt;0,0,IF(AND(ISNUMBER(N231),N231&gt;0),10000000+N231,IF(ISNUMBER(N231*1),IF(N231*1&gt;0,10000000+N231*1,0),0))+IF(ISNUMBER(SEARCH("(",L231)),1000000+IFERROR(VALUE(SUBSTITUTE(SUBSTITUTE(SUBSTITUTE(MID(L231,SEARCH("(",L231)+1,SEARCH(")",L231)-SEARCH("(",L231)-1),"$",""),",","")," ","")),0),0))</f>
        <v>0</v>
      </c>
    </row>
    <row r="232" spans="1:27">
      <c r="A232" s="76">
        <v>45903</v>
      </c>
      <c r="B232" s="77" t="s">
        <v>1021</v>
      </c>
      <c r="C232" s="77" t="s">
        <v>771</v>
      </c>
      <c r="D232" s="77" t="s">
        <v>125</v>
      </c>
      <c r="E232" s="77">
        <v>85258</v>
      </c>
      <c r="F232" s="77" t="s">
        <v>310</v>
      </c>
      <c r="G232" s="77" t="s">
        <v>506</v>
      </c>
      <c r="H232" s="77" t="s">
        <v>1022</v>
      </c>
      <c r="I232" s="77" t="s">
        <v>36</v>
      </c>
      <c r="J232" s="77" t="s">
        <v>37</v>
      </c>
      <c r="K232" s="77" t="s">
        <v>37</v>
      </c>
      <c r="L232" s="77" t="s">
        <v>1023</v>
      </c>
      <c r="M232" s="77" t="s">
        <v>37</v>
      </c>
      <c r="N232" s="77" t="s">
        <v>37</v>
      </c>
      <c r="O232" s="77" t="s">
        <v>38</v>
      </c>
      <c r="P232" s="77" t="s">
        <v>39</v>
      </c>
      <c r="Q232" s="76">
        <v>45967</v>
      </c>
      <c r="R232" s="77" t="s">
        <v>1024</v>
      </c>
      <c r="S232" s="77"/>
      <c r="T232" s="77"/>
      <c r="U232" s="77"/>
      <c r="V232" s="78" t="s">
        <v>117</v>
      </c>
      <c r="W232" s="79">
        <v>46025</v>
      </c>
      <c r="X232" s="78" t="s">
        <v>38</v>
      </c>
      <c r="Y232" s="78"/>
      <c r="Z232" s="78"/>
      <c r="AA232">
        <f>IF(COUNTIF('Call Queue'!$H$6:$H$20,V232)&gt;0,0,IF(AND(ISNUMBER(N232),N232&gt;0),10000000+N232,IF(ISNUMBER(N232*1),IF(N232*1&gt;0,10000000+N232*1,0),0))+IF(ISNUMBER(SEARCH("(",L232)),1000000+IFERROR(VALUE(SUBSTITUTE(SUBSTITUTE(SUBSTITUTE(MID(L232,SEARCH("(",L232)+1,SEARCH(")",L232)-SEARCH("(",L232)-1),"$",""),",","")," ","")),0),0))</f>
        <v>0</v>
      </c>
    </row>
    <row r="233" spans="1:27">
      <c r="A233" s="76">
        <v>45903</v>
      </c>
      <c r="B233" s="77" t="s">
        <v>1025</v>
      </c>
      <c r="C233" s="77" t="s">
        <v>1026</v>
      </c>
      <c r="D233" s="77" t="s">
        <v>202</v>
      </c>
      <c r="E233" s="77">
        <v>85383</v>
      </c>
      <c r="F233" s="77" t="s">
        <v>31</v>
      </c>
      <c r="G233" s="77" t="s">
        <v>506</v>
      </c>
      <c r="H233" s="77" t="s">
        <v>1027</v>
      </c>
      <c r="I233" s="77" t="s">
        <v>126</v>
      </c>
      <c r="J233" s="77" t="s">
        <v>37</v>
      </c>
      <c r="K233" s="77" t="s">
        <v>37</v>
      </c>
      <c r="L233" s="77" t="s">
        <v>1028</v>
      </c>
      <c r="M233" s="77" t="s">
        <v>37</v>
      </c>
      <c r="N233" s="77" t="s">
        <v>37</v>
      </c>
      <c r="O233" s="77" t="s">
        <v>38</v>
      </c>
      <c r="P233" s="77" t="s">
        <v>39</v>
      </c>
      <c r="Q233" s="76">
        <v>45967</v>
      </c>
      <c r="R233" s="77" t="s">
        <v>1029</v>
      </c>
      <c r="S233" s="77"/>
      <c r="T233" s="77"/>
      <c r="U233" s="77"/>
      <c r="V233" s="78" t="s">
        <v>117</v>
      </c>
      <c r="W233" s="79">
        <v>46053</v>
      </c>
      <c r="X233" s="78" t="s">
        <v>37</v>
      </c>
      <c r="Y233" s="78"/>
      <c r="Z233" s="78" t="s">
        <v>5460</v>
      </c>
      <c r="AA233">
        <f>IF(COUNTIF('Call Queue'!$H$6:$H$20,V233)&gt;0,0,IF(AND(ISNUMBER(N233),N233&gt;0),10000000+N233,IF(ISNUMBER(N233*1),IF(N233*1&gt;0,10000000+N233*1,0),0))+IF(ISNUMBER(SEARCH("(",L233)),1000000+IFERROR(VALUE(SUBSTITUTE(SUBSTITUTE(SUBSTITUTE(MID(L233,SEARCH("(",L233)+1,SEARCH(")",L233)-SEARCH("(",L233)-1),"$",""),",","")," ","")),0),0))</f>
        <v>0</v>
      </c>
    </row>
    <row r="234" spans="1:27">
      <c r="A234" s="76">
        <v>45903</v>
      </c>
      <c r="B234" s="77" t="s">
        <v>818</v>
      </c>
      <c r="C234" s="77" t="s">
        <v>135</v>
      </c>
      <c r="D234" s="77" t="s">
        <v>63</v>
      </c>
      <c r="E234" s="77">
        <v>85028</v>
      </c>
      <c r="F234" s="77" t="s">
        <v>31</v>
      </c>
      <c r="G234" s="77" t="s">
        <v>506</v>
      </c>
      <c r="H234" s="77" t="s">
        <v>1030</v>
      </c>
      <c r="I234" s="77" t="s">
        <v>36</v>
      </c>
      <c r="J234" s="77" t="s">
        <v>37</v>
      </c>
      <c r="K234" s="77" t="s">
        <v>37</v>
      </c>
      <c r="L234" s="77" t="s">
        <v>38</v>
      </c>
      <c r="M234" s="77" t="s">
        <v>37</v>
      </c>
      <c r="N234" s="77" t="s">
        <v>37</v>
      </c>
      <c r="O234" s="77" t="s">
        <v>38</v>
      </c>
      <c r="P234" s="77" t="s">
        <v>39</v>
      </c>
      <c r="Q234" s="76">
        <v>45967</v>
      </c>
      <c r="R234" s="77"/>
      <c r="S234" s="77"/>
      <c r="T234" s="77"/>
      <c r="U234" s="77" t="s">
        <v>724</v>
      </c>
      <c r="V234" s="78"/>
      <c r="W234" s="79"/>
      <c r="X234" s="78"/>
      <c r="Y234" s="78"/>
      <c r="Z234" s="78"/>
      <c r="AA234">
        <f>IF(COUNTIF('Call Queue'!$H$6:$H$20,V234)&gt;0,0,IF(AND(ISNUMBER(N234),N234&gt;0),10000000+N234,IF(ISNUMBER(N234*1),IF(N234*1&gt;0,10000000+N234*1,0),0))+IF(ISNUMBER(SEARCH("(",L234)),1000000+IFERROR(VALUE(SUBSTITUTE(SUBSTITUTE(SUBSTITUTE(MID(L234,SEARCH("(",L234)+1,SEARCH(")",L234)-SEARCH("(",L234)-1),"$",""),",","")," ","")),0),0))</f>
        <v>0</v>
      </c>
    </row>
    <row r="235" spans="1:27">
      <c r="A235" s="76">
        <v>45903</v>
      </c>
      <c r="B235" s="77" t="s">
        <v>1031</v>
      </c>
      <c r="C235" s="77" t="s">
        <v>652</v>
      </c>
      <c r="D235" s="77" t="s">
        <v>63</v>
      </c>
      <c r="E235" s="77">
        <v>85016</v>
      </c>
      <c r="F235" s="77" t="s">
        <v>310</v>
      </c>
      <c r="G235" s="77" t="s">
        <v>506</v>
      </c>
      <c r="H235" s="77" t="s">
        <v>1032</v>
      </c>
      <c r="I235" s="77" t="s">
        <v>36</v>
      </c>
      <c r="J235" s="77" t="s">
        <v>37</v>
      </c>
      <c r="K235" s="77" t="s">
        <v>37</v>
      </c>
      <c r="L235" s="77" t="s">
        <v>38</v>
      </c>
      <c r="M235" s="77" t="s">
        <v>37</v>
      </c>
      <c r="N235" s="77" t="s">
        <v>37</v>
      </c>
      <c r="O235" s="77" t="s">
        <v>38</v>
      </c>
      <c r="P235" s="77" t="s">
        <v>39</v>
      </c>
      <c r="Q235" s="76">
        <v>45967</v>
      </c>
      <c r="R235" s="77"/>
      <c r="S235" s="77"/>
      <c r="T235" s="77"/>
      <c r="U235" s="77"/>
      <c r="V235" s="78" t="s">
        <v>117</v>
      </c>
      <c r="W235" s="79">
        <v>46081</v>
      </c>
      <c r="X235" s="78" t="s">
        <v>38</v>
      </c>
      <c r="Y235" s="78"/>
      <c r="Z235" s="78"/>
      <c r="AA235">
        <f>IF(COUNTIF('Call Queue'!$H$6:$H$20,V235)&gt;0,0,IF(AND(ISNUMBER(N235),N235&gt;0),10000000+N235,IF(ISNUMBER(N235*1),IF(N235*1&gt;0,10000000+N235*1,0),0))+IF(ISNUMBER(SEARCH("(",L235)),1000000+IFERROR(VALUE(SUBSTITUTE(SUBSTITUTE(SUBSTITUTE(MID(L235,SEARCH("(",L235)+1,SEARCH(")",L235)-SEARCH("(",L235)-1),"$",""),",","")," ","")),0),0))</f>
        <v>0</v>
      </c>
    </row>
    <row r="236" spans="1:27">
      <c r="A236" s="76">
        <v>45903</v>
      </c>
      <c r="B236" s="77" t="s">
        <v>1033</v>
      </c>
      <c r="C236" s="77" t="s">
        <v>784</v>
      </c>
      <c r="D236" s="77" t="s">
        <v>169</v>
      </c>
      <c r="E236" s="77">
        <v>85395</v>
      </c>
      <c r="F236" s="77" t="s">
        <v>1034</v>
      </c>
      <c r="G236" s="77" t="s">
        <v>506</v>
      </c>
      <c r="H236" s="77" t="s">
        <v>1035</v>
      </c>
      <c r="I236" s="77" t="s">
        <v>36</v>
      </c>
      <c r="J236" s="77" t="s">
        <v>37</v>
      </c>
      <c r="K236" s="77" t="s">
        <v>37</v>
      </c>
      <c r="L236" s="77" t="s">
        <v>38</v>
      </c>
      <c r="M236" s="77" t="s">
        <v>37</v>
      </c>
      <c r="N236" s="77" t="s">
        <v>37</v>
      </c>
      <c r="O236" s="77" t="s">
        <v>38</v>
      </c>
      <c r="P236" s="77" t="s">
        <v>39</v>
      </c>
      <c r="Q236" s="76">
        <v>45967</v>
      </c>
      <c r="R236" s="77"/>
      <c r="S236" s="77"/>
      <c r="T236" s="77"/>
      <c r="U236" s="77"/>
      <c r="V236" s="78"/>
      <c r="W236" s="79"/>
      <c r="X236" s="78"/>
      <c r="Y236" s="78"/>
      <c r="Z236" s="78"/>
      <c r="AA236">
        <f>IF(COUNTIF('Call Queue'!$H$6:$H$20,V236)&gt;0,0,IF(AND(ISNUMBER(N236),N236&gt;0),10000000+N236,IF(ISNUMBER(N236*1),IF(N236*1&gt;0,10000000+N236*1,0),0))+IF(ISNUMBER(SEARCH("(",L236)),1000000+IFERROR(VALUE(SUBSTITUTE(SUBSTITUTE(SUBSTITUTE(MID(L236,SEARCH("(",L236)+1,SEARCH(")",L236)-SEARCH("(",L236)-1),"$",""),",","")," ","")),0),0))</f>
        <v>0</v>
      </c>
    </row>
    <row r="237" spans="1:27">
      <c r="A237" s="76">
        <v>45903</v>
      </c>
      <c r="B237" s="77" t="s">
        <v>1037</v>
      </c>
      <c r="C237" s="77" t="s">
        <v>1038</v>
      </c>
      <c r="D237" s="77" t="s">
        <v>202</v>
      </c>
      <c r="E237" s="77">
        <v>85383</v>
      </c>
      <c r="F237" s="77" t="s">
        <v>31</v>
      </c>
      <c r="G237" s="77" t="s">
        <v>506</v>
      </c>
      <c r="H237" s="77" t="s">
        <v>1039</v>
      </c>
      <c r="I237" s="77" t="s">
        <v>1040</v>
      </c>
      <c r="J237" s="77" t="s">
        <v>37</v>
      </c>
      <c r="K237" s="77" t="s">
        <v>37</v>
      </c>
      <c r="L237" s="77" t="s">
        <v>401</v>
      </c>
      <c r="M237" s="77" t="s">
        <v>37</v>
      </c>
      <c r="N237" s="77" t="s">
        <v>37</v>
      </c>
      <c r="O237" s="77" t="s">
        <v>38</v>
      </c>
      <c r="P237" s="77" t="s">
        <v>39</v>
      </c>
      <c r="Q237" s="76">
        <v>45967</v>
      </c>
      <c r="R237" s="77"/>
      <c r="S237" s="77"/>
      <c r="T237" s="77"/>
      <c r="U237" s="77"/>
      <c r="V237" s="78" t="s">
        <v>117</v>
      </c>
      <c r="W237" s="79">
        <v>46060</v>
      </c>
      <c r="X237" s="78" t="s">
        <v>38</v>
      </c>
      <c r="Y237" s="78"/>
      <c r="Z237" s="78" t="s">
        <v>5434</v>
      </c>
      <c r="AA237">
        <f>IF(COUNTIF('Call Queue'!$H$6:$H$20,V237)&gt;0,0,IF(AND(ISNUMBER(N237),N237&gt;0),10000000+N237,IF(ISNUMBER(N237*1),IF(N237*1&gt;0,10000000+N237*1,0),0))+IF(ISNUMBER(SEARCH("(",L237)),1000000+IFERROR(VALUE(SUBSTITUTE(SUBSTITUTE(SUBSTITUTE(MID(L237,SEARCH("(",L237)+1,SEARCH(")",L237)-SEARCH("(",L237)-1),"$",""),",","")," ","")),0),0))</f>
        <v>0</v>
      </c>
    </row>
    <row r="238" spans="1:27">
      <c r="A238" s="76">
        <v>45903</v>
      </c>
      <c r="B238" s="77" t="s">
        <v>1041</v>
      </c>
      <c r="C238" s="77" t="s">
        <v>1042</v>
      </c>
      <c r="D238" s="77" t="s">
        <v>202</v>
      </c>
      <c r="E238" s="77">
        <v>85483</v>
      </c>
      <c r="F238" s="77" t="s">
        <v>310</v>
      </c>
      <c r="G238" s="77" t="s">
        <v>506</v>
      </c>
      <c r="H238" s="77" t="s">
        <v>1043</v>
      </c>
      <c r="I238" s="77" t="s">
        <v>36</v>
      </c>
      <c r="J238" s="77" t="s">
        <v>37</v>
      </c>
      <c r="K238" s="77" t="s">
        <v>37</v>
      </c>
      <c r="L238" s="77" t="s">
        <v>38</v>
      </c>
      <c r="M238" s="77" t="s">
        <v>37</v>
      </c>
      <c r="N238" s="77" t="s">
        <v>37</v>
      </c>
      <c r="O238" s="77" t="s">
        <v>38</v>
      </c>
      <c r="P238" s="77" t="s">
        <v>39</v>
      </c>
      <c r="Q238" s="76">
        <v>45967</v>
      </c>
      <c r="R238" s="77"/>
      <c r="S238" s="77"/>
      <c r="T238" s="77"/>
      <c r="U238" s="77"/>
      <c r="V238" s="78"/>
      <c r="W238" s="79"/>
      <c r="X238" s="78"/>
      <c r="Y238" s="78"/>
      <c r="Z238" s="78"/>
      <c r="AA238">
        <f>IF(COUNTIF('Call Queue'!$H$6:$H$20,V238)&gt;0,0,IF(AND(ISNUMBER(N238),N238&gt;0),10000000+N238,IF(ISNUMBER(N238*1),IF(N238*1&gt;0,10000000+N238*1,0),0))+IF(ISNUMBER(SEARCH("(",L238)),1000000+IFERROR(VALUE(SUBSTITUTE(SUBSTITUTE(SUBSTITUTE(MID(L238,SEARCH("(",L238)+1,SEARCH(")",L238)-SEARCH("(",L238)-1),"$",""),",","")," ","")),0),0))</f>
        <v>0</v>
      </c>
    </row>
    <row r="239" spans="1:27">
      <c r="A239" s="76">
        <v>45903</v>
      </c>
      <c r="B239" s="77" t="s">
        <v>1044</v>
      </c>
      <c r="C239" s="77" t="s">
        <v>597</v>
      </c>
      <c r="D239" s="77" t="s">
        <v>63</v>
      </c>
      <c r="E239" s="77">
        <v>85015</v>
      </c>
      <c r="F239" s="77" t="s">
        <v>310</v>
      </c>
      <c r="G239" s="77" t="s">
        <v>506</v>
      </c>
      <c r="H239" s="77" t="s">
        <v>1045</v>
      </c>
      <c r="I239" s="77" t="s">
        <v>196</v>
      </c>
      <c r="J239" s="77" t="s">
        <v>37</v>
      </c>
      <c r="K239" s="77" t="s">
        <v>37</v>
      </c>
      <c r="L239" s="77" t="s">
        <v>38</v>
      </c>
      <c r="M239" s="77" t="s">
        <v>37</v>
      </c>
      <c r="N239" s="77" t="s">
        <v>37</v>
      </c>
      <c r="O239" s="77" t="s">
        <v>38</v>
      </c>
      <c r="P239" s="77" t="s">
        <v>39</v>
      </c>
      <c r="Q239" s="76">
        <v>45967</v>
      </c>
      <c r="R239" s="77"/>
      <c r="S239" s="77"/>
      <c r="T239" s="77"/>
      <c r="U239" s="77"/>
      <c r="V239" s="78" t="s">
        <v>117</v>
      </c>
      <c r="W239" s="79">
        <v>46081</v>
      </c>
      <c r="X239" s="78" t="s">
        <v>38</v>
      </c>
      <c r="Y239" s="78"/>
      <c r="Z239" s="78" t="s">
        <v>5434</v>
      </c>
      <c r="AA239">
        <f>IF(COUNTIF('Call Queue'!$H$6:$H$20,V239)&gt;0,0,IF(AND(ISNUMBER(N239),N239&gt;0),10000000+N239,IF(ISNUMBER(N239*1),IF(N239*1&gt;0,10000000+N239*1,0),0))+IF(ISNUMBER(SEARCH("(",L239)),1000000+IFERROR(VALUE(SUBSTITUTE(SUBSTITUTE(SUBSTITUTE(MID(L239,SEARCH("(",L239)+1,SEARCH(")",L239)-SEARCH("(",L239)-1),"$",""),",","")," ","")),0),0))</f>
        <v>0</v>
      </c>
    </row>
    <row r="240" spans="1:27">
      <c r="A240" s="76">
        <v>45903</v>
      </c>
      <c r="B240" s="77" t="s">
        <v>1046</v>
      </c>
      <c r="C240" s="77" t="s">
        <v>1047</v>
      </c>
      <c r="D240" s="77" t="s">
        <v>125</v>
      </c>
      <c r="E240" s="77">
        <v>85260</v>
      </c>
      <c r="F240" s="77" t="s">
        <v>310</v>
      </c>
      <c r="G240" s="77" t="s">
        <v>506</v>
      </c>
      <c r="H240" s="77" t="s">
        <v>1048</v>
      </c>
      <c r="I240" s="77" t="s">
        <v>36</v>
      </c>
      <c r="J240" s="77" t="s">
        <v>37</v>
      </c>
      <c r="K240" s="77" t="s">
        <v>37</v>
      </c>
      <c r="L240" s="77" t="s">
        <v>38</v>
      </c>
      <c r="M240" s="77" t="s">
        <v>37</v>
      </c>
      <c r="N240" s="77" t="s">
        <v>37</v>
      </c>
      <c r="O240" s="77" t="s">
        <v>38</v>
      </c>
      <c r="P240" s="77" t="s">
        <v>39</v>
      </c>
      <c r="Q240" s="76">
        <v>45967</v>
      </c>
      <c r="R240" s="77"/>
      <c r="S240" s="77"/>
      <c r="T240" s="77"/>
      <c r="U240" s="77"/>
      <c r="V240" s="78"/>
      <c r="W240" s="79"/>
      <c r="X240" s="78"/>
      <c r="Y240" s="78"/>
      <c r="Z240" s="78"/>
      <c r="AA240">
        <f>IF(COUNTIF('Call Queue'!$H$6:$H$20,V240)&gt;0,0,IF(AND(ISNUMBER(N240),N240&gt;0),10000000+N240,IF(ISNUMBER(N240*1),IF(N240*1&gt;0,10000000+N240*1,0),0))+IF(ISNUMBER(SEARCH("(",L240)),1000000+IFERROR(VALUE(SUBSTITUTE(SUBSTITUTE(SUBSTITUTE(MID(L240,SEARCH("(",L240)+1,SEARCH(")",L240)-SEARCH("(",L240)-1),"$",""),",","")," ","")),0),0))</f>
        <v>0</v>
      </c>
    </row>
    <row r="241" spans="1:27">
      <c r="A241" s="76">
        <v>45903</v>
      </c>
      <c r="B241" s="77" t="s">
        <v>1049</v>
      </c>
      <c r="C241" s="77" t="s">
        <v>1050</v>
      </c>
      <c r="D241" s="77" t="s">
        <v>63</v>
      </c>
      <c r="E241" s="77">
        <v>85085</v>
      </c>
      <c r="F241" s="77" t="s">
        <v>310</v>
      </c>
      <c r="G241" s="77" t="s">
        <v>506</v>
      </c>
      <c r="H241" s="77" t="s">
        <v>1051</v>
      </c>
      <c r="I241" s="77" t="s">
        <v>36</v>
      </c>
      <c r="J241" s="77" t="s">
        <v>37</v>
      </c>
      <c r="K241" s="77" t="s">
        <v>37</v>
      </c>
      <c r="L241" s="77" t="s">
        <v>38</v>
      </c>
      <c r="M241" s="77" t="s">
        <v>37</v>
      </c>
      <c r="N241" s="77" t="s">
        <v>37</v>
      </c>
      <c r="O241" s="77" t="s">
        <v>38</v>
      </c>
      <c r="P241" s="77" t="s">
        <v>39</v>
      </c>
      <c r="Q241" s="76">
        <v>45967</v>
      </c>
      <c r="R241" s="77"/>
      <c r="S241" s="77"/>
      <c r="T241" s="77"/>
      <c r="U241" s="77"/>
      <c r="V241" s="78" t="s">
        <v>117</v>
      </c>
      <c r="W241" s="79">
        <v>46081</v>
      </c>
      <c r="X241" s="78" t="s">
        <v>38</v>
      </c>
      <c r="Y241" s="78"/>
      <c r="Z241" s="78"/>
      <c r="AA241">
        <f>IF(COUNTIF('Call Queue'!$H$6:$H$20,V241)&gt;0,0,IF(AND(ISNUMBER(N241),N241&gt;0),10000000+N241,IF(ISNUMBER(N241*1),IF(N241*1&gt;0,10000000+N241*1,0),0))+IF(ISNUMBER(SEARCH("(",L241)),1000000+IFERROR(VALUE(SUBSTITUTE(SUBSTITUTE(SUBSTITUTE(MID(L241,SEARCH("(",L241)+1,SEARCH(")",L241)-SEARCH("(",L241)-1),"$",""),",","")," ","")),0),0))</f>
        <v>0</v>
      </c>
    </row>
    <row r="242" spans="1:27">
      <c r="A242" s="76">
        <v>45903</v>
      </c>
      <c r="B242" s="77" t="s">
        <v>1056</v>
      </c>
      <c r="C242" s="77" t="s">
        <v>757</v>
      </c>
      <c r="D242" s="77" t="s">
        <v>63</v>
      </c>
      <c r="E242" s="77">
        <v>85024</v>
      </c>
      <c r="F242" s="77" t="s">
        <v>31</v>
      </c>
      <c r="G242" s="77" t="s">
        <v>506</v>
      </c>
      <c r="H242" s="77" t="s">
        <v>1057</v>
      </c>
      <c r="I242" s="77" t="s">
        <v>196</v>
      </c>
      <c r="J242" s="77" t="s">
        <v>37</v>
      </c>
      <c r="K242" s="77" t="s">
        <v>37</v>
      </c>
      <c r="L242" s="77" t="s">
        <v>1058</v>
      </c>
      <c r="M242" s="77" t="s">
        <v>37</v>
      </c>
      <c r="N242" s="77" t="s">
        <v>37</v>
      </c>
      <c r="O242" s="77" t="s">
        <v>38</v>
      </c>
      <c r="P242" s="77">
        <v>45936</v>
      </c>
      <c r="Q242" s="76">
        <v>45967</v>
      </c>
      <c r="R242" s="77" t="s">
        <v>1059</v>
      </c>
      <c r="S242" s="77"/>
      <c r="T242" s="77"/>
      <c r="U242" s="77"/>
      <c r="V242" s="78" t="s">
        <v>117</v>
      </c>
      <c r="W242" s="79">
        <v>46032</v>
      </c>
      <c r="X242" s="78" t="s">
        <v>38</v>
      </c>
      <c r="Y242" s="78"/>
      <c r="Z242" s="78" t="s">
        <v>5434</v>
      </c>
      <c r="AA242">
        <f>IF(COUNTIF('Call Queue'!$H$6:$H$20,V242)&gt;0,0,IF(AND(ISNUMBER(N242),N242&gt;0),10000000+N242,IF(ISNUMBER(N242*1),IF(N242*1&gt;0,10000000+N242*1,0),0))+IF(ISNUMBER(SEARCH("(",L242)),1000000+IFERROR(VALUE(SUBSTITUTE(SUBSTITUTE(SUBSTITUTE(MID(L242,SEARCH("(",L242)+1,SEARCH(")",L242)-SEARCH("(",L242)-1),"$",""),",","")," ","")),0),0))</f>
        <v>0</v>
      </c>
    </row>
    <row r="243" spans="1:27">
      <c r="A243" s="76">
        <v>45903</v>
      </c>
      <c r="B243" s="77" t="s">
        <v>1060</v>
      </c>
      <c r="C243" s="77" t="s">
        <v>135</v>
      </c>
      <c r="D243" s="77" t="s">
        <v>169</v>
      </c>
      <c r="E243" s="77">
        <v>85338</v>
      </c>
      <c r="F243" s="77" t="s">
        <v>1061</v>
      </c>
      <c r="G243" s="77" t="s">
        <v>506</v>
      </c>
      <c r="H243" s="77" t="s">
        <v>1062</v>
      </c>
      <c r="I243" s="77" t="s">
        <v>36</v>
      </c>
      <c r="J243" s="77" t="s">
        <v>37</v>
      </c>
      <c r="K243" s="77" t="s">
        <v>37</v>
      </c>
      <c r="L243" s="77" t="s">
        <v>38</v>
      </c>
      <c r="M243" s="77" t="s">
        <v>37</v>
      </c>
      <c r="N243" s="77" t="s">
        <v>37</v>
      </c>
      <c r="O243" s="77" t="s">
        <v>38</v>
      </c>
      <c r="P243" s="77" t="s">
        <v>39</v>
      </c>
      <c r="Q243" s="76">
        <v>45967</v>
      </c>
      <c r="R243" s="77"/>
      <c r="S243" s="77"/>
      <c r="T243" s="77"/>
      <c r="U243" s="77"/>
      <c r="V243" s="78" t="s">
        <v>117</v>
      </c>
      <c r="W243" s="79">
        <v>46081</v>
      </c>
      <c r="X243" s="78" t="s">
        <v>38</v>
      </c>
      <c r="Y243" s="78"/>
      <c r="Z243" s="78"/>
      <c r="AA243">
        <f>IF(COUNTIF('Call Queue'!$H$6:$H$20,V243)&gt;0,0,IF(AND(ISNUMBER(N243),N243&gt;0),10000000+N243,IF(ISNUMBER(N243*1),IF(N243*1&gt;0,10000000+N243*1,0),0))+IF(ISNUMBER(SEARCH("(",L243)),1000000+IFERROR(VALUE(SUBSTITUTE(SUBSTITUTE(SUBSTITUTE(MID(L243,SEARCH("(",L243)+1,SEARCH(")",L243)-SEARCH("(",L243)-1),"$",""),",","")," ","")),0),0))</f>
        <v>0</v>
      </c>
    </row>
    <row r="244" spans="1:27">
      <c r="A244" s="76">
        <v>45903</v>
      </c>
      <c r="B244" s="77" t="s">
        <v>1063</v>
      </c>
      <c r="C244" s="77" t="s">
        <v>1064</v>
      </c>
      <c r="D244" s="77" t="s">
        <v>202</v>
      </c>
      <c r="E244" s="77">
        <v>85345</v>
      </c>
      <c r="F244" s="77" t="s">
        <v>310</v>
      </c>
      <c r="G244" s="77" t="s">
        <v>506</v>
      </c>
      <c r="H244" s="77" t="s">
        <v>1065</v>
      </c>
      <c r="I244" s="77" t="s">
        <v>36</v>
      </c>
      <c r="J244" s="77" t="s">
        <v>37</v>
      </c>
      <c r="K244" s="77" t="s">
        <v>37</v>
      </c>
      <c r="L244" s="77" t="s">
        <v>38</v>
      </c>
      <c r="M244" s="77" t="s">
        <v>37</v>
      </c>
      <c r="N244" s="77" t="s">
        <v>37</v>
      </c>
      <c r="O244" s="77" t="s">
        <v>38</v>
      </c>
      <c r="P244" s="77" t="s">
        <v>39</v>
      </c>
      <c r="Q244" s="76">
        <v>45967</v>
      </c>
      <c r="R244" s="77"/>
      <c r="S244" s="77"/>
      <c r="T244" s="77"/>
      <c r="U244" s="77"/>
      <c r="V244" s="78"/>
      <c r="W244" s="79"/>
      <c r="X244" s="78"/>
      <c r="Y244" s="78"/>
      <c r="Z244" s="78"/>
      <c r="AA244">
        <f>IF(COUNTIF('Call Queue'!$H$6:$H$20,V244)&gt;0,0,IF(AND(ISNUMBER(N244),N244&gt;0),10000000+N244,IF(ISNUMBER(N244*1),IF(N244*1&gt;0,10000000+N244*1,0),0))+IF(ISNUMBER(SEARCH("(",L244)),1000000+IFERROR(VALUE(SUBSTITUTE(SUBSTITUTE(SUBSTITUTE(MID(L244,SEARCH("(",L244)+1,SEARCH(")",L244)-SEARCH("(",L244)-1),"$",""),",","")," ","")),0),0))</f>
        <v>0</v>
      </c>
    </row>
    <row r="245" spans="1:27">
      <c r="A245" s="76">
        <v>45903</v>
      </c>
      <c r="B245" s="77" t="s">
        <v>1066</v>
      </c>
      <c r="C245" s="77" t="s">
        <v>1067</v>
      </c>
      <c r="D245" s="77" t="s">
        <v>202</v>
      </c>
      <c r="E245" s="77">
        <v>85383</v>
      </c>
      <c r="F245" s="77" t="s">
        <v>310</v>
      </c>
      <c r="G245" s="77" t="s">
        <v>506</v>
      </c>
      <c r="H245" s="77" t="s">
        <v>1068</v>
      </c>
      <c r="I245" s="77" t="s">
        <v>196</v>
      </c>
      <c r="J245" s="77" t="s">
        <v>37</v>
      </c>
      <c r="K245" s="77" t="s">
        <v>37</v>
      </c>
      <c r="L245" s="77" t="s">
        <v>38</v>
      </c>
      <c r="M245" s="77" t="s">
        <v>37</v>
      </c>
      <c r="N245" s="77" t="s">
        <v>37</v>
      </c>
      <c r="O245" s="77" t="s">
        <v>38</v>
      </c>
      <c r="P245" s="77" t="s">
        <v>39</v>
      </c>
      <c r="Q245" s="76">
        <v>45967</v>
      </c>
      <c r="R245" s="77"/>
      <c r="S245" s="77"/>
      <c r="T245" s="77"/>
      <c r="U245" s="77"/>
      <c r="V245" s="78"/>
      <c r="W245" s="79"/>
      <c r="X245" s="78"/>
      <c r="Y245" s="78"/>
      <c r="Z245" s="78"/>
      <c r="AA245">
        <f>IF(COUNTIF('Call Queue'!$H$6:$H$20,V245)&gt;0,0,IF(AND(ISNUMBER(N245),N245&gt;0),10000000+N245,IF(ISNUMBER(N245*1),IF(N245*1&gt;0,10000000+N245*1,0),0))+IF(ISNUMBER(SEARCH("(",L245)),1000000+IFERROR(VALUE(SUBSTITUTE(SUBSTITUTE(SUBSTITUTE(MID(L245,SEARCH("(",L245)+1,SEARCH(")",L245)-SEARCH("(",L245)-1),"$",""),",","")," ","")),0),0))</f>
        <v>0</v>
      </c>
    </row>
    <row r="246" spans="1:27">
      <c r="A246" s="76">
        <v>45903</v>
      </c>
      <c r="B246" s="77" t="s">
        <v>1069</v>
      </c>
      <c r="C246" s="77" t="s">
        <v>1070</v>
      </c>
      <c r="D246" s="77" t="s">
        <v>202</v>
      </c>
      <c r="E246" s="77">
        <v>85383</v>
      </c>
      <c r="F246" s="77" t="s">
        <v>310</v>
      </c>
      <c r="G246" s="77" t="s">
        <v>506</v>
      </c>
      <c r="H246" s="77" t="s">
        <v>1071</v>
      </c>
      <c r="I246" s="77" t="s">
        <v>196</v>
      </c>
      <c r="J246" s="77" t="s">
        <v>37</v>
      </c>
      <c r="K246" s="77" t="s">
        <v>37</v>
      </c>
      <c r="L246" s="77" t="s">
        <v>1072</v>
      </c>
      <c r="M246" s="77" t="s">
        <v>37</v>
      </c>
      <c r="N246" s="77" t="s">
        <v>37</v>
      </c>
      <c r="O246" s="77" t="s">
        <v>38</v>
      </c>
      <c r="P246" s="77">
        <v>45936</v>
      </c>
      <c r="Q246" s="76">
        <v>45967</v>
      </c>
      <c r="R246" s="77" t="s">
        <v>1073</v>
      </c>
      <c r="S246" s="77"/>
      <c r="T246" s="77"/>
      <c r="U246" s="77"/>
      <c r="V246" s="78" t="s">
        <v>117</v>
      </c>
      <c r="W246" s="79">
        <v>46053</v>
      </c>
      <c r="X246" s="78" t="s">
        <v>38</v>
      </c>
      <c r="Y246" s="78"/>
      <c r="Z246" s="78"/>
      <c r="AA246">
        <f>IF(COUNTIF('Call Queue'!$H$6:$H$20,V246)&gt;0,0,IF(AND(ISNUMBER(N246),N246&gt;0),10000000+N246,IF(ISNUMBER(N246*1),IF(N246*1&gt;0,10000000+N246*1,0),0))+IF(ISNUMBER(SEARCH("(",L246)),1000000+IFERROR(VALUE(SUBSTITUTE(SUBSTITUTE(SUBSTITUTE(MID(L246,SEARCH("(",L246)+1,SEARCH(")",L246)-SEARCH("(",L246)-1),"$",""),",","")," ","")),0),0))</f>
        <v>0</v>
      </c>
    </row>
    <row r="247" spans="1:27">
      <c r="A247" s="76">
        <v>45903</v>
      </c>
      <c r="B247" s="77" t="s">
        <v>1074</v>
      </c>
      <c r="C247" s="77" t="s">
        <v>1075</v>
      </c>
      <c r="D247" s="77" t="s">
        <v>202</v>
      </c>
      <c r="E247" s="77">
        <v>85383</v>
      </c>
      <c r="F247" s="77" t="s">
        <v>310</v>
      </c>
      <c r="G247" s="77" t="s">
        <v>506</v>
      </c>
      <c r="H247" s="77" t="s">
        <v>1076</v>
      </c>
      <c r="I247" s="77" t="s">
        <v>36</v>
      </c>
      <c r="J247" s="77" t="s">
        <v>37</v>
      </c>
      <c r="K247" s="77" t="s">
        <v>37</v>
      </c>
      <c r="L247" s="77" t="s">
        <v>38</v>
      </c>
      <c r="M247" s="77" t="s">
        <v>37</v>
      </c>
      <c r="N247" s="77" t="s">
        <v>37</v>
      </c>
      <c r="O247" s="77" t="s">
        <v>38</v>
      </c>
      <c r="P247" s="77" t="s">
        <v>39</v>
      </c>
      <c r="Q247" s="76">
        <v>45967</v>
      </c>
      <c r="R247" s="77" t="s">
        <v>1077</v>
      </c>
      <c r="S247" s="77"/>
      <c r="T247" s="77"/>
      <c r="U247" s="77"/>
      <c r="V247" s="78"/>
      <c r="W247" s="79"/>
      <c r="X247" s="78"/>
      <c r="Y247" s="78"/>
      <c r="Z247" s="78"/>
      <c r="AA247">
        <f>IF(COUNTIF('Call Queue'!$H$6:$H$20,V247)&gt;0,0,IF(AND(ISNUMBER(N247),N247&gt;0),10000000+N247,IF(ISNUMBER(N247*1),IF(N247*1&gt;0,10000000+N247*1,0),0))+IF(ISNUMBER(SEARCH("(",L247)),1000000+IFERROR(VALUE(SUBSTITUTE(SUBSTITUTE(SUBSTITUTE(MID(L247,SEARCH("(",L247)+1,SEARCH(")",L247)-SEARCH("(",L247)-1),"$",""),",","")," ","")),0),0))</f>
        <v>0</v>
      </c>
    </row>
    <row r="248" spans="1:27">
      <c r="A248" s="76">
        <v>45903</v>
      </c>
      <c r="B248" s="77" t="s">
        <v>1078</v>
      </c>
      <c r="C248" s="77" t="s">
        <v>1079</v>
      </c>
      <c r="D248" s="77" t="s">
        <v>169</v>
      </c>
      <c r="E248" s="77">
        <v>85338</v>
      </c>
      <c r="F248" s="77" t="s">
        <v>31</v>
      </c>
      <c r="G248" s="77" t="s">
        <v>506</v>
      </c>
      <c r="H248" s="77" t="s">
        <v>1080</v>
      </c>
      <c r="I248" s="77" t="s">
        <v>418</v>
      </c>
      <c r="J248" s="77" t="s">
        <v>37</v>
      </c>
      <c r="K248" s="77" t="s">
        <v>37</v>
      </c>
      <c r="L248" s="77" t="s">
        <v>389</v>
      </c>
      <c r="M248" s="77" t="s">
        <v>37</v>
      </c>
      <c r="N248" s="77" t="s">
        <v>37</v>
      </c>
      <c r="O248" s="77" t="s">
        <v>38</v>
      </c>
      <c r="P248" s="77" t="s">
        <v>39</v>
      </c>
      <c r="Q248" s="76">
        <v>45967</v>
      </c>
      <c r="R248" s="77"/>
      <c r="S248" s="77"/>
      <c r="T248" s="77"/>
      <c r="U248" s="77"/>
      <c r="V248" s="78"/>
      <c r="W248" s="79"/>
      <c r="X248" s="78"/>
      <c r="Y248" s="78"/>
      <c r="Z248" s="78"/>
      <c r="AA248">
        <f>IF(COUNTIF('Call Queue'!$H$6:$H$20,V248)&gt;0,0,IF(AND(ISNUMBER(N248),N248&gt;0),10000000+N248,IF(ISNUMBER(N248*1),IF(N248*1&gt;0,10000000+N248*1,0),0))+IF(ISNUMBER(SEARCH("(",L248)),1000000+IFERROR(VALUE(SUBSTITUTE(SUBSTITUTE(SUBSTITUTE(MID(L248,SEARCH("(",L248)+1,SEARCH(")",L248)-SEARCH("(",L248)-1),"$",""),",","")," ","")),0),0))</f>
        <v>0</v>
      </c>
    </row>
    <row r="249" spans="1:27">
      <c r="A249" s="76">
        <v>45903</v>
      </c>
      <c r="B249" s="77" t="s">
        <v>1081</v>
      </c>
      <c r="C249" s="77" t="s">
        <v>1082</v>
      </c>
      <c r="D249" s="77" t="s">
        <v>523</v>
      </c>
      <c r="E249" s="77">
        <v>85392</v>
      </c>
      <c r="F249" s="77" t="s">
        <v>310</v>
      </c>
      <c r="G249" s="77" t="s">
        <v>506</v>
      </c>
      <c r="H249" s="77" t="s">
        <v>1083</v>
      </c>
      <c r="I249" s="77" t="s">
        <v>36</v>
      </c>
      <c r="J249" s="77" t="s">
        <v>37</v>
      </c>
      <c r="K249" s="77" t="s">
        <v>37</v>
      </c>
      <c r="L249" s="77" t="s">
        <v>38</v>
      </c>
      <c r="M249" s="77" t="s">
        <v>37</v>
      </c>
      <c r="N249" s="77" t="s">
        <v>37</v>
      </c>
      <c r="O249" s="77" t="s">
        <v>38</v>
      </c>
      <c r="P249" s="77" t="s">
        <v>39</v>
      </c>
      <c r="Q249" s="76">
        <v>45967</v>
      </c>
      <c r="R249" s="77"/>
      <c r="S249" s="77"/>
      <c r="T249" s="77"/>
      <c r="U249" s="77"/>
      <c r="V249" s="78"/>
      <c r="W249" s="79"/>
      <c r="X249" s="78"/>
      <c r="Y249" s="78"/>
      <c r="Z249" s="78"/>
      <c r="AA249">
        <f>IF(COUNTIF('Call Queue'!$H$6:$H$20,V249)&gt;0,0,IF(AND(ISNUMBER(N249),N249&gt;0),10000000+N249,IF(ISNUMBER(N249*1),IF(N249*1&gt;0,10000000+N249*1,0),0))+IF(ISNUMBER(SEARCH("(",L249)),1000000+IFERROR(VALUE(SUBSTITUTE(SUBSTITUTE(SUBSTITUTE(MID(L249,SEARCH("(",L249)+1,SEARCH(")",L249)-SEARCH("(",L249)-1),"$",""),",","")," ","")),0),0))</f>
        <v>0</v>
      </c>
    </row>
    <row r="250" spans="1:27">
      <c r="A250" s="76">
        <v>45903</v>
      </c>
      <c r="B250" s="77" t="s">
        <v>1084</v>
      </c>
      <c r="C250" s="77" t="s">
        <v>1085</v>
      </c>
      <c r="D250" s="77" t="s">
        <v>169</v>
      </c>
      <c r="E250" s="77">
        <v>85395</v>
      </c>
      <c r="F250" s="77" t="s">
        <v>1086</v>
      </c>
      <c r="G250" s="77" t="s">
        <v>506</v>
      </c>
      <c r="H250" s="77" t="s">
        <v>1087</v>
      </c>
      <c r="I250" s="77" t="s">
        <v>36</v>
      </c>
      <c r="J250" s="77" t="s">
        <v>37</v>
      </c>
      <c r="K250" s="77" t="s">
        <v>37</v>
      </c>
      <c r="L250" s="77" t="s">
        <v>38</v>
      </c>
      <c r="M250" s="77" t="s">
        <v>37</v>
      </c>
      <c r="N250" s="77" t="s">
        <v>37</v>
      </c>
      <c r="O250" s="77" t="s">
        <v>38</v>
      </c>
      <c r="P250" s="77" t="s">
        <v>39</v>
      </c>
      <c r="Q250" s="76">
        <v>45967</v>
      </c>
      <c r="R250" s="77"/>
      <c r="S250" s="77"/>
      <c r="T250" s="77"/>
      <c r="U250" s="77"/>
      <c r="V250" s="78"/>
      <c r="W250" s="79"/>
      <c r="X250" s="78"/>
      <c r="Y250" s="78"/>
      <c r="Z250" s="78"/>
      <c r="AA250">
        <f>IF(COUNTIF('Call Queue'!$H$6:$H$20,V250)&gt;0,0,IF(AND(ISNUMBER(N250),N250&gt;0),10000000+N250,IF(ISNUMBER(N250*1),IF(N250*1&gt;0,10000000+N250*1,0),0))+IF(ISNUMBER(SEARCH("(",L250)),1000000+IFERROR(VALUE(SUBSTITUTE(SUBSTITUTE(SUBSTITUTE(MID(L250,SEARCH("(",L250)+1,SEARCH(")",L250)-SEARCH("(",L250)-1),"$",""),",","")," ","")),0),0))</f>
        <v>0</v>
      </c>
    </row>
    <row r="251" spans="1:27">
      <c r="A251" s="76">
        <v>45903</v>
      </c>
      <c r="B251" s="77" t="s">
        <v>1088</v>
      </c>
      <c r="C251" s="77" t="s">
        <v>1089</v>
      </c>
      <c r="D251" s="77" t="s">
        <v>169</v>
      </c>
      <c r="E251" s="77">
        <v>85338</v>
      </c>
      <c r="F251" s="77" t="s">
        <v>761</v>
      </c>
      <c r="G251" s="77" t="s">
        <v>506</v>
      </c>
      <c r="H251" s="77" t="s">
        <v>1090</v>
      </c>
      <c r="I251" s="77" t="s">
        <v>36</v>
      </c>
      <c r="J251" s="77" t="s">
        <v>37</v>
      </c>
      <c r="K251" s="77" t="s">
        <v>37</v>
      </c>
      <c r="L251" s="77" t="s">
        <v>38</v>
      </c>
      <c r="M251" s="77" t="s">
        <v>38</v>
      </c>
      <c r="N251" s="77">
        <v>2144.27</v>
      </c>
      <c r="O251" s="77" t="s">
        <v>38</v>
      </c>
      <c r="P251" s="77"/>
      <c r="Q251" s="76">
        <v>45967</v>
      </c>
      <c r="R251" s="77" t="s">
        <v>495</v>
      </c>
      <c r="S251" s="77"/>
      <c r="T251" s="77"/>
      <c r="U251" s="77"/>
      <c r="V251" s="78" t="s">
        <v>117</v>
      </c>
      <c r="W251" s="79">
        <v>46025</v>
      </c>
      <c r="X251" s="78" t="s">
        <v>37</v>
      </c>
      <c r="Y251" s="78"/>
      <c r="Z251" s="78"/>
      <c r="AA251">
        <f>IF(COUNTIF('Call Queue'!$H$6:$H$20,V251)&gt;0,0,IF(AND(ISNUMBER(N251),N251&gt;0),10000000+N251,IF(ISNUMBER(N251*1),IF(N251*1&gt;0,10000000+N251*1,0),0))+IF(ISNUMBER(SEARCH("(",L251)),1000000+IFERROR(VALUE(SUBSTITUTE(SUBSTITUTE(SUBSTITUTE(MID(L251,SEARCH("(",L251)+1,SEARCH(")",L251)-SEARCH("(",L251)-1),"$",""),",","")," ","")),0),0))</f>
        <v>0</v>
      </c>
    </row>
    <row r="252" spans="1:27">
      <c r="A252" s="76">
        <v>45903</v>
      </c>
      <c r="B252" s="77" t="s">
        <v>1092</v>
      </c>
      <c r="C252" s="77" t="s">
        <v>1093</v>
      </c>
      <c r="D252" s="77" t="s">
        <v>202</v>
      </c>
      <c r="E252" s="77">
        <v>85383</v>
      </c>
      <c r="F252" s="77" t="s">
        <v>310</v>
      </c>
      <c r="G252" s="77" t="s">
        <v>506</v>
      </c>
      <c r="H252" s="77" t="s">
        <v>1094</v>
      </c>
      <c r="I252" s="77" t="s">
        <v>36</v>
      </c>
      <c r="J252" s="77" t="s">
        <v>37</v>
      </c>
      <c r="K252" s="77" t="s">
        <v>37</v>
      </c>
      <c r="L252" s="77" t="s">
        <v>38</v>
      </c>
      <c r="M252" s="77" t="s">
        <v>37</v>
      </c>
      <c r="N252" s="77" t="s">
        <v>37</v>
      </c>
      <c r="O252" s="77" t="s">
        <v>38</v>
      </c>
      <c r="P252" s="77" t="s">
        <v>39</v>
      </c>
      <c r="Q252" s="76">
        <v>45967</v>
      </c>
      <c r="R252" s="77"/>
      <c r="S252" s="77"/>
      <c r="T252" s="77"/>
      <c r="U252" s="77"/>
      <c r="V252" s="78"/>
      <c r="W252" s="79"/>
      <c r="X252" s="78"/>
      <c r="Y252" s="78"/>
      <c r="Z252" s="78"/>
      <c r="AA252">
        <f>IF(COUNTIF('Call Queue'!$H$6:$H$20,V252)&gt;0,0,IF(AND(ISNUMBER(N252),N252&gt;0),10000000+N252,IF(ISNUMBER(N252*1),IF(N252*1&gt;0,10000000+N252*1,0),0))+IF(ISNUMBER(SEARCH("(",L252)),1000000+IFERROR(VALUE(SUBSTITUTE(SUBSTITUTE(SUBSTITUTE(MID(L252,SEARCH("(",L252)+1,SEARCH(")",L252)-SEARCH("(",L252)-1),"$",""),",","")," ","")),0),0))</f>
        <v>0</v>
      </c>
    </row>
    <row r="253" spans="1:27">
      <c r="A253" s="76">
        <v>45903</v>
      </c>
      <c r="B253" s="77" t="s">
        <v>1095</v>
      </c>
      <c r="C253" s="77" t="s">
        <v>156</v>
      </c>
      <c r="D253" s="77" t="s">
        <v>24</v>
      </c>
      <c r="E253" s="77">
        <v>85308</v>
      </c>
      <c r="F253" s="77" t="s">
        <v>310</v>
      </c>
      <c r="G253" s="77" t="s">
        <v>506</v>
      </c>
      <c r="H253" s="77" t="s">
        <v>1096</v>
      </c>
      <c r="I253" s="77" t="s">
        <v>196</v>
      </c>
      <c r="J253" s="77" t="s">
        <v>37</v>
      </c>
      <c r="K253" s="77" t="s">
        <v>37</v>
      </c>
      <c r="L253" s="77" t="s">
        <v>1097</v>
      </c>
      <c r="M253" s="77" t="s">
        <v>37</v>
      </c>
      <c r="N253" s="77" t="s">
        <v>37</v>
      </c>
      <c r="O253" s="77" t="s">
        <v>38</v>
      </c>
      <c r="P253" s="77" t="s">
        <v>39</v>
      </c>
      <c r="Q253" s="76">
        <v>45967</v>
      </c>
      <c r="R253" s="77"/>
      <c r="S253" s="77"/>
      <c r="T253" s="77"/>
      <c r="U253" s="77"/>
      <c r="V253" s="78" t="s">
        <v>117</v>
      </c>
      <c r="W253" s="79">
        <v>46025</v>
      </c>
      <c r="X253" s="78" t="s">
        <v>38</v>
      </c>
      <c r="Y253" s="78"/>
      <c r="Z253" s="78"/>
      <c r="AA253">
        <f>IF(COUNTIF('Call Queue'!$H$6:$H$20,V253)&gt;0,0,IF(AND(ISNUMBER(N253),N253&gt;0),10000000+N253,IF(ISNUMBER(N253*1),IF(N253*1&gt;0,10000000+N253*1,0),0))+IF(ISNUMBER(SEARCH("(",L253)),1000000+IFERROR(VALUE(SUBSTITUTE(SUBSTITUTE(SUBSTITUTE(MID(L253,SEARCH("(",L253)+1,SEARCH(")",L253)-SEARCH("(",L253)-1),"$",""),",","")," ","")),0),0))</f>
        <v>0</v>
      </c>
    </row>
    <row r="254" spans="1:27">
      <c r="A254" s="76">
        <v>45903</v>
      </c>
      <c r="B254" s="77" t="s">
        <v>1098</v>
      </c>
      <c r="C254" s="77" t="s">
        <v>1099</v>
      </c>
      <c r="D254" s="77" t="s">
        <v>125</v>
      </c>
      <c r="E254" s="77">
        <v>85251</v>
      </c>
      <c r="F254" s="77" t="s">
        <v>310</v>
      </c>
      <c r="G254" s="77" t="s">
        <v>506</v>
      </c>
      <c r="H254" s="77" t="s">
        <v>1100</v>
      </c>
      <c r="I254" s="77" t="s">
        <v>126</v>
      </c>
      <c r="J254" s="77" t="s">
        <v>37</v>
      </c>
      <c r="K254" s="77" t="s">
        <v>37</v>
      </c>
      <c r="L254" s="77" t="s">
        <v>1101</v>
      </c>
      <c r="M254" s="77" t="s">
        <v>37</v>
      </c>
      <c r="N254" s="77" t="s">
        <v>37</v>
      </c>
      <c r="O254" s="77" t="s">
        <v>38</v>
      </c>
      <c r="P254" s="77" t="s">
        <v>39</v>
      </c>
      <c r="Q254" s="76">
        <v>45967</v>
      </c>
      <c r="R254" s="77"/>
      <c r="S254" s="77"/>
      <c r="T254" s="77"/>
      <c r="U254" s="77"/>
      <c r="V254" s="78" t="s">
        <v>117</v>
      </c>
      <c r="W254" s="79">
        <v>46025</v>
      </c>
      <c r="X254" s="78" t="s">
        <v>37</v>
      </c>
      <c r="Y254" s="78"/>
      <c r="Z254" s="78"/>
      <c r="AA254">
        <f>IF(COUNTIF('Call Queue'!$H$6:$H$20,V254)&gt;0,0,IF(AND(ISNUMBER(N254),N254&gt;0),10000000+N254,IF(ISNUMBER(N254*1),IF(N254*1&gt;0,10000000+N254*1,0),0))+IF(ISNUMBER(SEARCH("(",L254)),1000000+IFERROR(VALUE(SUBSTITUTE(SUBSTITUTE(SUBSTITUTE(MID(L254,SEARCH("(",L254)+1,SEARCH(")",L254)-SEARCH("(",L254)-1),"$",""),",","")," ","")),0),0))</f>
        <v>0</v>
      </c>
    </row>
    <row r="255" spans="1:27">
      <c r="A255" s="76">
        <v>45903</v>
      </c>
      <c r="B255" s="77" t="s">
        <v>1102</v>
      </c>
      <c r="C255" s="77" t="s">
        <v>1103</v>
      </c>
      <c r="D255" s="77" t="s">
        <v>125</v>
      </c>
      <c r="E255" s="77">
        <v>85266</v>
      </c>
      <c r="F255" s="77" t="s">
        <v>31</v>
      </c>
      <c r="G255" s="77" t="s">
        <v>506</v>
      </c>
      <c r="H255" s="77">
        <v>6177370000</v>
      </c>
      <c r="I255" s="77" t="s">
        <v>36</v>
      </c>
      <c r="J255" s="77" t="s">
        <v>37</v>
      </c>
      <c r="K255" s="77" t="s">
        <v>37</v>
      </c>
      <c r="L255" s="77" t="s">
        <v>38</v>
      </c>
      <c r="M255" s="77" t="s">
        <v>37</v>
      </c>
      <c r="N255" s="77" t="s">
        <v>37</v>
      </c>
      <c r="O255" s="77" t="s">
        <v>38</v>
      </c>
      <c r="P255" s="77" t="s">
        <v>39</v>
      </c>
      <c r="Q255" s="76">
        <v>45967</v>
      </c>
      <c r="R255" s="77"/>
      <c r="S255" s="77"/>
      <c r="T255" s="77"/>
      <c r="U255" s="77"/>
      <c r="V255" s="78"/>
      <c r="W255" s="79"/>
      <c r="X255" s="78"/>
      <c r="Y255" s="78"/>
      <c r="Z255" s="78"/>
      <c r="AA255">
        <f>IF(COUNTIF('Call Queue'!$H$6:$H$20,V255)&gt;0,0,IF(AND(ISNUMBER(N255),N255&gt;0),10000000+N255,IF(ISNUMBER(N255*1),IF(N255*1&gt;0,10000000+N255*1,0),0))+IF(ISNUMBER(SEARCH("(",L255)),1000000+IFERROR(VALUE(SUBSTITUTE(SUBSTITUTE(SUBSTITUTE(MID(L255,SEARCH("(",L255)+1,SEARCH(")",L255)-SEARCH("(",L255)-1),"$",""),",","")," ","")),0),0))</f>
        <v>0</v>
      </c>
    </row>
    <row r="256" spans="1:27">
      <c r="A256" s="76">
        <v>45903</v>
      </c>
      <c r="B256" s="77" t="s">
        <v>1107</v>
      </c>
      <c r="C256" s="77" t="s">
        <v>1108</v>
      </c>
      <c r="D256" s="77" t="s">
        <v>63</v>
      </c>
      <c r="E256" s="77">
        <v>85085</v>
      </c>
      <c r="F256" s="77" t="s">
        <v>310</v>
      </c>
      <c r="G256" s="77" t="s">
        <v>506</v>
      </c>
      <c r="H256" s="77" t="s">
        <v>1109</v>
      </c>
      <c r="I256" s="77" t="s">
        <v>73</v>
      </c>
      <c r="J256" s="77" t="s">
        <v>37</v>
      </c>
      <c r="K256" s="77" t="s">
        <v>37</v>
      </c>
      <c r="L256" s="77" t="s">
        <v>38</v>
      </c>
      <c r="M256" s="77" t="s">
        <v>37</v>
      </c>
      <c r="N256" s="77" t="s">
        <v>37</v>
      </c>
      <c r="O256" s="77" t="s">
        <v>38</v>
      </c>
      <c r="P256" s="77" t="s">
        <v>39</v>
      </c>
      <c r="Q256" s="76">
        <v>45967</v>
      </c>
      <c r="R256" s="77"/>
      <c r="S256" s="77"/>
      <c r="T256" s="77"/>
      <c r="U256" s="77"/>
      <c r="V256" s="78"/>
      <c r="W256" s="79"/>
      <c r="X256" s="78"/>
      <c r="Y256" s="78"/>
      <c r="Z256" s="78"/>
      <c r="AA256">
        <f>IF(COUNTIF('Call Queue'!$H$6:$H$20,V256)&gt;0,0,IF(AND(ISNUMBER(N256),N256&gt;0),10000000+N256,IF(ISNUMBER(N256*1),IF(N256*1&gt;0,10000000+N256*1,0),0))+IF(ISNUMBER(SEARCH("(",L256)),1000000+IFERROR(VALUE(SUBSTITUTE(SUBSTITUTE(SUBSTITUTE(MID(L256,SEARCH("(",L256)+1,SEARCH(")",L256)-SEARCH("(",L256)-1),"$",""),",","")," ","")),0),0))</f>
        <v>0</v>
      </c>
    </row>
    <row r="257" spans="1:27">
      <c r="A257" s="76">
        <v>45903</v>
      </c>
      <c r="B257" s="77" t="s">
        <v>1112</v>
      </c>
      <c r="C257" s="77" t="s">
        <v>1113</v>
      </c>
      <c r="D257" s="77" t="s">
        <v>523</v>
      </c>
      <c r="E257" s="77">
        <v>85392</v>
      </c>
      <c r="F257" s="77" t="s">
        <v>31</v>
      </c>
      <c r="G257" s="77" t="s">
        <v>506</v>
      </c>
      <c r="H257" s="77">
        <v>3066335881</v>
      </c>
      <c r="I257" s="77" t="s">
        <v>196</v>
      </c>
      <c r="J257" s="77" t="s">
        <v>37</v>
      </c>
      <c r="K257" s="77" t="s">
        <v>37</v>
      </c>
      <c r="L257" s="77" t="s">
        <v>38</v>
      </c>
      <c r="M257" s="77" t="s">
        <v>37</v>
      </c>
      <c r="N257" s="77" t="s">
        <v>37</v>
      </c>
      <c r="O257" s="77" t="s">
        <v>38</v>
      </c>
      <c r="P257" s="77" t="s">
        <v>39</v>
      </c>
      <c r="Q257" s="76">
        <v>45967</v>
      </c>
      <c r="R257" s="77"/>
      <c r="S257" s="77"/>
      <c r="T257" s="77"/>
      <c r="U257" s="77"/>
      <c r="V257" s="78"/>
      <c r="W257" s="79"/>
      <c r="X257" s="78"/>
      <c r="Y257" s="78"/>
      <c r="Z257" s="78"/>
      <c r="AA257">
        <f>IF(COUNTIF('Call Queue'!$H$6:$H$20,V257)&gt;0,0,IF(AND(ISNUMBER(N257),N257&gt;0),10000000+N257,IF(ISNUMBER(N257*1),IF(N257*1&gt;0,10000000+N257*1,0),0))+IF(ISNUMBER(SEARCH("(",L257)),1000000+IFERROR(VALUE(SUBSTITUTE(SUBSTITUTE(SUBSTITUTE(MID(L257,SEARCH("(",L257)+1,SEARCH(")",L257)-SEARCH("(",L257)-1),"$",""),",","")," ","")),0),0))</f>
        <v>0</v>
      </c>
    </row>
    <row r="258" spans="1:27">
      <c r="A258" s="76">
        <v>45903</v>
      </c>
      <c r="B258" s="77" t="s">
        <v>1116</v>
      </c>
      <c r="C258" s="77" t="s">
        <v>1117</v>
      </c>
      <c r="D258" s="77" t="s">
        <v>63</v>
      </c>
      <c r="E258" s="77">
        <v>85020</v>
      </c>
      <c r="F258" s="77" t="s">
        <v>310</v>
      </c>
      <c r="G258" s="77" t="s">
        <v>506</v>
      </c>
      <c r="H258" s="77" t="s">
        <v>1118</v>
      </c>
      <c r="I258" s="77" t="s">
        <v>36</v>
      </c>
      <c r="J258" s="77" t="s">
        <v>37</v>
      </c>
      <c r="K258" s="77" t="s">
        <v>37</v>
      </c>
      <c r="L258" s="77" t="s">
        <v>38</v>
      </c>
      <c r="M258" s="77" t="s">
        <v>37</v>
      </c>
      <c r="N258" s="77" t="s">
        <v>37</v>
      </c>
      <c r="O258" s="77" t="s">
        <v>38</v>
      </c>
      <c r="P258" s="77" t="s">
        <v>39</v>
      </c>
      <c r="Q258" s="76">
        <v>45967</v>
      </c>
      <c r="R258" s="77"/>
      <c r="S258" s="77"/>
      <c r="T258" s="77"/>
      <c r="U258" s="77"/>
      <c r="V258" s="78"/>
      <c r="W258" s="79"/>
      <c r="X258" s="78"/>
      <c r="Y258" s="78"/>
      <c r="Z258" s="78"/>
      <c r="AA258">
        <f>IF(COUNTIF('Call Queue'!$H$6:$H$20,V258)&gt;0,0,IF(AND(ISNUMBER(N258),N258&gt;0),10000000+N258,IF(ISNUMBER(N258*1),IF(N258*1&gt;0,10000000+N258*1,0),0))+IF(ISNUMBER(SEARCH("(",L258)),1000000+IFERROR(VALUE(SUBSTITUTE(SUBSTITUTE(SUBSTITUTE(MID(L258,SEARCH("(",L258)+1,SEARCH(")",L258)-SEARCH("(",L258)-1),"$",""),",","")," ","")),0),0))</f>
        <v>0</v>
      </c>
    </row>
    <row r="259" spans="1:27">
      <c r="A259" s="76">
        <v>45903</v>
      </c>
      <c r="B259" s="77" t="s">
        <v>1119</v>
      </c>
      <c r="C259" s="77" t="s">
        <v>1120</v>
      </c>
      <c r="D259" s="77" t="s">
        <v>63</v>
      </c>
      <c r="E259" s="77">
        <v>85050</v>
      </c>
      <c r="F259" s="77" t="s">
        <v>1121</v>
      </c>
      <c r="G259" s="77" t="s">
        <v>506</v>
      </c>
      <c r="H259" s="77" t="s">
        <v>1122</v>
      </c>
      <c r="I259" s="77" t="s">
        <v>36</v>
      </c>
      <c r="J259" s="77" t="s">
        <v>37</v>
      </c>
      <c r="K259" s="77" t="s">
        <v>37</v>
      </c>
      <c r="L259" s="77" t="s">
        <v>38</v>
      </c>
      <c r="M259" s="77" t="s">
        <v>37</v>
      </c>
      <c r="N259" s="77" t="s">
        <v>37</v>
      </c>
      <c r="O259" s="77" t="s">
        <v>38</v>
      </c>
      <c r="P259" s="77" t="s">
        <v>39</v>
      </c>
      <c r="Q259" s="76">
        <v>45967</v>
      </c>
      <c r="R259" s="77"/>
      <c r="S259" s="77"/>
      <c r="T259" s="77"/>
      <c r="U259" s="77"/>
      <c r="V259" s="78"/>
      <c r="W259" s="79"/>
      <c r="X259" s="78"/>
      <c r="Y259" s="78"/>
      <c r="Z259" s="78"/>
      <c r="AA259">
        <f>IF(COUNTIF('Call Queue'!$H$6:$H$20,V259)&gt;0,0,IF(AND(ISNUMBER(N259),N259&gt;0),10000000+N259,IF(ISNUMBER(N259*1),IF(N259*1&gt;0,10000000+N259*1,0),0))+IF(ISNUMBER(SEARCH("(",L259)),1000000+IFERROR(VALUE(SUBSTITUTE(SUBSTITUTE(SUBSTITUTE(MID(L259,SEARCH("(",L259)+1,SEARCH(")",L259)-SEARCH("(",L259)-1),"$",""),",","")," ","")),0),0))</f>
        <v>0</v>
      </c>
    </row>
    <row r="260" spans="1:27">
      <c r="A260" s="76">
        <v>45903</v>
      </c>
      <c r="B260" s="77" t="s">
        <v>1123</v>
      </c>
      <c r="C260" s="77" t="s">
        <v>1124</v>
      </c>
      <c r="D260" s="77" t="s">
        <v>24</v>
      </c>
      <c r="E260" s="77">
        <v>85307</v>
      </c>
      <c r="F260" s="77" t="s">
        <v>31</v>
      </c>
      <c r="G260" s="77" t="s">
        <v>506</v>
      </c>
      <c r="H260" s="77" t="s">
        <v>1125</v>
      </c>
      <c r="I260" s="77" t="s">
        <v>36</v>
      </c>
      <c r="J260" s="77" t="s">
        <v>37</v>
      </c>
      <c r="K260" s="77" t="s">
        <v>37</v>
      </c>
      <c r="L260" s="77" t="s">
        <v>38</v>
      </c>
      <c r="M260" s="77" t="s">
        <v>37</v>
      </c>
      <c r="N260" s="77" t="s">
        <v>37</v>
      </c>
      <c r="O260" s="77" t="s">
        <v>38</v>
      </c>
      <c r="P260" s="77" t="s">
        <v>39</v>
      </c>
      <c r="Q260" s="76">
        <v>45967</v>
      </c>
      <c r="R260" s="77"/>
      <c r="S260" s="77"/>
      <c r="T260" s="77"/>
      <c r="U260" s="77"/>
      <c r="V260" s="78"/>
      <c r="W260" s="79"/>
      <c r="X260" s="78"/>
      <c r="Y260" s="78"/>
      <c r="Z260" s="78"/>
      <c r="AA260">
        <f>IF(COUNTIF('Call Queue'!$H$6:$H$20,V260)&gt;0,0,IF(AND(ISNUMBER(N260),N260&gt;0),10000000+N260,IF(ISNUMBER(N260*1),IF(N260*1&gt;0,10000000+N260*1,0),0))+IF(ISNUMBER(SEARCH("(",L260)),1000000+IFERROR(VALUE(SUBSTITUTE(SUBSTITUTE(SUBSTITUTE(MID(L260,SEARCH("(",L260)+1,SEARCH(")",L260)-SEARCH("(",L260)-1),"$",""),",","")," ","")),0),0))</f>
        <v>0</v>
      </c>
    </row>
    <row r="261" spans="1:27">
      <c r="A261" s="76">
        <v>45903</v>
      </c>
      <c r="B261" s="77" t="s">
        <v>1126</v>
      </c>
      <c r="C261" s="77" t="s">
        <v>1127</v>
      </c>
      <c r="D261" s="77" t="s">
        <v>24</v>
      </c>
      <c r="E261" s="77">
        <v>85308</v>
      </c>
      <c r="F261" s="77" t="s">
        <v>310</v>
      </c>
      <c r="G261" s="77" t="s">
        <v>506</v>
      </c>
      <c r="H261" s="77" t="s">
        <v>1128</v>
      </c>
      <c r="I261" s="77" t="s">
        <v>36</v>
      </c>
      <c r="J261" s="77" t="s">
        <v>37</v>
      </c>
      <c r="K261" s="77" t="s">
        <v>37</v>
      </c>
      <c r="L261" s="77" t="s">
        <v>38</v>
      </c>
      <c r="M261" s="77" t="s">
        <v>37</v>
      </c>
      <c r="N261" s="77" t="s">
        <v>37</v>
      </c>
      <c r="O261" s="77" t="s">
        <v>38</v>
      </c>
      <c r="P261" s="77" t="s">
        <v>39</v>
      </c>
      <c r="Q261" s="76">
        <v>45967</v>
      </c>
      <c r="R261" s="77"/>
      <c r="S261" s="77"/>
      <c r="T261" s="77"/>
      <c r="U261" s="77"/>
      <c r="V261" s="78"/>
      <c r="W261" s="79"/>
      <c r="X261" s="78"/>
      <c r="Y261" s="78"/>
      <c r="Z261" s="78"/>
      <c r="AA261">
        <f>IF(COUNTIF('Call Queue'!$H$6:$H$20,V261)&gt;0,0,IF(AND(ISNUMBER(N261),N261&gt;0),10000000+N261,IF(ISNUMBER(N261*1),IF(N261*1&gt;0,10000000+N261*1,0),0))+IF(ISNUMBER(SEARCH("(",L261)),1000000+IFERROR(VALUE(SUBSTITUTE(SUBSTITUTE(SUBSTITUTE(MID(L261,SEARCH("(",L261)+1,SEARCH(")",L261)-SEARCH("(",L261)-1),"$",""),",","")," ","")),0),0))</f>
        <v>0</v>
      </c>
    </row>
    <row r="262" spans="1:27">
      <c r="A262" s="76">
        <v>45903</v>
      </c>
      <c r="B262" s="77" t="s">
        <v>1129</v>
      </c>
      <c r="C262" s="77" t="s">
        <v>1130</v>
      </c>
      <c r="D262" s="77" t="s">
        <v>63</v>
      </c>
      <c r="E262" s="77">
        <v>85050</v>
      </c>
      <c r="F262" s="77" t="s">
        <v>31</v>
      </c>
      <c r="G262" s="77" t="s">
        <v>506</v>
      </c>
      <c r="H262" s="77" t="s">
        <v>1131</v>
      </c>
      <c r="I262" s="77" t="s">
        <v>196</v>
      </c>
      <c r="J262" s="77" t="s">
        <v>37</v>
      </c>
      <c r="K262" s="77" t="s">
        <v>37</v>
      </c>
      <c r="L262" s="77" t="s">
        <v>38</v>
      </c>
      <c r="M262" s="77" t="s">
        <v>37</v>
      </c>
      <c r="N262" s="77" t="s">
        <v>37</v>
      </c>
      <c r="O262" s="77" t="s">
        <v>38</v>
      </c>
      <c r="P262" s="77" t="s">
        <v>39</v>
      </c>
      <c r="Q262" s="76">
        <v>45967</v>
      </c>
      <c r="R262" s="77"/>
      <c r="S262" s="77"/>
      <c r="T262" s="77"/>
      <c r="U262" s="77"/>
      <c r="V262" s="78"/>
      <c r="W262" s="79"/>
      <c r="X262" s="78"/>
      <c r="Y262" s="78"/>
      <c r="Z262" s="78"/>
      <c r="AA262">
        <f>IF(COUNTIF('Call Queue'!$H$6:$H$20,V262)&gt;0,0,IF(AND(ISNUMBER(N262),N262&gt;0),10000000+N262,IF(ISNUMBER(N262*1),IF(N262*1&gt;0,10000000+N262*1,0),0))+IF(ISNUMBER(SEARCH("(",L262)),1000000+IFERROR(VALUE(SUBSTITUTE(SUBSTITUTE(SUBSTITUTE(MID(L262,SEARCH("(",L262)+1,SEARCH(")",L262)-SEARCH("(",L262)-1),"$",""),",","")," ","")),0),0))</f>
        <v>0</v>
      </c>
    </row>
    <row r="263" spans="1:27">
      <c r="A263" s="76">
        <v>45903</v>
      </c>
      <c r="B263" s="77" t="s">
        <v>1132</v>
      </c>
      <c r="C263" s="77" t="s">
        <v>1133</v>
      </c>
      <c r="D263" s="77" t="s">
        <v>63</v>
      </c>
      <c r="E263" s="77">
        <v>85024</v>
      </c>
      <c r="F263" s="77" t="s">
        <v>310</v>
      </c>
      <c r="G263" s="77" t="s">
        <v>506</v>
      </c>
      <c r="H263" s="77">
        <v>6430651000</v>
      </c>
      <c r="I263" s="77" t="s">
        <v>196</v>
      </c>
      <c r="J263" s="77" t="s">
        <v>37</v>
      </c>
      <c r="K263" s="77" t="s">
        <v>37</v>
      </c>
      <c r="L263" s="77" t="s">
        <v>38</v>
      </c>
      <c r="M263" s="77" t="s">
        <v>37</v>
      </c>
      <c r="N263" s="77" t="s">
        <v>37</v>
      </c>
      <c r="O263" s="77" t="s">
        <v>38</v>
      </c>
      <c r="P263" s="77" t="s">
        <v>39</v>
      </c>
      <c r="Q263" s="76">
        <v>45967</v>
      </c>
      <c r="R263" s="77"/>
      <c r="S263" s="77"/>
      <c r="T263" s="77"/>
      <c r="U263" s="77"/>
      <c r="V263" s="78"/>
      <c r="W263" s="79"/>
      <c r="X263" s="78"/>
      <c r="Y263" s="78"/>
      <c r="Z263" s="78"/>
      <c r="AA263">
        <f>IF(COUNTIF('Call Queue'!$H$6:$H$20,V263)&gt;0,0,IF(AND(ISNUMBER(N263),N263&gt;0),10000000+N263,IF(ISNUMBER(N263*1),IF(N263*1&gt;0,10000000+N263*1,0),0))+IF(ISNUMBER(SEARCH("(",L263)),1000000+IFERROR(VALUE(SUBSTITUTE(SUBSTITUTE(SUBSTITUTE(MID(L263,SEARCH("(",L263)+1,SEARCH(")",L263)-SEARCH("(",L263)-1),"$",""),",","")," ","")),0),0))</f>
        <v>0</v>
      </c>
    </row>
    <row r="264" spans="1:27">
      <c r="A264" s="76">
        <v>45903</v>
      </c>
      <c r="B264" s="77" t="s">
        <v>1134</v>
      </c>
      <c r="C264" s="77" t="s">
        <v>991</v>
      </c>
      <c r="D264" s="77" t="s">
        <v>240</v>
      </c>
      <c r="E264" s="77">
        <v>85395</v>
      </c>
      <c r="F264" s="77" t="s">
        <v>1135</v>
      </c>
      <c r="G264" s="77" t="s">
        <v>506</v>
      </c>
      <c r="H264" s="77" t="s">
        <v>209</v>
      </c>
      <c r="I264" s="77"/>
      <c r="J264" s="77"/>
      <c r="K264" s="77"/>
      <c r="L264" s="77"/>
      <c r="M264" s="77"/>
      <c r="N264" s="77"/>
      <c r="O264" s="77"/>
      <c r="P264" s="77"/>
      <c r="Q264" s="76"/>
      <c r="R264" s="77"/>
      <c r="S264" s="77"/>
      <c r="T264" s="77"/>
      <c r="U264" s="77"/>
      <c r="V264" s="78"/>
      <c r="W264" s="79"/>
      <c r="X264" s="78"/>
      <c r="Y264" s="78"/>
      <c r="Z264" s="78"/>
      <c r="AA264">
        <f>IF(COUNTIF('Call Queue'!$H$6:$H$20,V264)&gt;0,0,IF(AND(ISNUMBER(N264),N264&gt;0),10000000+N264,IF(ISNUMBER(N264*1),IF(N264*1&gt;0,10000000+N264*1,0),0))+IF(ISNUMBER(SEARCH("(",L264)),1000000+IFERROR(VALUE(SUBSTITUTE(SUBSTITUTE(SUBSTITUTE(MID(L264,SEARCH("(",L264)+1,SEARCH(")",L264)-SEARCH("(",L264)-1),"$",""),",","")," ","")),0),0))</f>
        <v>0</v>
      </c>
    </row>
    <row r="265" spans="1:27">
      <c r="A265" s="76">
        <v>45903</v>
      </c>
      <c r="B265" s="77" t="s">
        <v>1136</v>
      </c>
      <c r="C265" s="77" t="s">
        <v>177</v>
      </c>
      <c r="D265" s="77" t="s">
        <v>169</v>
      </c>
      <c r="E265" s="77">
        <v>85338</v>
      </c>
      <c r="F265" s="77" t="s">
        <v>1137</v>
      </c>
      <c r="G265" s="77" t="s">
        <v>506</v>
      </c>
      <c r="H265" s="77">
        <v>1731130049</v>
      </c>
      <c r="I265" s="77" t="s">
        <v>36</v>
      </c>
      <c r="J265" s="77" t="s">
        <v>38</v>
      </c>
      <c r="K265" s="77" t="s">
        <v>37</v>
      </c>
      <c r="L265" s="77" t="s">
        <v>38</v>
      </c>
      <c r="M265" s="77" t="s">
        <v>37</v>
      </c>
      <c r="N265" s="77" t="s">
        <v>37</v>
      </c>
      <c r="O265" s="77" t="s">
        <v>38</v>
      </c>
      <c r="P265" s="77" t="s">
        <v>39</v>
      </c>
      <c r="Q265" s="76">
        <v>45967</v>
      </c>
      <c r="R265" s="77"/>
      <c r="S265" s="77"/>
      <c r="T265" s="77"/>
      <c r="U265" s="77"/>
      <c r="V265" s="78"/>
      <c r="W265" s="79"/>
      <c r="X265" s="78"/>
      <c r="Y265" s="78"/>
      <c r="Z265" s="78"/>
      <c r="AA265">
        <f>IF(COUNTIF('Call Queue'!$H$6:$H$20,V265)&gt;0,0,IF(AND(ISNUMBER(N265),N265&gt;0),10000000+N265,IF(ISNUMBER(N265*1),IF(N265*1&gt;0,10000000+N265*1,0),0))+IF(ISNUMBER(SEARCH("(",L265)),1000000+IFERROR(VALUE(SUBSTITUTE(SUBSTITUTE(SUBSTITUTE(MID(L265,SEARCH("(",L265)+1,SEARCH(")",L265)-SEARCH("(",L265)-1),"$",""),",","")," ","")),0),0))</f>
        <v>0</v>
      </c>
    </row>
    <row r="266" spans="1:27">
      <c r="A266" s="76">
        <v>45903</v>
      </c>
      <c r="B266" s="77" t="s">
        <v>1139</v>
      </c>
      <c r="C266" s="77" t="s">
        <v>1140</v>
      </c>
      <c r="D266" s="77" t="s">
        <v>169</v>
      </c>
      <c r="E266" s="77">
        <v>85395</v>
      </c>
      <c r="F266" s="77" t="s">
        <v>1141</v>
      </c>
      <c r="G266" s="77" t="s">
        <v>506</v>
      </c>
      <c r="H266" s="77">
        <v>1370139140</v>
      </c>
      <c r="I266" s="77" t="s">
        <v>36</v>
      </c>
      <c r="J266" s="77" t="s">
        <v>37</v>
      </c>
      <c r="K266" s="77" t="s">
        <v>37</v>
      </c>
      <c r="L266" s="77" t="s">
        <v>38</v>
      </c>
      <c r="M266" s="77" t="s">
        <v>37</v>
      </c>
      <c r="N266" s="77" t="s">
        <v>37</v>
      </c>
      <c r="O266" s="77" t="s">
        <v>38</v>
      </c>
      <c r="P266" s="77" t="s">
        <v>39</v>
      </c>
      <c r="Q266" s="76">
        <v>45967</v>
      </c>
      <c r="R266" s="77"/>
      <c r="S266" s="77"/>
      <c r="T266" s="77"/>
      <c r="U266" s="77"/>
      <c r="V266" s="78"/>
      <c r="W266" s="79"/>
      <c r="X266" s="78"/>
      <c r="Y266" s="78"/>
      <c r="Z266" s="78"/>
      <c r="AA266">
        <f>IF(COUNTIF('Call Queue'!$H$6:$H$20,V266)&gt;0,0,IF(AND(ISNUMBER(N266),N266&gt;0),10000000+N266,IF(ISNUMBER(N266*1),IF(N266*1&gt;0,10000000+N266*1,0),0))+IF(ISNUMBER(SEARCH("(",L266)),1000000+IFERROR(VALUE(SUBSTITUTE(SUBSTITUTE(SUBSTITUTE(MID(L266,SEARCH("(",L266)+1,SEARCH(")",L266)-SEARCH("(",L266)-1),"$",""),",","")," ","")),0),0))</f>
        <v>0</v>
      </c>
    </row>
    <row r="267" spans="1:27">
      <c r="A267" s="76">
        <v>45903</v>
      </c>
      <c r="B267" s="77" t="s">
        <v>1142</v>
      </c>
      <c r="C267" s="77" t="s">
        <v>1143</v>
      </c>
      <c r="D267" s="77" t="s">
        <v>125</v>
      </c>
      <c r="E267" s="77">
        <v>85266</v>
      </c>
      <c r="F267" s="77" t="s">
        <v>310</v>
      </c>
      <c r="G267" s="77" t="s">
        <v>506</v>
      </c>
      <c r="H267" s="77" t="s">
        <v>1144</v>
      </c>
      <c r="I267" s="77" t="s">
        <v>36</v>
      </c>
      <c r="J267" s="77" t="s">
        <v>37</v>
      </c>
      <c r="K267" s="77" t="s">
        <v>37</v>
      </c>
      <c r="L267" s="77" t="s">
        <v>38</v>
      </c>
      <c r="M267" s="77" t="s">
        <v>37</v>
      </c>
      <c r="N267" s="77" t="s">
        <v>37</v>
      </c>
      <c r="O267" s="77" t="s">
        <v>38</v>
      </c>
      <c r="P267" s="77" t="s">
        <v>39</v>
      </c>
      <c r="Q267" s="76">
        <v>45967</v>
      </c>
      <c r="R267" s="77"/>
      <c r="S267" s="77"/>
      <c r="T267" s="77"/>
      <c r="U267" s="77"/>
      <c r="V267" s="78"/>
      <c r="W267" s="79"/>
      <c r="X267" s="78"/>
      <c r="Y267" s="78"/>
      <c r="Z267" s="78"/>
      <c r="AA267">
        <f>IF(COUNTIF('Call Queue'!$H$6:$H$20,V267)&gt;0,0,IF(AND(ISNUMBER(N267),N267&gt;0),10000000+N267,IF(ISNUMBER(N267*1),IF(N267*1&gt;0,10000000+N267*1,0),0))+IF(ISNUMBER(SEARCH("(",L267)),1000000+IFERROR(VALUE(SUBSTITUTE(SUBSTITUTE(SUBSTITUTE(MID(L267,SEARCH("(",L267)+1,SEARCH(")",L267)-SEARCH("(",L267)-1),"$",""),",","")," ","")),0),0))</f>
        <v>0</v>
      </c>
    </row>
    <row r="268" spans="1:27">
      <c r="A268" s="76">
        <v>45903</v>
      </c>
      <c r="B268" s="77" t="s">
        <v>1145</v>
      </c>
      <c r="C268" s="77" t="s">
        <v>1146</v>
      </c>
      <c r="D268" s="77" t="s">
        <v>125</v>
      </c>
      <c r="E268" s="77">
        <v>85259</v>
      </c>
      <c r="F268" s="77" t="s">
        <v>31</v>
      </c>
      <c r="G268" s="77" t="s">
        <v>506</v>
      </c>
      <c r="H268" s="77" t="s">
        <v>209</v>
      </c>
      <c r="I268" s="77"/>
      <c r="J268" s="77"/>
      <c r="K268" s="77"/>
      <c r="L268" s="77"/>
      <c r="M268" s="77"/>
      <c r="N268" s="77"/>
      <c r="O268" s="77"/>
      <c r="P268" s="77"/>
      <c r="Q268" s="76"/>
      <c r="R268" s="77"/>
      <c r="S268" s="77"/>
      <c r="T268" s="77"/>
      <c r="U268" s="77"/>
      <c r="V268" s="78"/>
      <c r="W268" s="79"/>
      <c r="X268" s="78"/>
      <c r="Y268" s="78"/>
      <c r="Z268" s="78"/>
      <c r="AA268">
        <f>IF(COUNTIF('Call Queue'!$H$6:$H$20,V268)&gt;0,0,IF(AND(ISNUMBER(N268),N268&gt;0),10000000+N268,IF(ISNUMBER(N268*1),IF(N268*1&gt;0,10000000+N268*1,0),0))+IF(ISNUMBER(SEARCH("(",L268)),1000000+IFERROR(VALUE(SUBSTITUTE(SUBSTITUTE(SUBSTITUTE(MID(L268,SEARCH("(",L268)+1,SEARCH(")",L268)-SEARCH("(",L268)-1),"$",""),",","")," ","")),0),0))</f>
        <v>0</v>
      </c>
    </row>
    <row r="269" spans="1:27">
      <c r="A269" s="76">
        <v>45903</v>
      </c>
      <c r="B269" s="77" t="s">
        <v>1151</v>
      </c>
      <c r="C269" s="77" t="s">
        <v>1152</v>
      </c>
      <c r="D269" s="77" t="s">
        <v>202</v>
      </c>
      <c r="E269" s="77">
        <v>85383</v>
      </c>
      <c r="F269" s="77" t="s">
        <v>310</v>
      </c>
      <c r="G269" s="77" t="s">
        <v>506</v>
      </c>
      <c r="H269" s="77">
        <v>3401570000</v>
      </c>
      <c r="I269" s="77" t="s">
        <v>541</v>
      </c>
      <c r="J269" s="77" t="s">
        <v>37</v>
      </c>
      <c r="K269" s="77" t="s">
        <v>37</v>
      </c>
      <c r="L269" s="77" t="s">
        <v>389</v>
      </c>
      <c r="M269" s="77" t="s">
        <v>37</v>
      </c>
      <c r="N269" s="77" t="s">
        <v>37</v>
      </c>
      <c r="O269" s="77" t="s">
        <v>38</v>
      </c>
      <c r="P269" s="77" t="s">
        <v>39</v>
      </c>
      <c r="Q269" s="76">
        <v>45967</v>
      </c>
      <c r="R269" s="77"/>
      <c r="S269" s="77"/>
      <c r="T269" s="77"/>
      <c r="U269" s="77"/>
      <c r="V269" s="78"/>
      <c r="W269" s="79"/>
      <c r="X269" s="78"/>
      <c r="Y269" s="78"/>
      <c r="Z269" s="78"/>
      <c r="AA269">
        <f>IF(COUNTIF('Call Queue'!$H$6:$H$20,V269)&gt;0,0,IF(AND(ISNUMBER(N269),N269&gt;0),10000000+N269,IF(ISNUMBER(N269*1),IF(N269*1&gt;0,10000000+N269*1,0),0))+IF(ISNUMBER(SEARCH("(",L269)),1000000+IFERROR(VALUE(SUBSTITUTE(SUBSTITUTE(SUBSTITUTE(MID(L269,SEARCH("(",L269)+1,SEARCH(")",L269)-SEARCH("(",L269)-1),"$",""),",","")," ","")),0),0))</f>
        <v>0</v>
      </c>
    </row>
    <row r="270" spans="1:27">
      <c r="A270" s="76">
        <v>45903</v>
      </c>
      <c r="B270" s="77" t="s">
        <v>1153</v>
      </c>
      <c r="C270" s="77" t="s">
        <v>1154</v>
      </c>
      <c r="D270" s="77" t="s">
        <v>63</v>
      </c>
      <c r="E270" s="77">
        <v>85024</v>
      </c>
      <c r="F270" s="77" t="s">
        <v>1155</v>
      </c>
      <c r="G270" s="77" t="s">
        <v>506</v>
      </c>
      <c r="H270" s="77" t="s">
        <v>1156</v>
      </c>
      <c r="I270" s="77" t="s">
        <v>196</v>
      </c>
      <c r="J270" s="77" t="s">
        <v>37</v>
      </c>
      <c r="K270" s="77" t="s">
        <v>37</v>
      </c>
      <c r="L270" s="77" t="s">
        <v>1157</v>
      </c>
      <c r="M270" s="77" t="s">
        <v>37</v>
      </c>
      <c r="N270" s="77" t="s">
        <v>37</v>
      </c>
      <c r="O270" s="77" t="s">
        <v>38</v>
      </c>
      <c r="P270" s="77">
        <v>45936</v>
      </c>
      <c r="Q270" s="76">
        <v>45967</v>
      </c>
      <c r="R270" s="77" t="s">
        <v>1158</v>
      </c>
      <c r="S270" s="77"/>
      <c r="T270" s="77"/>
      <c r="U270" s="77"/>
      <c r="V270" s="78" t="s">
        <v>117</v>
      </c>
      <c r="W270" s="79">
        <v>46060</v>
      </c>
      <c r="X270" s="78" t="s">
        <v>38</v>
      </c>
      <c r="Y270" s="78"/>
      <c r="Z270" s="78" t="s">
        <v>5434</v>
      </c>
      <c r="AA270">
        <f>IF(COUNTIF('Call Queue'!$H$6:$H$20,V270)&gt;0,0,IF(AND(ISNUMBER(N270),N270&gt;0),10000000+N270,IF(ISNUMBER(N270*1),IF(N270*1&gt;0,10000000+N270*1,0),0))+IF(ISNUMBER(SEARCH("(",L270)),1000000+IFERROR(VALUE(SUBSTITUTE(SUBSTITUTE(SUBSTITUTE(MID(L270,SEARCH("(",L270)+1,SEARCH(")",L270)-SEARCH("(",L270)-1),"$",""),",","")," ","")),0),0))</f>
        <v>0</v>
      </c>
    </row>
    <row r="271" spans="1:27">
      <c r="A271" s="76">
        <v>45903</v>
      </c>
      <c r="B271" s="77" t="s">
        <v>1159</v>
      </c>
      <c r="C271" s="77" t="s">
        <v>1160</v>
      </c>
      <c r="D271" s="77" t="s">
        <v>202</v>
      </c>
      <c r="E271" s="77">
        <v>85383</v>
      </c>
      <c r="F271" s="77" t="s">
        <v>310</v>
      </c>
      <c r="G271" s="77" t="s">
        <v>506</v>
      </c>
      <c r="H271" s="77" t="s">
        <v>1161</v>
      </c>
      <c r="I271" s="77" t="s">
        <v>36</v>
      </c>
      <c r="J271" s="77" t="s">
        <v>37</v>
      </c>
      <c r="K271" s="77" t="s">
        <v>37</v>
      </c>
      <c r="L271" s="77" t="s">
        <v>38</v>
      </c>
      <c r="M271" s="77" t="s">
        <v>37</v>
      </c>
      <c r="N271" s="77" t="s">
        <v>37</v>
      </c>
      <c r="O271" s="77" t="s">
        <v>38</v>
      </c>
      <c r="P271" s="77" t="s">
        <v>39</v>
      </c>
      <c r="Q271" s="76">
        <v>45967</v>
      </c>
      <c r="R271" s="77"/>
      <c r="S271" s="77"/>
      <c r="T271" s="77"/>
      <c r="U271" s="77"/>
      <c r="V271" s="78"/>
      <c r="W271" s="79"/>
      <c r="X271" s="78"/>
      <c r="Y271" s="78"/>
      <c r="Z271" s="78"/>
      <c r="AA271">
        <f>IF(COUNTIF('Call Queue'!$H$6:$H$20,V271)&gt;0,0,IF(AND(ISNUMBER(N271),N271&gt;0),10000000+N271,IF(ISNUMBER(N271*1),IF(N271*1&gt;0,10000000+N271*1,0),0))+IF(ISNUMBER(SEARCH("(",L271)),1000000+IFERROR(VALUE(SUBSTITUTE(SUBSTITUTE(SUBSTITUTE(MID(L271,SEARCH("(",L271)+1,SEARCH(")",L271)-SEARCH("(",L271)-1),"$",""),",","")," ","")),0),0))</f>
        <v>0</v>
      </c>
    </row>
    <row r="272" spans="1:27">
      <c r="A272" s="76">
        <v>45903</v>
      </c>
      <c r="B272" s="77" t="s">
        <v>1162</v>
      </c>
      <c r="C272" s="77" t="s">
        <v>1163</v>
      </c>
      <c r="D272" s="77" t="s">
        <v>63</v>
      </c>
      <c r="E272" s="77">
        <v>85085</v>
      </c>
      <c r="F272" s="77" t="s">
        <v>310</v>
      </c>
      <c r="G272" s="77" t="s">
        <v>506</v>
      </c>
      <c r="H272" s="77" t="s">
        <v>1164</v>
      </c>
      <c r="I272" s="77" t="s">
        <v>36</v>
      </c>
      <c r="J272" s="77" t="s">
        <v>37</v>
      </c>
      <c r="K272" s="77" t="s">
        <v>37</v>
      </c>
      <c r="L272" s="77" t="s">
        <v>38</v>
      </c>
      <c r="M272" s="77" t="s">
        <v>37</v>
      </c>
      <c r="N272" s="77" t="s">
        <v>37</v>
      </c>
      <c r="O272" s="77" t="s">
        <v>38</v>
      </c>
      <c r="P272" s="77" t="s">
        <v>39</v>
      </c>
      <c r="Q272" s="76">
        <v>45967</v>
      </c>
      <c r="R272" s="77"/>
      <c r="S272" s="77"/>
      <c r="T272" s="77"/>
      <c r="U272" s="77"/>
      <c r="V272" s="78"/>
      <c r="W272" s="79"/>
      <c r="X272" s="78"/>
      <c r="Y272" s="78"/>
      <c r="Z272" s="78"/>
      <c r="AA272">
        <f>IF(COUNTIF('Call Queue'!$H$6:$H$20,V272)&gt;0,0,IF(AND(ISNUMBER(N272),N272&gt;0),10000000+N272,IF(ISNUMBER(N272*1),IF(N272*1&gt;0,10000000+N272*1,0),0))+IF(ISNUMBER(SEARCH("(",L272)),1000000+IFERROR(VALUE(SUBSTITUTE(SUBSTITUTE(SUBSTITUTE(MID(L272,SEARCH("(",L272)+1,SEARCH(")",L272)-SEARCH("(",L272)-1),"$",""),",","")," ","")),0),0))</f>
        <v>0</v>
      </c>
    </row>
    <row r="273" spans="1:27">
      <c r="A273" s="76">
        <v>45903</v>
      </c>
      <c r="B273" s="77" t="s">
        <v>1165</v>
      </c>
      <c r="C273" s="77" t="s">
        <v>1166</v>
      </c>
      <c r="D273" s="77" t="s">
        <v>240</v>
      </c>
      <c r="E273" s="77">
        <v>85340</v>
      </c>
      <c r="F273" s="77" t="s">
        <v>1167</v>
      </c>
      <c r="G273" s="77" t="s">
        <v>506</v>
      </c>
      <c r="H273" s="77" t="s">
        <v>1168</v>
      </c>
      <c r="I273" s="77" t="s">
        <v>126</v>
      </c>
      <c r="J273" s="77" t="s">
        <v>38</v>
      </c>
      <c r="K273" s="77" t="s">
        <v>37</v>
      </c>
      <c r="L273" s="77" t="s">
        <v>1169</v>
      </c>
      <c r="M273" s="77" t="s">
        <v>37</v>
      </c>
      <c r="N273" s="77" t="s">
        <v>37</v>
      </c>
      <c r="O273" s="77" t="s">
        <v>38</v>
      </c>
      <c r="P273" s="77" t="s">
        <v>39</v>
      </c>
      <c r="Q273" s="76">
        <v>45967</v>
      </c>
      <c r="R273" s="77"/>
      <c r="S273" s="77"/>
      <c r="T273" s="77"/>
      <c r="U273" s="77"/>
      <c r="V273" s="78" t="s">
        <v>117</v>
      </c>
      <c r="W273" s="79">
        <v>46032</v>
      </c>
      <c r="X273" s="78" t="s">
        <v>37</v>
      </c>
      <c r="Y273" s="78"/>
      <c r="Z273" s="78"/>
      <c r="AA273">
        <f>IF(COUNTIF('Call Queue'!$H$6:$H$20,V273)&gt;0,0,IF(AND(ISNUMBER(N273),N273&gt;0),10000000+N273,IF(ISNUMBER(N273*1),IF(N273*1&gt;0,10000000+N273*1,0),0))+IF(ISNUMBER(SEARCH("(",L273)),1000000+IFERROR(VALUE(SUBSTITUTE(SUBSTITUTE(SUBSTITUTE(MID(L273,SEARCH("(",L273)+1,SEARCH(")",L273)-SEARCH("(",L273)-1),"$",""),",","")," ","")),0),0))</f>
        <v>0</v>
      </c>
    </row>
    <row r="274" spans="1:27">
      <c r="A274" s="76">
        <v>45903</v>
      </c>
      <c r="B274" s="77" t="s">
        <v>1170</v>
      </c>
      <c r="C274" s="77" t="s">
        <v>1171</v>
      </c>
      <c r="D274" s="77" t="s">
        <v>63</v>
      </c>
      <c r="E274" s="77">
        <v>85050</v>
      </c>
      <c r="F274" s="77" t="s">
        <v>1172</v>
      </c>
      <c r="G274" s="77" t="s">
        <v>506</v>
      </c>
      <c r="H274" s="77" t="s">
        <v>1173</v>
      </c>
      <c r="I274" s="77" t="s">
        <v>1040</v>
      </c>
      <c r="J274" s="77" t="s">
        <v>37</v>
      </c>
      <c r="K274" s="77" t="s">
        <v>37</v>
      </c>
      <c r="L274" s="77" t="s">
        <v>1174</v>
      </c>
      <c r="M274" s="77" t="s">
        <v>37</v>
      </c>
      <c r="N274" s="77" t="s">
        <v>37</v>
      </c>
      <c r="O274" s="77" t="s">
        <v>38</v>
      </c>
      <c r="P274" s="77">
        <v>45936</v>
      </c>
      <c r="Q274" s="76">
        <v>45967</v>
      </c>
      <c r="R274" s="77" t="s">
        <v>1175</v>
      </c>
      <c r="S274" s="77"/>
      <c r="T274" s="77"/>
      <c r="U274" s="77"/>
      <c r="V274" s="78" t="s">
        <v>117</v>
      </c>
      <c r="W274" s="79">
        <v>46060</v>
      </c>
      <c r="X274" s="78" t="s">
        <v>38</v>
      </c>
      <c r="Y274" s="78"/>
      <c r="Z274" s="78"/>
      <c r="AA274">
        <f>IF(COUNTIF('Call Queue'!$H$6:$H$20,V274)&gt;0,0,IF(AND(ISNUMBER(N274),N274&gt;0),10000000+N274,IF(ISNUMBER(N274*1),IF(N274*1&gt;0,10000000+N274*1,0),0))+IF(ISNUMBER(SEARCH("(",L274)),1000000+IFERROR(VALUE(SUBSTITUTE(SUBSTITUTE(SUBSTITUTE(MID(L274,SEARCH("(",L274)+1,SEARCH(")",L274)-SEARCH("(",L274)-1),"$",""),",","")," ","")),0),0))</f>
        <v>0</v>
      </c>
    </row>
    <row r="275" spans="1:27">
      <c r="A275" s="76">
        <v>45903</v>
      </c>
      <c r="B275" s="77" t="s">
        <v>1178</v>
      </c>
      <c r="C275" s="77" t="s">
        <v>1179</v>
      </c>
      <c r="D275" s="77" t="s">
        <v>30</v>
      </c>
      <c r="E275" s="77">
        <v>85085</v>
      </c>
      <c r="F275" s="77" t="s">
        <v>310</v>
      </c>
      <c r="G275" s="77" t="s">
        <v>506</v>
      </c>
      <c r="H275" s="77" t="s">
        <v>1180</v>
      </c>
      <c r="I275" s="77" t="s">
        <v>196</v>
      </c>
      <c r="J275" s="77" t="s">
        <v>37</v>
      </c>
      <c r="K275" s="77" t="s">
        <v>37</v>
      </c>
      <c r="L275" s="77" t="s">
        <v>1181</v>
      </c>
      <c r="M275" s="77" t="s">
        <v>37</v>
      </c>
      <c r="N275" s="77" t="s">
        <v>37</v>
      </c>
      <c r="O275" s="77" t="s">
        <v>38</v>
      </c>
      <c r="P275" s="77" t="s">
        <v>39</v>
      </c>
      <c r="Q275" s="76">
        <v>45967</v>
      </c>
      <c r="R275" s="77"/>
      <c r="S275" s="77"/>
      <c r="T275" s="77"/>
      <c r="U275" s="77"/>
      <c r="V275" s="78" t="s">
        <v>117</v>
      </c>
      <c r="W275" s="79">
        <v>46032</v>
      </c>
      <c r="X275" s="78" t="s">
        <v>38</v>
      </c>
      <c r="Y275" s="78"/>
      <c r="Z275" s="78"/>
      <c r="AA275">
        <f>IF(COUNTIF('Call Queue'!$H$6:$H$20,V275)&gt;0,0,IF(AND(ISNUMBER(N275),N275&gt;0),10000000+N275,IF(ISNUMBER(N275*1),IF(N275*1&gt;0,10000000+N275*1,0),0))+IF(ISNUMBER(SEARCH("(",L275)),1000000+IFERROR(VALUE(SUBSTITUTE(SUBSTITUTE(SUBSTITUTE(MID(L275,SEARCH("(",L275)+1,SEARCH(")",L275)-SEARCH("(",L275)-1),"$",""),",","")," ","")),0),0))</f>
        <v>0</v>
      </c>
    </row>
    <row r="276" spans="1:27">
      <c r="A276" s="76">
        <v>45903</v>
      </c>
      <c r="B276" s="77" t="s">
        <v>1185</v>
      </c>
      <c r="C276" s="77" t="s">
        <v>312</v>
      </c>
      <c r="D276" s="77" t="s">
        <v>523</v>
      </c>
      <c r="E276" s="77">
        <v>85323</v>
      </c>
      <c r="F276" s="77" t="s">
        <v>1186</v>
      </c>
      <c r="G276" s="77" t="s">
        <v>506</v>
      </c>
      <c r="H276" s="77" t="s">
        <v>1187</v>
      </c>
      <c r="I276" s="77" t="s">
        <v>73</v>
      </c>
      <c r="J276" s="77" t="s">
        <v>37</v>
      </c>
      <c r="K276" s="77" t="s">
        <v>37</v>
      </c>
      <c r="L276" s="77" t="s">
        <v>38</v>
      </c>
      <c r="M276" s="77" t="s">
        <v>37</v>
      </c>
      <c r="N276" s="77" t="s">
        <v>37</v>
      </c>
      <c r="O276" s="77" t="s">
        <v>38</v>
      </c>
      <c r="P276" s="77" t="s">
        <v>39</v>
      </c>
      <c r="Q276" s="76">
        <v>45967</v>
      </c>
      <c r="R276" s="77"/>
      <c r="S276" s="77"/>
      <c r="T276" s="77"/>
      <c r="U276" s="77"/>
      <c r="V276" s="78"/>
      <c r="W276" s="79"/>
      <c r="X276" s="78"/>
      <c r="Y276" s="78"/>
      <c r="Z276" s="78"/>
      <c r="AA276">
        <f>IF(COUNTIF('Call Queue'!$H$6:$H$20,V276)&gt;0,0,IF(AND(ISNUMBER(N276),N276&gt;0),10000000+N276,IF(ISNUMBER(N276*1),IF(N276*1&gt;0,10000000+N276*1,0),0))+IF(ISNUMBER(SEARCH("(",L276)),1000000+IFERROR(VALUE(SUBSTITUTE(SUBSTITUTE(SUBSTITUTE(MID(L276,SEARCH("(",L276)+1,SEARCH(")",L276)-SEARCH("(",L276)-1),"$",""),",","")," ","")),0),0))</f>
        <v>0</v>
      </c>
    </row>
    <row r="277" spans="1:27">
      <c r="A277" s="76">
        <v>45903</v>
      </c>
      <c r="B277" s="77" t="s">
        <v>176</v>
      </c>
      <c r="C277" s="77" t="s">
        <v>284</v>
      </c>
      <c r="D277" s="77" t="s">
        <v>63</v>
      </c>
      <c r="E277" s="77">
        <v>85024</v>
      </c>
      <c r="F277" s="77" t="s">
        <v>310</v>
      </c>
      <c r="G277" s="77" t="s">
        <v>506</v>
      </c>
      <c r="H277" s="77" t="s">
        <v>209</v>
      </c>
      <c r="I277" s="77"/>
      <c r="J277" s="77"/>
      <c r="K277" s="77"/>
      <c r="L277" s="77"/>
      <c r="M277" s="77"/>
      <c r="N277" s="77"/>
      <c r="O277" s="77"/>
      <c r="P277" s="77"/>
      <c r="Q277" s="76"/>
      <c r="R277" s="77"/>
      <c r="S277" s="77"/>
      <c r="T277" s="77"/>
      <c r="U277" s="77"/>
      <c r="V277" s="78"/>
      <c r="W277" s="79"/>
      <c r="X277" s="78"/>
      <c r="Y277" s="78"/>
      <c r="Z277" s="78"/>
      <c r="AA277">
        <f>IF(COUNTIF('Call Queue'!$H$6:$H$20,V277)&gt;0,0,IF(AND(ISNUMBER(N277),N277&gt;0),10000000+N277,IF(ISNUMBER(N277*1),IF(N277*1&gt;0,10000000+N277*1,0),0))+IF(ISNUMBER(SEARCH("(",L277)),1000000+IFERROR(VALUE(SUBSTITUTE(SUBSTITUTE(SUBSTITUTE(MID(L277,SEARCH("(",L277)+1,SEARCH(")",L277)-SEARCH("(",L277)-1),"$",""),",","")," ","")),0),0))</f>
        <v>0</v>
      </c>
    </row>
    <row r="278" spans="1:27">
      <c r="A278" s="76">
        <v>45903</v>
      </c>
      <c r="B278" s="77" t="s">
        <v>1190</v>
      </c>
      <c r="C278" s="77" t="s">
        <v>1191</v>
      </c>
      <c r="D278" s="77" t="s">
        <v>523</v>
      </c>
      <c r="E278" s="77">
        <v>85392</v>
      </c>
      <c r="F278" s="77" t="s">
        <v>1186</v>
      </c>
      <c r="G278" s="77" t="s">
        <v>506</v>
      </c>
      <c r="H278" s="77" t="s">
        <v>1192</v>
      </c>
      <c r="I278" s="77" t="s">
        <v>196</v>
      </c>
      <c r="J278" s="77" t="s">
        <v>37</v>
      </c>
      <c r="K278" s="77" t="s">
        <v>37</v>
      </c>
      <c r="L278" s="77" t="s">
        <v>38</v>
      </c>
      <c r="M278" s="77" t="s">
        <v>37</v>
      </c>
      <c r="N278" s="77" t="s">
        <v>37</v>
      </c>
      <c r="O278" s="77" t="s">
        <v>38</v>
      </c>
      <c r="P278" s="77" t="s">
        <v>39</v>
      </c>
      <c r="Q278" s="76">
        <v>45967</v>
      </c>
      <c r="R278" s="77"/>
      <c r="S278" s="77"/>
      <c r="T278" s="77"/>
      <c r="U278" s="77"/>
      <c r="V278" s="78"/>
      <c r="W278" s="79"/>
      <c r="X278" s="78"/>
      <c r="Y278" s="78"/>
      <c r="Z278" s="78"/>
      <c r="AA278">
        <f>IF(COUNTIF('Call Queue'!$H$6:$H$20,V278)&gt;0,0,IF(AND(ISNUMBER(N278),N278&gt;0),10000000+N278,IF(ISNUMBER(N278*1),IF(N278*1&gt;0,10000000+N278*1,0),0))+IF(ISNUMBER(SEARCH("(",L278)),1000000+IFERROR(VALUE(SUBSTITUTE(SUBSTITUTE(SUBSTITUTE(MID(L278,SEARCH("(",L278)+1,SEARCH(")",L278)-SEARCH("(",L278)-1),"$",""),",","")," ","")),0),0))</f>
        <v>0</v>
      </c>
    </row>
    <row r="279" spans="1:27">
      <c r="A279" s="76">
        <v>45903</v>
      </c>
      <c r="B279" s="77" t="s">
        <v>1193</v>
      </c>
      <c r="C279" s="77" t="s">
        <v>1194</v>
      </c>
      <c r="D279" s="77" t="s">
        <v>63</v>
      </c>
      <c r="E279" s="77">
        <v>85024</v>
      </c>
      <c r="F279" s="77" t="s">
        <v>310</v>
      </c>
      <c r="G279" s="77" t="s">
        <v>506</v>
      </c>
      <c r="H279" s="77" t="s">
        <v>209</v>
      </c>
      <c r="I279" s="77"/>
      <c r="J279" s="77"/>
      <c r="K279" s="77"/>
      <c r="L279" s="77"/>
      <c r="M279" s="77"/>
      <c r="N279" s="77"/>
      <c r="O279" s="77"/>
      <c r="P279" s="77"/>
      <c r="Q279" s="76"/>
      <c r="R279" s="77"/>
      <c r="S279" s="77"/>
      <c r="T279" s="77"/>
      <c r="U279" s="77"/>
      <c r="V279" s="78"/>
      <c r="W279" s="79"/>
      <c r="X279" s="78"/>
      <c r="Y279" s="78"/>
      <c r="Z279" s="78"/>
      <c r="AA279">
        <f>IF(COUNTIF('Call Queue'!$H$6:$H$20,V279)&gt;0,0,IF(AND(ISNUMBER(N279),N279&gt;0),10000000+N279,IF(ISNUMBER(N279*1),IF(N279*1&gt;0,10000000+N279*1,0),0))+IF(ISNUMBER(SEARCH("(",L279)),1000000+IFERROR(VALUE(SUBSTITUTE(SUBSTITUTE(SUBSTITUTE(MID(L279,SEARCH("(",L279)+1,SEARCH(")",L279)-SEARCH("(",L279)-1),"$",""),",","")," ","")),0),0))</f>
        <v>0</v>
      </c>
    </row>
    <row r="280" spans="1:27">
      <c r="A280" s="76">
        <v>45903</v>
      </c>
      <c r="B280" s="77" t="s">
        <v>1195</v>
      </c>
      <c r="C280" s="77" t="s">
        <v>558</v>
      </c>
      <c r="D280" s="77" t="s">
        <v>63</v>
      </c>
      <c r="E280" s="77">
        <v>85050</v>
      </c>
      <c r="F280" s="77" t="s">
        <v>310</v>
      </c>
      <c r="G280" s="77" t="s">
        <v>506</v>
      </c>
      <c r="H280" s="77" t="s">
        <v>1196</v>
      </c>
      <c r="I280" s="77" t="s">
        <v>36</v>
      </c>
      <c r="J280" s="77" t="s">
        <v>37</v>
      </c>
      <c r="K280" s="77" t="s">
        <v>37</v>
      </c>
      <c r="L280" s="77" t="s">
        <v>38</v>
      </c>
      <c r="M280" s="77" t="s">
        <v>37</v>
      </c>
      <c r="N280" s="77" t="s">
        <v>37</v>
      </c>
      <c r="O280" s="77" t="s">
        <v>38</v>
      </c>
      <c r="P280" s="77" t="s">
        <v>39</v>
      </c>
      <c r="Q280" s="76">
        <v>45967</v>
      </c>
      <c r="R280" s="77"/>
      <c r="S280" s="77"/>
      <c r="T280" s="77"/>
      <c r="U280" s="77"/>
      <c r="V280" s="78"/>
      <c r="W280" s="79"/>
      <c r="X280" s="78"/>
      <c r="Y280" s="78"/>
      <c r="Z280" s="78"/>
      <c r="AA280">
        <f>IF(COUNTIF('Call Queue'!$H$6:$H$20,V280)&gt;0,0,IF(AND(ISNUMBER(N280),N280&gt;0),10000000+N280,IF(ISNUMBER(N280*1),IF(N280*1&gt;0,10000000+N280*1,0),0))+IF(ISNUMBER(SEARCH("(",L280)),1000000+IFERROR(VALUE(SUBSTITUTE(SUBSTITUTE(SUBSTITUTE(MID(L280,SEARCH("(",L280)+1,SEARCH(")",L280)-SEARCH("(",L280)-1),"$",""),",","")," ","")),0),0))</f>
        <v>0</v>
      </c>
    </row>
    <row r="281" spans="1:27">
      <c r="A281" s="76">
        <v>45903</v>
      </c>
      <c r="B281" s="77" t="s">
        <v>1197</v>
      </c>
      <c r="C281" s="77" t="s">
        <v>1198</v>
      </c>
      <c r="D281" s="77" t="s">
        <v>63</v>
      </c>
      <c r="E281" s="77">
        <v>85050</v>
      </c>
      <c r="F281" s="77" t="s">
        <v>1199</v>
      </c>
      <c r="G281" s="77" t="s">
        <v>506</v>
      </c>
      <c r="H281" s="77" t="s">
        <v>1200</v>
      </c>
      <c r="I281" s="77" t="s">
        <v>196</v>
      </c>
      <c r="J281" s="77" t="s">
        <v>37</v>
      </c>
      <c r="K281" s="77" t="s">
        <v>37</v>
      </c>
      <c r="L281" s="77" t="s">
        <v>38</v>
      </c>
      <c r="M281" s="77" t="s">
        <v>37</v>
      </c>
      <c r="N281" s="77" t="s">
        <v>37</v>
      </c>
      <c r="O281" s="77" t="s">
        <v>38</v>
      </c>
      <c r="P281" s="77" t="s">
        <v>39</v>
      </c>
      <c r="Q281" s="76">
        <v>45967</v>
      </c>
      <c r="R281" s="77"/>
      <c r="S281" s="77"/>
      <c r="T281" s="77"/>
      <c r="U281" s="77"/>
      <c r="V281" s="78"/>
      <c r="W281" s="79"/>
      <c r="X281" s="78"/>
      <c r="Y281" s="78"/>
      <c r="Z281" s="78"/>
      <c r="AA281">
        <f>IF(COUNTIF('Call Queue'!$H$6:$H$20,V281)&gt;0,0,IF(AND(ISNUMBER(N281),N281&gt;0),10000000+N281,IF(ISNUMBER(N281*1),IF(N281*1&gt;0,10000000+N281*1,0),0))+IF(ISNUMBER(SEARCH("(",L281)),1000000+IFERROR(VALUE(SUBSTITUTE(SUBSTITUTE(SUBSTITUTE(MID(L281,SEARCH("(",L281)+1,SEARCH(")",L281)-SEARCH("(",L281)-1),"$",""),",","")," ","")),0),0))</f>
        <v>0</v>
      </c>
    </row>
    <row r="282" spans="1:27">
      <c r="A282" s="76">
        <v>45903</v>
      </c>
      <c r="B282" s="77" t="s">
        <v>1202</v>
      </c>
      <c r="C282" s="77" t="s">
        <v>1203</v>
      </c>
      <c r="D282" s="77" t="s">
        <v>1204</v>
      </c>
      <c r="E282" s="77">
        <v>85355</v>
      </c>
      <c r="F282" s="77" t="s">
        <v>1205</v>
      </c>
      <c r="G282" s="77" t="s">
        <v>506</v>
      </c>
      <c r="H282" s="77" t="s">
        <v>1206</v>
      </c>
      <c r="I282" s="77" t="s">
        <v>36</v>
      </c>
      <c r="J282" s="77" t="s">
        <v>37</v>
      </c>
      <c r="K282" s="77" t="s">
        <v>37</v>
      </c>
      <c r="L282" s="77" t="s">
        <v>38</v>
      </c>
      <c r="M282" s="77" t="s">
        <v>37</v>
      </c>
      <c r="N282" s="77" t="s">
        <v>37</v>
      </c>
      <c r="O282" s="77" t="s">
        <v>38</v>
      </c>
      <c r="P282" s="77" t="s">
        <v>39</v>
      </c>
      <c r="Q282" s="76">
        <v>45967</v>
      </c>
      <c r="R282" s="77"/>
      <c r="S282" s="77"/>
      <c r="T282" s="77"/>
      <c r="U282" s="77"/>
      <c r="V282" s="78"/>
      <c r="W282" s="79"/>
      <c r="X282" s="78"/>
      <c r="Y282" s="78"/>
      <c r="Z282" s="78"/>
      <c r="AA282">
        <f>IF(COUNTIF('Call Queue'!$H$6:$H$20,V282)&gt;0,0,IF(AND(ISNUMBER(N282),N282&gt;0),10000000+N282,IF(ISNUMBER(N282*1),IF(N282*1&gt;0,10000000+N282*1,0),0))+IF(ISNUMBER(SEARCH("(",L282)),1000000+IFERROR(VALUE(SUBSTITUTE(SUBSTITUTE(SUBSTITUTE(MID(L282,SEARCH("(",L282)+1,SEARCH(")",L282)-SEARCH("(",L282)-1),"$",""),",","")," ","")),0),0))</f>
        <v>0</v>
      </c>
    </row>
    <row r="283" spans="1:27">
      <c r="A283" s="76">
        <v>45903</v>
      </c>
      <c r="B283" s="77" t="s">
        <v>824</v>
      </c>
      <c r="C283" s="77" t="s">
        <v>328</v>
      </c>
      <c r="D283" s="77" t="s">
        <v>112</v>
      </c>
      <c r="E283" s="77">
        <v>85379</v>
      </c>
      <c r="F283" s="77" t="s">
        <v>310</v>
      </c>
      <c r="G283" s="77" t="s">
        <v>506</v>
      </c>
      <c r="H283" s="77" t="s">
        <v>1207</v>
      </c>
      <c r="I283" s="77" t="s">
        <v>36</v>
      </c>
      <c r="J283" s="77" t="s">
        <v>37</v>
      </c>
      <c r="K283" s="77" t="s">
        <v>37</v>
      </c>
      <c r="L283" s="77" t="s">
        <v>38</v>
      </c>
      <c r="M283" s="77" t="s">
        <v>37</v>
      </c>
      <c r="N283" s="77" t="s">
        <v>37</v>
      </c>
      <c r="O283" s="77" t="s">
        <v>38</v>
      </c>
      <c r="P283" s="77" t="s">
        <v>39</v>
      </c>
      <c r="Q283" s="76">
        <v>45967</v>
      </c>
      <c r="R283" s="77"/>
      <c r="S283" s="77"/>
      <c r="T283" s="77"/>
      <c r="U283" s="77"/>
      <c r="V283" s="78"/>
      <c r="W283" s="79"/>
      <c r="X283" s="78"/>
      <c r="Y283" s="78"/>
      <c r="Z283" s="78"/>
      <c r="AA283">
        <f>IF(COUNTIF('Call Queue'!$H$6:$H$20,V283)&gt;0,0,IF(AND(ISNUMBER(N283),N283&gt;0),10000000+N283,IF(ISNUMBER(N283*1),IF(N283*1&gt;0,10000000+N283*1,0),0))+IF(ISNUMBER(SEARCH("(",L283)),1000000+IFERROR(VALUE(SUBSTITUTE(SUBSTITUTE(SUBSTITUTE(MID(L283,SEARCH("(",L283)+1,SEARCH(")",L283)-SEARCH("(",L283)-1),"$",""),",","")," ","")),0),0))</f>
        <v>0</v>
      </c>
    </row>
    <row r="284" spans="1:27">
      <c r="A284" s="76">
        <v>45903</v>
      </c>
      <c r="B284" s="77" t="s">
        <v>1210</v>
      </c>
      <c r="C284" s="77" t="s">
        <v>115</v>
      </c>
      <c r="D284" s="77" t="s">
        <v>169</v>
      </c>
      <c r="E284" s="77">
        <v>85338</v>
      </c>
      <c r="F284" s="77" t="s">
        <v>1211</v>
      </c>
      <c r="G284" s="77" t="s">
        <v>506</v>
      </c>
      <c r="H284" s="77" t="s">
        <v>1212</v>
      </c>
      <c r="I284" s="77" t="s">
        <v>36</v>
      </c>
      <c r="J284" s="77" t="s">
        <v>37</v>
      </c>
      <c r="K284" s="77" t="s">
        <v>37</v>
      </c>
      <c r="L284" s="77" t="s">
        <v>38</v>
      </c>
      <c r="M284" s="77" t="s">
        <v>37</v>
      </c>
      <c r="N284" s="77" t="s">
        <v>37</v>
      </c>
      <c r="O284" s="77" t="s">
        <v>38</v>
      </c>
      <c r="P284" s="77" t="s">
        <v>39</v>
      </c>
      <c r="Q284" s="76">
        <v>45967</v>
      </c>
      <c r="R284" s="77"/>
      <c r="S284" s="77"/>
      <c r="T284" s="77"/>
      <c r="U284" s="77"/>
      <c r="V284" s="78"/>
      <c r="W284" s="79"/>
      <c r="X284" s="78"/>
      <c r="Y284" s="78"/>
      <c r="Z284" s="78"/>
      <c r="AA284">
        <f>IF(COUNTIF('Call Queue'!$H$6:$H$20,V284)&gt;0,0,IF(AND(ISNUMBER(N284),N284&gt;0),10000000+N284,IF(ISNUMBER(N284*1),IF(N284*1&gt;0,10000000+N284*1,0),0))+IF(ISNUMBER(SEARCH("(",L284)),1000000+IFERROR(VALUE(SUBSTITUTE(SUBSTITUTE(SUBSTITUTE(MID(L284,SEARCH("(",L284)+1,SEARCH(")",L284)-SEARCH("(",L284)-1),"$",""),",","")," ","")),0),0))</f>
        <v>0</v>
      </c>
    </row>
    <row r="285" spans="1:27">
      <c r="A285" s="76">
        <v>45903</v>
      </c>
      <c r="B285" s="77" t="s">
        <v>1213</v>
      </c>
      <c r="C285" s="77" t="s">
        <v>1214</v>
      </c>
      <c r="D285" s="77" t="s">
        <v>169</v>
      </c>
      <c r="E285" s="77">
        <v>85338</v>
      </c>
      <c r="F285" s="77" t="s">
        <v>1215</v>
      </c>
      <c r="G285" s="77" t="s">
        <v>506</v>
      </c>
      <c r="H285" s="77" t="s">
        <v>1216</v>
      </c>
      <c r="I285" s="77" t="s">
        <v>46</v>
      </c>
      <c r="J285" s="77" t="s">
        <v>37</v>
      </c>
      <c r="K285" s="77" t="s">
        <v>37</v>
      </c>
      <c r="L285" s="77" t="s">
        <v>1217</v>
      </c>
      <c r="M285" s="77" t="s">
        <v>37</v>
      </c>
      <c r="N285" s="77" t="s">
        <v>37</v>
      </c>
      <c r="O285" s="77" t="s">
        <v>38</v>
      </c>
      <c r="P285" s="77">
        <v>46301</v>
      </c>
      <c r="Q285" s="76">
        <v>45967</v>
      </c>
      <c r="R285" s="77" t="s">
        <v>1218</v>
      </c>
      <c r="S285" s="77"/>
      <c r="T285" s="77"/>
      <c r="U285" s="77"/>
      <c r="V285" s="78" t="s">
        <v>117</v>
      </c>
      <c r="W285" s="79">
        <v>46032</v>
      </c>
      <c r="X285" s="78" t="s">
        <v>38</v>
      </c>
      <c r="Y285" s="78"/>
      <c r="Z285" s="78" t="s">
        <v>5434</v>
      </c>
      <c r="AA285">
        <f>IF(COUNTIF('Call Queue'!$H$6:$H$20,V285)&gt;0,0,IF(AND(ISNUMBER(N285),N285&gt;0),10000000+N285,IF(ISNUMBER(N285*1),IF(N285*1&gt;0,10000000+N285*1,0),0))+IF(ISNUMBER(SEARCH("(",L285)),1000000+IFERROR(VALUE(SUBSTITUTE(SUBSTITUTE(SUBSTITUTE(MID(L285,SEARCH("(",L285)+1,SEARCH(")",L285)-SEARCH("(",L285)-1),"$",""),",","")," ","")),0),0))</f>
        <v>0</v>
      </c>
    </row>
    <row r="286" spans="1:27">
      <c r="A286" s="76">
        <v>45903</v>
      </c>
      <c r="B286" s="77" t="s">
        <v>1219</v>
      </c>
      <c r="C286" s="77" t="s">
        <v>1220</v>
      </c>
      <c r="D286" s="77" t="s">
        <v>240</v>
      </c>
      <c r="E286" s="77">
        <v>85340</v>
      </c>
      <c r="F286" s="77" t="s">
        <v>31</v>
      </c>
      <c r="G286" s="77" t="s">
        <v>506</v>
      </c>
      <c r="H286" s="77" t="s">
        <v>1221</v>
      </c>
      <c r="I286" s="77" t="s">
        <v>36</v>
      </c>
      <c r="J286" s="77" t="s">
        <v>37</v>
      </c>
      <c r="K286" s="77" t="s">
        <v>37</v>
      </c>
      <c r="L286" s="77" t="s">
        <v>38</v>
      </c>
      <c r="M286" s="77" t="s">
        <v>37</v>
      </c>
      <c r="N286" s="77" t="s">
        <v>37</v>
      </c>
      <c r="O286" s="77" t="s">
        <v>38</v>
      </c>
      <c r="P286" s="77" t="s">
        <v>39</v>
      </c>
      <c r="Q286" s="76">
        <v>45967</v>
      </c>
      <c r="R286" s="77"/>
      <c r="S286" s="77"/>
      <c r="T286" s="77"/>
      <c r="U286" s="77"/>
      <c r="V286" s="78"/>
      <c r="W286" s="79"/>
      <c r="X286" s="78"/>
      <c r="Y286" s="78"/>
      <c r="Z286" s="78"/>
      <c r="AA286">
        <f>IF(COUNTIF('Call Queue'!$H$6:$H$20,V286)&gt;0,0,IF(AND(ISNUMBER(N286),N286&gt;0),10000000+N286,IF(ISNUMBER(N286*1),IF(N286*1&gt;0,10000000+N286*1,0),0))+IF(ISNUMBER(SEARCH("(",L286)),1000000+IFERROR(VALUE(SUBSTITUTE(SUBSTITUTE(SUBSTITUTE(MID(L286,SEARCH("(",L286)+1,SEARCH(")",L286)-SEARCH("(",L286)-1),"$",""),",","")," ","")),0),0))</f>
        <v>0</v>
      </c>
    </row>
    <row r="287" spans="1:27">
      <c r="A287" s="76">
        <v>45903</v>
      </c>
      <c r="B287" s="77" t="s">
        <v>1222</v>
      </c>
      <c r="C287" s="77" t="s">
        <v>1223</v>
      </c>
      <c r="D287" s="77" t="s">
        <v>169</v>
      </c>
      <c r="E287" s="77">
        <v>85395</v>
      </c>
      <c r="F287" s="77" t="s">
        <v>1224</v>
      </c>
      <c r="G287" s="77" t="s">
        <v>506</v>
      </c>
      <c r="H287" s="77" t="s">
        <v>1225</v>
      </c>
      <c r="I287" s="77" t="s">
        <v>46</v>
      </c>
      <c r="J287" s="77" t="s">
        <v>37</v>
      </c>
      <c r="K287" s="77" t="s">
        <v>37</v>
      </c>
      <c r="L287" s="77" t="s">
        <v>38</v>
      </c>
      <c r="M287" s="77" t="s">
        <v>37</v>
      </c>
      <c r="N287" s="77" t="s">
        <v>37</v>
      </c>
      <c r="O287" s="77" t="s">
        <v>38</v>
      </c>
      <c r="P287" s="77" t="s">
        <v>39</v>
      </c>
      <c r="Q287" s="76">
        <v>45967</v>
      </c>
      <c r="R287" s="77"/>
      <c r="S287" s="77"/>
      <c r="T287" s="77"/>
      <c r="U287" s="77"/>
      <c r="V287" s="78"/>
      <c r="W287" s="79"/>
      <c r="X287" s="78"/>
      <c r="Y287" s="78"/>
      <c r="Z287" s="78"/>
      <c r="AA287">
        <f>IF(COUNTIF('Call Queue'!$H$6:$H$20,V287)&gt;0,0,IF(AND(ISNUMBER(N287),N287&gt;0),10000000+N287,IF(ISNUMBER(N287*1),IF(N287*1&gt;0,10000000+N287*1,0),0))+IF(ISNUMBER(SEARCH("(",L287)),1000000+IFERROR(VALUE(SUBSTITUTE(SUBSTITUTE(SUBSTITUTE(MID(L287,SEARCH("(",L287)+1,SEARCH(")",L287)-SEARCH("(",L287)-1),"$",""),",","")," ","")),0),0))</f>
        <v>0</v>
      </c>
    </row>
    <row r="288" spans="1:27">
      <c r="A288" s="76">
        <v>45903</v>
      </c>
      <c r="B288" s="77" t="s">
        <v>1226</v>
      </c>
      <c r="C288" s="77" t="s">
        <v>1227</v>
      </c>
      <c r="D288" s="77" t="s">
        <v>112</v>
      </c>
      <c r="E288" s="77">
        <v>85387</v>
      </c>
      <c r="F288" s="77" t="s">
        <v>31</v>
      </c>
      <c r="G288" s="77" t="s">
        <v>506</v>
      </c>
      <c r="H288" s="77" t="s">
        <v>1228</v>
      </c>
      <c r="I288" s="77" t="s">
        <v>196</v>
      </c>
      <c r="J288" s="77" t="s">
        <v>37</v>
      </c>
      <c r="K288" s="77" t="s">
        <v>37</v>
      </c>
      <c r="L288" s="77" t="s">
        <v>1229</v>
      </c>
      <c r="M288" s="77" t="s">
        <v>37</v>
      </c>
      <c r="N288" s="77" t="s">
        <v>37</v>
      </c>
      <c r="O288" s="77" t="s">
        <v>38</v>
      </c>
      <c r="P288" s="77" t="s">
        <v>39</v>
      </c>
      <c r="Q288" s="76">
        <v>45967</v>
      </c>
      <c r="R288" s="77" t="s">
        <v>1230</v>
      </c>
      <c r="S288" s="77"/>
      <c r="T288" s="77"/>
      <c r="U288" s="77"/>
      <c r="V288" s="78" t="s">
        <v>117</v>
      </c>
      <c r="W288" s="79">
        <v>46060</v>
      </c>
      <c r="X288" s="78" t="s">
        <v>37</v>
      </c>
      <c r="Y288" s="78" t="s">
        <v>5442</v>
      </c>
      <c r="Z288" s="78" t="s">
        <v>5434</v>
      </c>
      <c r="AA288">
        <f>IF(COUNTIF('Call Queue'!$H$6:$H$20,V288)&gt;0,0,IF(AND(ISNUMBER(N288),N288&gt;0),10000000+N288,IF(ISNUMBER(N288*1),IF(N288*1&gt;0,10000000+N288*1,0),0))+IF(ISNUMBER(SEARCH("(",L288)),1000000+IFERROR(VALUE(SUBSTITUTE(SUBSTITUTE(SUBSTITUTE(MID(L288,SEARCH("(",L288)+1,SEARCH(")",L288)-SEARCH("(",L288)-1),"$",""),",","")," ","")),0),0))</f>
        <v>0</v>
      </c>
    </row>
    <row r="289" spans="1:27">
      <c r="A289" s="76">
        <v>45903</v>
      </c>
      <c r="B289" s="77" t="s">
        <v>1233</v>
      </c>
      <c r="C289" s="77" t="s">
        <v>359</v>
      </c>
      <c r="D289" s="77" t="s">
        <v>169</v>
      </c>
      <c r="E289" s="77">
        <v>85338</v>
      </c>
      <c r="F289" s="77" t="s">
        <v>310</v>
      </c>
      <c r="G289" s="77" t="s">
        <v>506</v>
      </c>
      <c r="H289" s="77" t="s">
        <v>1234</v>
      </c>
      <c r="I289" s="77" t="s">
        <v>196</v>
      </c>
      <c r="J289" s="77" t="s">
        <v>37</v>
      </c>
      <c r="K289" s="77" t="s">
        <v>37</v>
      </c>
      <c r="L289" s="77" t="s">
        <v>1235</v>
      </c>
      <c r="M289" s="77" t="s">
        <v>37</v>
      </c>
      <c r="N289" s="77" t="s">
        <v>37</v>
      </c>
      <c r="O289" s="77" t="s">
        <v>38</v>
      </c>
      <c r="P289" s="77">
        <v>45936</v>
      </c>
      <c r="Q289" s="76">
        <v>45967</v>
      </c>
      <c r="R289" s="77" t="s">
        <v>1236</v>
      </c>
      <c r="S289" s="77"/>
      <c r="T289" s="77"/>
      <c r="U289" s="77"/>
      <c r="V289" s="78" t="s">
        <v>117</v>
      </c>
      <c r="W289" s="79">
        <v>46032</v>
      </c>
      <c r="X289" s="78" t="s">
        <v>38</v>
      </c>
      <c r="Y289" s="78"/>
      <c r="Z289" s="78"/>
      <c r="AA289">
        <f>IF(COUNTIF('Call Queue'!$H$6:$H$20,V289)&gt;0,0,IF(AND(ISNUMBER(N289),N289&gt;0),10000000+N289,IF(ISNUMBER(N289*1),IF(N289*1&gt;0,10000000+N289*1,0),0))+IF(ISNUMBER(SEARCH("(",L289)),1000000+IFERROR(VALUE(SUBSTITUTE(SUBSTITUTE(SUBSTITUTE(MID(L289,SEARCH("(",L289)+1,SEARCH(")",L289)-SEARCH("(",L289)-1),"$",""),",","")," ","")),0),0))</f>
        <v>0</v>
      </c>
    </row>
    <row r="290" spans="1:27">
      <c r="A290" s="76">
        <v>45903</v>
      </c>
      <c r="B290" s="77" t="s">
        <v>1237</v>
      </c>
      <c r="C290" s="77" t="s">
        <v>1238</v>
      </c>
      <c r="D290" s="77" t="s">
        <v>169</v>
      </c>
      <c r="E290" s="77">
        <v>85338</v>
      </c>
      <c r="F290" s="77" t="s">
        <v>1239</v>
      </c>
      <c r="G290" s="77" t="s">
        <v>506</v>
      </c>
      <c r="H290" s="77" t="s">
        <v>1240</v>
      </c>
      <c r="I290" s="77" t="s">
        <v>243</v>
      </c>
      <c r="J290" s="77" t="s">
        <v>38</v>
      </c>
      <c r="K290" s="77" t="s">
        <v>37</v>
      </c>
      <c r="L290" s="77" t="s">
        <v>389</v>
      </c>
      <c r="M290" s="77" t="s">
        <v>38</v>
      </c>
      <c r="N290" s="77">
        <v>520.65</v>
      </c>
      <c r="O290" s="77" t="s">
        <v>38</v>
      </c>
      <c r="P290" s="77"/>
      <c r="Q290" s="76">
        <v>45967</v>
      </c>
      <c r="R290" s="77" t="s">
        <v>495</v>
      </c>
      <c r="S290" s="77"/>
      <c r="T290" s="77"/>
      <c r="U290" s="77"/>
      <c r="V290" s="78" t="s">
        <v>117</v>
      </c>
      <c r="W290" s="79">
        <v>46032</v>
      </c>
      <c r="X290" s="78" t="s">
        <v>38</v>
      </c>
      <c r="Y290" s="78"/>
      <c r="Z290" s="78" t="s">
        <v>5434</v>
      </c>
      <c r="AA290">
        <f>IF(COUNTIF('Call Queue'!$H$6:$H$20,V290)&gt;0,0,IF(AND(ISNUMBER(N290),N290&gt;0),10000000+N290,IF(ISNUMBER(N290*1),IF(N290*1&gt;0,10000000+N290*1,0),0))+IF(ISNUMBER(SEARCH("(",L290)),1000000+IFERROR(VALUE(SUBSTITUTE(SUBSTITUTE(SUBSTITUTE(MID(L290,SEARCH("(",L290)+1,SEARCH(")",L290)-SEARCH("(",L290)-1),"$",""),",","")," ","")),0),0))</f>
        <v>0</v>
      </c>
    </row>
    <row r="291" spans="1:27">
      <c r="A291" s="76">
        <v>45903</v>
      </c>
      <c r="B291" s="77" t="s">
        <v>1241</v>
      </c>
      <c r="C291" s="77" t="s">
        <v>1242</v>
      </c>
      <c r="D291" s="77" t="s">
        <v>169</v>
      </c>
      <c r="E291" s="77">
        <v>85338</v>
      </c>
      <c r="F291" s="77" t="s">
        <v>31</v>
      </c>
      <c r="G291" s="77" t="s">
        <v>506</v>
      </c>
      <c r="H291" s="77" t="s">
        <v>1243</v>
      </c>
      <c r="I291" s="77" t="s">
        <v>196</v>
      </c>
      <c r="J291" s="77" t="s">
        <v>37</v>
      </c>
      <c r="K291" s="77" t="s">
        <v>37</v>
      </c>
      <c r="L291" s="77" t="s">
        <v>1244</v>
      </c>
      <c r="M291" s="77" t="s">
        <v>37</v>
      </c>
      <c r="N291" s="77" t="s">
        <v>37</v>
      </c>
      <c r="O291" s="77" t="s">
        <v>38</v>
      </c>
      <c r="P291" s="77">
        <v>45936</v>
      </c>
      <c r="Q291" s="76">
        <v>45967</v>
      </c>
      <c r="R291" s="77" t="s">
        <v>1245</v>
      </c>
      <c r="S291" s="77"/>
      <c r="T291" s="77"/>
      <c r="U291" s="77"/>
      <c r="V291" s="78" t="s">
        <v>117</v>
      </c>
      <c r="W291" s="79">
        <v>46032</v>
      </c>
      <c r="X291" s="78" t="s">
        <v>38</v>
      </c>
      <c r="Y291" s="78"/>
      <c r="Z291" s="78"/>
      <c r="AA291">
        <f>IF(COUNTIF('Call Queue'!$H$6:$H$20,V291)&gt;0,0,IF(AND(ISNUMBER(N291),N291&gt;0),10000000+N291,IF(ISNUMBER(N291*1),IF(N291*1&gt;0,10000000+N291*1,0),0))+IF(ISNUMBER(SEARCH("(",L291)),1000000+IFERROR(VALUE(SUBSTITUTE(SUBSTITUTE(SUBSTITUTE(MID(L291,SEARCH("(",L291)+1,SEARCH(")",L291)-SEARCH("(",L291)-1),"$",""),",","")," ","")),0),0))</f>
        <v>0</v>
      </c>
    </row>
    <row r="292" spans="1:27">
      <c r="A292" s="76">
        <v>45903</v>
      </c>
      <c r="B292" s="77" t="s">
        <v>1247</v>
      </c>
      <c r="C292" s="77" t="s">
        <v>1248</v>
      </c>
      <c r="D292" s="77" t="s">
        <v>370</v>
      </c>
      <c r="E292" s="77">
        <v>85225</v>
      </c>
      <c r="F292" s="77" t="s">
        <v>310</v>
      </c>
      <c r="G292" s="77" t="s">
        <v>506</v>
      </c>
      <c r="H292" s="77" t="s">
        <v>1249</v>
      </c>
      <c r="I292" s="77" t="s">
        <v>36</v>
      </c>
      <c r="J292" s="77" t="s">
        <v>37</v>
      </c>
      <c r="K292" s="77" t="s">
        <v>37</v>
      </c>
      <c r="L292" s="77" t="s">
        <v>38</v>
      </c>
      <c r="M292" s="77" t="s">
        <v>37</v>
      </c>
      <c r="N292" s="77" t="s">
        <v>37</v>
      </c>
      <c r="O292" s="77" t="s">
        <v>38</v>
      </c>
      <c r="P292" s="77" t="s">
        <v>39</v>
      </c>
      <c r="Q292" s="76">
        <v>45967</v>
      </c>
      <c r="R292" s="77"/>
      <c r="S292" s="77"/>
      <c r="T292" s="77"/>
      <c r="U292" s="77"/>
      <c r="V292" s="78"/>
      <c r="W292" s="79"/>
      <c r="X292" s="78"/>
      <c r="Y292" s="78"/>
      <c r="Z292" s="78"/>
      <c r="AA292">
        <f>IF(COUNTIF('Call Queue'!$H$6:$H$20,V292)&gt;0,0,IF(AND(ISNUMBER(N292),N292&gt;0),10000000+N292,IF(ISNUMBER(N292*1),IF(N292*1&gt;0,10000000+N292*1,0),0))+IF(ISNUMBER(SEARCH("(",L292)),1000000+IFERROR(VALUE(SUBSTITUTE(SUBSTITUTE(SUBSTITUTE(MID(L292,SEARCH("(",L292)+1,SEARCH(")",L292)-SEARCH("(",L292)-1),"$",""),",","")," ","")),0),0))</f>
        <v>0</v>
      </c>
    </row>
    <row r="293" spans="1:27">
      <c r="A293" s="76">
        <v>45903</v>
      </c>
      <c r="B293" s="77" t="s">
        <v>1250</v>
      </c>
      <c r="C293" s="77" t="s">
        <v>156</v>
      </c>
      <c r="D293" s="77" t="s">
        <v>63</v>
      </c>
      <c r="E293" s="77">
        <v>85032</v>
      </c>
      <c r="F293" s="77" t="s">
        <v>310</v>
      </c>
      <c r="G293" s="77" t="s">
        <v>506</v>
      </c>
      <c r="H293" s="77" t="s">
        <v>1251</v>
      </c>
      <c r="I293" s="77" t="s">
        <v>196</v>
      </c>
      <c r="J293" s="77" t="s">
        <v>37</v>
      </c>
      <c r="K293" s="77" t="s">
        <v>37</v>
      </c>
      <c r="L293" s="77" t="s">
        <v>1252</v>
      </c>
      <c r="M293" s="77" t="s">
        <v>37</v>
      </c>
      <c r="N293" s="77" t="s">
        <v>37</v>
      </c>
      <c r="O293" s="77" t="s">
        <v>38</v>
      </c>
      <c r="P293" s="77">
        <v>45936</v>
      </c>
      <c r="Q293" s="76">
        <v>45967</v>
      </c>
      <c r="R293" s="77" t="s">
        <v>1245</v>
      </c>
      <c r="S293" s="77"/>
      <c r="T293" s="77"/>
      <c r="U293" s="77"/>
      <c r="V293" s="78" t="s">
        <v>117</v>
      </c>
      <c r="W293" s="79">
        <v>46032</v>
      </c>
      <c r="X293" s="78" t="s">
        <v>38</v>
      </c>
      <c r="Y293" s="78"/>
      <c r="Z293" s="78"/>
      <c r="AA293">
        <f>IF(COUNTIF('Call Queue'!$H$6:$H$20,V293)&gt;0,0,IF(AND(ISNUMBER(N293),N293&gt;0),10000000+N293,IF(ISNUMBER(N293*1),IF(N293*1&gt;0,10000000+N293*1,0),0))+IF(ISNUMBER(SEARCH("(",L293)),1000000+IFERROR(VALUE(SUBSTITUTE(SUBSTITUTE(SUBSTITUTE(MID(L293,SEARCH("(",L293)+1,SEARCH(")",L293)-SEARCH("(",L293)-1),"$",""),",","")," ","")),0),0))</f>
        <v>0</v>
      </c>
    </row>
    <row r="294" spans="1:27">
      <c r="A294" s="76">
        <v>45903</v>
      </c>
      <c r="B294" s="77" t="s">
        <v>134</v>
      </c>
      <c r="C294" s="77" t="s">
        <v>456</v>
      </c>
      <c r="D294" s="77" t="s">
        <v>24</v>
      </c>
      <c r="E294" s="77">
        <v>85306</v>
      </c>
      <c r="F294" s="77" t="s">
        <v>310</v>
      </c>
      <c r="G294" s="77" t="s">
        <v>506</v>
      </c>
      <c r="H294" s="77" t="s">
        <v>1253</v>
      </c>
      <c r="I294" s="77" t="s">
        <v>196</v>
      </c>
      <c r="J294" s="77" t="s">
        <v>37</v>
      </c>
      <c r="K294" s="77" t="s">
        <v>37</v>
      </c>
      <c r="L294" s="77" t="s">
        <v>1254</v>
      </c>
      <c r="M294" s="77" t="s">
        <v>37</v>
      </c>
      <c r="N294" s="77" t="s">
        <v>37</v>
      </c>
      <c r="O294" s="77" t="s">
        <v>38</v>
      </c>
      <c r="P294" s="77" t="s">
        <v>39</v>
      </c>
      <c r="Q294" s="76">
        <v>45967</v>
      </c>
      <c r="R294" s="77"/>
      <c r="S294" s="77"/>
      <c r="T294" s="77"/>
      <c r="U294" s="77"/>
      <c r="V294" s="78" t="s">
        <v>117</v>
      </c>
      <c r="W294" s="79">
        <v>46032</v>
      </c>
      <c r="X294" s="78" t="s">
        <v>38</v>
      </c>
      <c r="Y294" s="78"/>
      <c r="Z294" s="78"/>
      <c r="AA294">
        <f>IF(COUNTIF('Call Queue'!$H$6:$H$20,V294)&gt;0,0,IF(AND(ISNUMBER(N294),N294&gt;0),10000000+N294,IF(ISNUMBER(N294*1),IF(N294*1&gt;0,10000000+N294*1,0),0))+IF(ISNUMBER(SEARCH("(",L294)),1000000+IFERROR(VALUE(SUBSTITUTE(SUBSTITUTE(SUBSTITUTE(MID(L294,SEARCH("(",L294)+1,SEARCH(")",L294)-SEARCH("(",L294)-1),"$",""),",","")," ","")),0),0))</f>
        <v>0</v>
      </c>
    </row>
    <row r="295" spans="1:27">
      <c r="A295" s="76">
        <v>45903</v>
      </c>
      <c r="B295" s="77" t="s">
        <v>1255</v>
      </c>
      <c r="C295" s="77" t="s">
        <v>1092</v>
      </c>
      <c r="D295" s="77" t="s">
        <v>169</v>
      </c>
      <c r="E295" s="77">
        <v>85338</v>
      </c>
      <c r="F295" s="77" t="s">
        <v>761</v>
      </c>
      <c r="G295" s="77" t="s">
        <v>506</v>
      </c>
      <c r="H295" s="77" t="s">
        <v>1256</v>
      </c>
      <c r="I295" s="77" t="s">
        <v>196</v>
      </c>
      <c r="J295" s="77" t="s">
        <v>37</v>
      </c>
      <c r="K295" s="77" t="s">
        <v>37</v>
      </c>
      <c r="L295" s="77" t="s">
        <v>1257</v>
      </c>
      <c r="M295" s="77" t="s">
        <v>37</v>
      </c>
      <c r="N295" s="77" t="s">
        <v>37</v>
      </c>
      <c r="O295" s="77" t="s">
        <v>38</v>
      </c>
      <c r="P295" s="77" t="s">
        <v>39</v>
      </c>
      <c r="Q295" s="76">
        <v>45967</v>
      </c>
      <c r="R295" s="77"/>
      <c r="S295" s="77"/>
      <c r="T295" s="77"/>
      <c r="U295" s="77"/>
      <c r="V295" s="78" t="s">
        <v>117</v>
      </c>
      <c r="W295" s="79">
        <v>46032</v>
      </c>
      <c r="X295" s="78" t="s">
        <v>38</v>
      </c>
      <c r="Y295" s="78"/>
      <c r="Z295" s="78"/>
      <c r="AA295">
        <f>IF(COUNTIF('Call Queue'!$H$6:$H$20,V295)&gt;0,0,IF(AND(ISNUMBER(N295),N295&gt;0),10000000+N295,IF(ISNUMBER(N295*1),IF(N295*1&gt;0,10000000+N295*1,0),0))+IF(ISNUMBER(SEARCH("(",L295)),1000000+IFERROR(VALUE(SUBSTITUTE(SUBSTITUTE(SUBSTITUTE(MID(L295,SEARCH("(",L295)+1,SEARCH(")",L295)-SEARCH("(",L295)-1),"$",""),",","")," ","")),0),0))</f>
        <v>0</v>
      </c>
    </row>
    <row r="296" spans="1:27">
      <c r="A296" s="76">
        <v>45903</v>
      </c>
      <c r="B296" s="77" t="s">
        <v>1258</v>
      </c>
      <c r="C296" s="77" t="s">
        <v>1259</v>
      </c>
      <c r="D296" s="77" t="s">
        <v>136</v>
      </c>
      <c r="E296" s="77">
        <v>85377</v>
      </c>
      <c r="F296" s="77" t="s">
        <v>1260</v>
      </c>
      <c r="G296" s="77" t="s">
        <v>506</v>
      </c>
      <c r="H296" s="77" t="s">
        <v>1261</v>
      </c>
      <c r="I296" s="77" t="s">
        <v>36</v>
      </c>
      <c r="J296" s="77" t="s">
        <v>37</v>
      </c>
      <c r="K296" s="77" t="s">
        <v>37</v>
      </c>
      <c r="L296" s="77" t="s">
        <v>38</v>
      </c>
      <c r="M296" s="77" t="s">
        <v>37</v>
      </c>
      <c r="N296" s="77" t="s">
        <v>37</v>
      </c>
      <c r="O296" s="77" t="s">
        <v>38</v>
      </c>
      <c r="P296" s="77" t="s">
        <v>39</v>
      </c>
      <c r="Q296" s="76">
        <v>45967</v>
      </c>
      <c r="R296" s="77" t="s">
        <v>1262</v>
      </c>
      <c r="S296" s="77"/>
      <c r="T296" s="77"/>
      <c r="U296" s="77"/>
      <c r="V296" s="78"/>
      <c r="W296" s="79"/>
      <c r="X296" s="78"/>
      <c r="Y296" s="78"/>
      <c r="Z296" s="78"/>
      <c r="AA296">
        <f>IF(COUNTIF('Call Queue'!$H$6:$H$20,V296)&gt;0,0,IF(AND(ISNUMBER(N296),N296&gt;0),10000000+N296,IF(ISNUMBER(N296*1),IF(N296*1&gt;0,10000000+N296*1,0),0))+IF(ISNUMBER(SEARCH("(",L296)),1000000+IFERROR(VALUE(SUBSTITUTE(SUBSTITUTE(SUBSTITUTE(MID(L296,SEARCH("(",L296)+1,SEARCH(")",L296)-SEARCH("(",L296)-1),"$",""),",","")," ","")),0),0))</f>
        <v>0</v>
      </c>
    </row>
    <row r="297" spans="1:27">
      <c r="A297" s="76">
        <v>45903</v>
      </c>
      <c r="B297" s="77" t="s">
        <v>1185</v>
      </c>
      <c r="C297" s="77" t="s">
        <v>1268</v>
      </c>
      <c r="D297" s="77" t="s">
        <v>169</v>
      </c>
      <c r="E297" s="77">
        <v>85338</v>
      </c>
      <c r="F297" s="77" t="s">
        <v>1269</v>
      </c>
      <c r="G297" s="77" t="s">
        <v>506</v>
      </c>
      <c r="H297" s="77" t="s">
        <v>1270</v>
      </c>
      <c r="I297" s="77" t="s">
        <v>418</v>
      </c>
      <c r="J297" s="77" t="s">
        <v>37</v>
      </c>
      <c r="K297" s="77" t="s">
        <v>37</v>
      </c>
      <c r="L297" s="77" t="s">
        <v>389</v>
      </c>
      <c r="M297" s="77" t="s">
        <v>37</v>
      </c>
      <c r="N297" s="77" t="s">
        <v>37</v>
      </c>
      <c r="O297" s="77" t="s">
        <v>38</v>
      </c>
      <c r="P297" s="77" t="s">
        <v>39</v>
      </c>
      <c r="Q297" s="76">
        <v>45967</v>
      </c>
      <c r="R297" s="77"/>
      <c r="S297" s="77"/>
      <c r="T297" s="77"/>
      <c r="U297" s="77"/>
      <c r="V297" s="78"/>
      <c r="W297" s="79"/>
      <c r="X297" s="78"/>
      <c r="Y297" s="78"/>
      <c r="Z297" s="78"/>
      <c r="AA297">
        <f>IF(COUNTIF('Call Queue'!$H$6:$H$20,V297)&gt;0,0,IF(AND(ISNUMBER(N297),N297&gt;0),10000000+N297,IF(ISNUMBER(N297*1),IF(N297*1&gt;0,10000000+N297*1,0),0))+IF(ISNUMBER(SEARCH("(",L297)),1000000+IFERROR(VALUE(SUBSTITUTE(SUBSTITUTE(SUBSTITUTE(MID(L297,SEARCH("(",L297)+1,SEARCH(")",L297)-SEARCH("(",L297)-1),"$",""),",","")," ","")),0),0))</f>
        <v>0</v>
      </c>
    </row>
    <row r="298" spans="1:27">
      <c r="A298" s="76">
        <v>45903</v>
      </c>
      <c r="B298" s="77" t="s">
        <v>1271</v>
      </c>
      <c r="C298" s="77" t="s">
        <v>75</v>
      </c>
      <c r="D298" s="77" t="s">
        <v>169</v>
      </c>
      <c r="E298" s="77">
        <v>85338</v>
      </c>
      <c r="F298" s="77" t="s">
        <v>1272</v>
      </c>
      <c r="G298" s="77" t="s">
        <v>506</v>
      </c>
      <c r="H298" s="77" t="s">
        <v>1273</v>
      </c>
      <c r="I298" s="77" t="s">
        <v>36</v>
      </c>
      <c r="J298" s="77" t="s">
        <v>37</v>
      </c>
      <c r="K298" s="77" t="s">
        <v>37</v>
      </c>
      <c r="L298" s="77" t="s">
        <v>38</v>
      </c>
      <c r="M298" s="77" t="s">
        <v>37</v>
      </c>
      <c r="N298" s="77" t="s">
        <v>37</v>
      </c>
      <c r="O298" s="77" t="s">
        <v>38</v>
      </c>
      <c r="P298" s="77" t="s">
        <v>39</v>
      </c>
      <c r="Q298" s="76">
        <v>45967</v>
      </c>
      <c r="R298" s="77"/>
      <c r="S298" s="77"/>
      <c r="T298" s="77"/>
      <c r="U298" s="77"/>
      <c r="V298" s="78"/>
      <c r="W298" s="79"/>
      <c r="X298" s="78"/>
      <c r="Y298" s="78"/>
      <c r="Z298" s="78"/>
      <c r="AA298">
        <f>IF(COUNTIF('Call Queue'!$H$6:$H$20,V298)&gt;0,0,IF(AND(ISNUMBER(N298),N298&gt;0),10000000+N298,IF(ISNUMBER(N298*1),IF(N298*1&gt;0,10000000+N298*1,0),0))+IF(ISNUMBER(SEARCH("(",L298)),1000000+IFERROR(VALUE(SUBSTITUTE(SUBSTITUTE(SUBSTITUTE(MID(L298,SEARCH("(",L298)+1,SEARCH(")",L298)-SEARCH("(",L298)-1),"$",""),",","")," ","")),0),0))</f>
        <v>0</v>
      </c>
    </row>
    <row r="299" spans="1:27">
      <c r="A299" s="76">
        <v>45903</v>
      </c>
      <c r="B299" s="77" t="s">
        <v>1274</v>
      </c>
      <c r="C299" s="77" t="s">
        <v>1275</v>
      </c>
      <c r="D299" s="77" t="s">
        <v>125</v>
      </c>
      <c r="E299" s="77">
        <v>85260</v>
      </c>
      <c r="F299" s="77" t="s">
        <v>310</v>
      </c>
      <c r="G299" s="77" t="s">
        <v>506</v>
      </c>
      <c r="H299" s="77" t="s">
        <v>1276</v>
      </c>
      <c r="I299" s="77" t="s">
        <v>36</v>
      </c>
      <c r="J299" s="77" t="s">
        <v>37</v>
      </c>
      <c r="K299" s="77" t="s">
        <v>37</v>
      </c>
      <c r="L299" s="77" t="s">
        <v>38</v>
      </c>
      <c r="M299" s="77" t="s">
        <v>37</v>
      </c>
      <c r="N299" s="77" t="s">
        <v>37</v>
      </c>
      <c r="O299" s="77" t="s">
        <v>38</v>
      </c>
      <c r="P299" s="77" t="s">
        <v>39</v>
      </c>
      <c r="Q299" s="76">
        <v>45967</v>
      </c>
      <c r="R299" s="77"/>
      <c r="S299" s="77"/>
      <c r="T299" s="77"/>
      <c r="U299" s="77"/>
      <c r="V299" s="78"/>
      <c r="W299" s="79"/>
      <c r="X299" s="78"/>
      <c r="Y299" s="78"/>
      <c r="Z299" s="78"/>
      <c r="AA299">
        <f>IF(COUNTIF('Call Queue'!$H$6:$H$20,V299)&gt;0,0,IF(AND(ISNUMBER(N299),N299&gt;0),10000000+N299,IF(ISNUMBER(N299*1),IF(N299*1&gt;0,10000000+N299*1,0),0))+IF(ISNUMBER(SEARCH("(",L299)),1000000+IFERROR(VALUE(SUBSTITUTE(SUBSTITUTE(SUBSTITUTE(MID(L299,SEARCH("(",L299)+1,SEARCH(")",L299)-SEARCH("(",L299)-1),"$",""),",","")," ","")),0),0))</f>
        <v>0</v>
      </c>
    </row>
    <row r="300" spans="1:27">
      <c r="A300" s="76">
        <v>45903</v>
      </c>
      <c r="B300" s="77" t="s">
        <v>1280</v>
      </c>
      <c r="C300" s="77" t="s">
        <v>911</v>
      </c>
      <c r="D300" s="77" t="s">
        <v>112</v>
      </c>
      <c r="E300" s="77">
        <v>85374</v>
      </c>
      <c r="F300" s="77" t="s">
        <v>31</v>
      </c>
      <c r="G300" s="77" t="s">
        <v>506</v>
      </c>
      <c r="H300" s="77" t="s">
        <v>1281</v>
      </c>
      <c r="I300" s="77" t="s">
        <v>36</v>
      </c>
      <c r="J300" s="77" t="s">
        <v>37</v>
      </c>
      <c r="K300" s="77" t="s">
        <v>37</v>
      </c>
      <c r="L300" s="77" t="s">
        <v>38</v>
      </c>
      <c r="M300" s="77" t="s">
        <v>37</v>
      </c>
      <c r="N300" s="77" t="s">
        <v>37</v>
      </c>
      <c r="O300" s="77" t="s">
        <v>38</v>
      </c>
      <c r="P300" s="77" t="s">
        <v>39</v>
      </c>
      <c r="Q300" s="76">
        <v>45967</v>
      </c>
      <c r="R300" s="77"/>
      <c r="S300" s="77"/>
      <c r="T300" s="77"/>
      <c r="U300" s="77"/>
      <c r="V300" s="78"/>
      <c r="W300" s="79"/>
      <c r="X300" s="78"/>
      <c r="Y300" s="78"/>
      <c r="Z300" s="78"/>
      <c r="AA300">
        <f>IF(COUNTIF('Call Queue'!$H$6:$H$20,V300)&gt;0,0,IF(AND(ISNUMBER(N300),N300&gt;0),10000000+N300,IF(ISNUMBER(N300*1),IF(N300*1&gt;0,10000000+N300*1,0),0))+IF(ISNUMBER(SEARCH("(",L300)),1000000+IFERROR(VALUE(SUBSTITUTE(SUBSTITUTE(SUBSTITUTE(MID(L300,SEARCH("(",L300)+1,SEARCH(")",L300)-SEARCH("(",L300)-1),"$",""),",","")," ","")),0),0))</f>
        <v>0</v>
      </c>
    </row>
    <row r="301" spans="1:27">
      <c r="A301" s="76">
        <v>45903</v>
      </c>
      <c r="B301" s="77" t="s">
        <v>1282</v>
      </c>
      <c r="C301" s="77" t="s">
        <v>471</v>
      </c>
      <c r="D301" s="77" t="s">
        <v>619</v>
      </c>
      <c r="E301" s="77">
        <v>85365</v>
      </c>
      <c r="F301" s="77" t="s">
        <v>1283</v>
      </c>
      <c r="G301" s="77" t="s">
        <v>506</v>
      </c>
      <c r="H301" s="77" t="s">
        <v>1284</v>
      </c>
      <c r="I301" s="77" t="s">
        <v>36</v>
      </c>
      <c r="J301" s="77" t="s">
        <v>37</v>
      </c>
      <c r="K301" s="77" t="s">
        <v>37</v>
      </c>
      <c r="L301" s="77" t="s">
        <v>38</v>
      </c>
      <c r="M301" s="77" t="s">
        <v>37</v>
      </c>
      <c r="N301" s="77" t="s">
        <v>37</v>
      </c>
      <c r="O301" s="77" t="s">
        <v>38</v>
      </c>
      <c r="P301" s="77" t="s">
        <v>39</v>
      </c>
      <c r="Q301" s="76">
        <v>45967</v>
      </c>
      <c r="R301" s="77"/>
      <c r="S301" s="77"/>
      <c r="T301" s="77"/>
      <c r="U301" s="77"/>
      <c r="V301" s="78"/>
      <c r="W301" s="79"/>
      <c r="X301" s="78"/>
      <c r="Y301" s="78"/>
      <c r="Z301" s="78"/>
      <c r="AA301">
        <f>IF(COUNTIF('Call Queue'!$H$6:$H$20,V301)&gt;0,0,IF(AND(ISNUMBER(N301),N301&gt;0),10000000+N301,IF(ISNUMBER(N301*1),IF(N301*1&gt;0,10000000+N301*1,0),0))+IF(ISNUMBER(SEARCH("(",L301)),1000000+IFERROR(VALUE(SUBSTITUTE(SUBSTITUTE(SUBSTITUTE(MID(L301,SEARCH("(",L301)+1,SEARCH(")",L301)-SEARCH("(",L301)-1),"$",""),",","")," ","")),0),0))</f>
        <v>0</v>
      </c>
    </row>
    <row r="302" spans="1:27">
      <c r="A302" s="76">
        <v>45903</v>
      </c>
      <c r="B302" s="77" t="s">
        <v>1285</v>
      </c>
      <c r="C302" s="77" t="s">
        <v>597</v>
      </c>
      <c r="D302" s="77" t="s">
        <v>523</v>
      </c>
      <c r="E302" s="77">
        <v>85323</v>
      </c>
      <c r="F302" s="77" t="s">
        <v>1286</v>
      </c>
      <c r="G302" s="77" t="s">
        <v>506</v>
      </c>
      <c r="H302" s="77" t="s">
        <v>1287</v>
      </c>
      <c r="I302" s="77" t="s">
        <v>196</v>
      </c>
      <c r="J302" s="77" t="s">
        <v>37</v>
      </c>
      <c r="K302" s="77" t="s">
        <v>37</v>
      </c>
      <c r="L302" s="77" t="s">
        <v>38</v>
      </c>
      <c r="M302" s="77" t="s">
        <v>37</v>
      </c>
      <c r="N302" s="77" t="s">
        <v>37</v>
      </c>
      <c r="O302" s="77" t="s">
        <v>38</v>
      </c>
      <c r="P302" s="77" t="s">
        <v>39</v>
      </c>
      <c r="Q302" s="76">
        <v>45967</v>
      </c>
      <c r="R302" s="77"/>
      <c r="S302" s="77"/>
      <c r="T302" s="77"/>
      <c r="U302" s="77"/>
      <c r="V302" s="78"/>
      <c r="W302" s="79"/>
      <c r="X302" s="78"/>
      <c r="Y302" s="78"/>
      <c r="Z302" s="78"/>
      <c r="AA302">
        <f>IF(COUNTIF('Call Queue'!$H$6:$H$20,V302)&gt;0,0,IF(AND(ISNUMBER(N302),N302&gt;0),10000000+N302,IF(ISNUMBER(N302*1),IF(N302*1&gt;0,10000000+N302*1,0),0))+IF(ISNUMBER(SEARCH("(",L302)),1000000+IFERROR(VALUE(SUBSTITUTE(SUBSTITUTE(SUBSTITUTE(MID(L302,SEARCH("(",L302)+1,SEARCH(")",L302)-SEARCH("(",L302)-1),"$",""),",","")," ","")),0),0))</f>
        <v>0</v>
      </c>
    </row>
    <row r="303" spans="1:27">
      <c r="A303" s="76">
        <v>45903</v>
      </c>
      <c r="B303" s="77" t="s">
        <v>1290</v>
      </c>
      <c r="C303" s="77" t="s">
        <v>312</v>
      </c>
      <c r="D303" s="77" t="s">
        <v>169</v>
      </c>
      <c r="E303" s="77">
        <v>85338</v>
      </c>
      <c r="F303" s="77" t="s">
        <v>31</v>
      </c>
      <c r="G303" s="77" t="s">
        <v>506</v>
      </c>
      <c r="H303" s="77" t="s">
        <v>1291</v>
      </c>
      <c r="I303" s="77" t="s">
        <v>250</v>
      </c>
      <c r="J303" s="77" t="s">
        <v>37</v>
      </c>
      <c r="K303" s="77" t="s">
        <v>37</v>
      </c>
      <c r="L303" s="77" t="s">
        <v>38</v>
      </c>
      <c r="M303" s="77" t="s">
        <v>37</v>
      </c>
      <c r="N303" s="77" t="s">
        <v>37</v>
      </c>
      <c r="O303" s="77" t="s">
        <v>38</v>
      </c>
      <c r="P303" s="77" t="s">
        <v>39</v>
      </c>
      <c r="Q303" s="76">
        <v>45967</v>
      </c>
      <c r="R303" s="77"/>
      <c r="S303" s="77"/>
      <c r="T303" s="77"/>
      <c r="U303" s="77"/>
      <c r="V303" s="78"/>
      <c r="W303" s="79"/>
      <c r="X303" s="78"/>
      <c r="Y303" s="78"/>
      <c r="Z303" s="78"/>
      <c r="AA303">
        <f>IF(COUNTIF('Call Queue'!$H$6:$H$20,V303)&gt;0,0,IF(AND(ISNUMBER(N303),N303&gt;0),10000000+N303,IF(ISNUMBER(N303*1),IF(N303*1&gt;0,10000000+N303*1,0),0))+IF(ISNUMBER(SEARCH("(",L303)),1000000+IFERROR(VALUE(SUBSTITUTE(SUBSTITUTE(SUBSTITUTE(MID(L303,SEARCH("(",L303)+1,SEARCH(")",L303)-SEARCH("(",L303)-1),"$",""),",","")," ","")),0),0))</f>
        <v>0</v>
      </c>
    </row>
    <row r="304" spans="1:27">
      <c r="A304" s="76">
        <v>45903</v>
      </c>
      <c r="B304" s="77" t="s">
        <v>1292</v>
      </c>
      <c r="C304" s="77" t="s">
        <v>1293</v>
      </c>
      <c r="D304" s="77" t="s">
        <v>63</v>
      </c>
      <c r="E304" s="77">
        <v>85085</v>
      </c>
      <c r="F304" s="77" t="s">
        <v>310</v>
      </c>
      <c r="G304" s="77" t="s">
        <v>506</v>
      </c>
      <c r="H304" s="77" t="s">
        <v>1294</v>
      </c>
      <c r="I304" s="77" t="s">
        <v>196</v>
      </c>
      <c r="J304" s="77" t="s">
        <v>37</v>
      </c>
      <c r="K304" s="77" t="s">
        <v>37</v>
      </c>
      <c r="L304" s="77" t="s">
        <v>1295</v>
      </c>
      <c r="M304" s="77" t="s">
        <v>37</v>
      </c>
      <c r="N304" s="77" t="s">
        <v>37</v>
      </c>
      <c r="O304" s="77" t="s">
        <v>38</v>
      </c>
      <c r="P304" s="77">
        <v>45936</v>
      </c>
      <c r="Q304" s="76">
        <v>45967</v>
      </c>
      <c r="R304" s="77" t="s">
        <v>1296</v>
      </c>
      <c r="S304" s="77"/>
      <c r="T304" s="77"/>
      <c r="U304" s="77"/>
      <c r="V304" s="78" t="s">
        <v>117</v>
      </c>
      <c r="W304" s="79">
        <v>46039</v>
      </c>
      <c r="X304" s="78" t="s">
        <v>38</v>
      </c>
      <c r="Y304" s="78"/>
      <c r="Z304" s="78"/>
      <c r="AA304">
        <f>IF(COUNTIF('Call Queue'!$H$6:$H$20,V304)&gt;0,0,IF(AND(ISNUMBER(N304),N304&gt;0),10000000+N304,IF(ISNUMBER(N304*1),IF(N304*1&gt;0,10000000+N304*1,0),0))+IF(ISNUMBER(SEARCH("(",L304)),1000000+IFERROR(VALUE(SUBSTITUTE(SUBSTITUTE(SUBSTITUTE(MID(L304,SEARCH("(",L304)+1,SEARCH(")",L304)-SEARCH("(",L304)-1),"$",""),",","")," ","")),0),0))</f>
        <v>0</v>
      </c>
    </row>
    <row r="305" spans="1:27">
      <c r="A305" s="76">
        <v>45903</v>
      </c>
      <c r="B305" s="77" t="s">
        <v>1300</v>
      </c>
      <c r="C305" s="77" t="s">
        <v>1301</v>
      </c>
      <c r="D305" s="77" t="s">
        <v>1302</v>
      </c>
      <c r="E305" s="77">
        <v>85390</v>
      </c>
      <c r="F305" s="77" t="s">
        <v>31</v>
      </c>
      <c r="G305" s="77" t="s">
        <v>506</v>
      </c>
      <c r="H305" s="77" t="s">
        <v>1303</v>
      </c>
      <c r="I305" s="77" t="s">
        <v>196</v>
      </c>
      <c r="J305" s="77" t="s">
        <v>37</v>
      </c>
      <c r="K305" s="77" t="s">
        <v>37</v>
      </c>
      <c r="L305" s="77" t="s">
        <v>38</v>
      </c>
      <c r="M305" s="77" t="s">
        <v>37</v>
      </c>
      <c r="N305" s="77" t="s">
        <v>37</v>
      </c>
      <c r="O305" s="77" t="s">
        <v>38</v>
      </c>
      <c r="P305" s="77" t="s">
        <v>39</v>
      </c>
      <c r="Q305" s="76">
        <v>45967</v>
      </c>
      <c r="R305" s="77" t="s">
        <v>495</v>
      </c>
      <c r="S305" s="77"/>
      <c r="T305" s="77"/>
      <c r="U305" s="77"/>
      <c r="V305" s="78"/>
      <c r="W305" s="79"/>
      <c r="X305" s="78"/>
      <c r="Y305" s="78"/>
      <c r="Z305" s="78"/>
      <c r="AA305">
        <f>IF(COUNTIF('Call Queue'!$H$6:$H$20,V305)&gt;0,0,IF(AND(ISNUMBER(N305),N305&gt;0),10000000+N305,IF(ISNUMBER(N305*1),IF(N305*1&gt;0,10000000+N305*1,0),0))+IF(ISNUMBER(SEARCH("(",L305)),1000000+IFERROR(VALUE(SUBSTITUTE(SUBSTITUTE(SUBSTITUTE(MID(L305,SEARCH("(",L305)+1,SEARCH(")",L305)-SEARCH("(",L305)-1),"$",""),",","")," ","")),0),0))</f>
        <v>0</v>
      </c>
    </row>
    <row r="306" spans="1:27">
      <c r="A306" s="76">
        <v>45903</v>
      </c>
      <c r="B306" s="77" t="s">
        <v>1305</v>
      </c>
      <c r="C306" s="77" t="s">
        <v>1306</v>
      </c>
      <c r="D306" s="77" t="s">
        <v>428</v>
      </c>
      <c r="E306" s="77">
        <v>85335</v>
      </c>
      <c r="F306" s="77" t="s">
        <v>31</v>
      </c>
      <c r="G306" s="77" t="s">
        <v>506</v>
      </c>
      <c r="H306" s="77" t="s">
        <v>1307</v>
      </c>
      <c r="I306" s="77" t="s">
        <v>36</v>
      </c>
      <c r="J306" s="77" t="s">
        <v>37</v>
      </c>
      <c r="K306" s="77" t="s">
        <v>37</v>
      </c>
      <c r="L306" s="77" t="s">
        <v>38</v>
      </c>
      <c r="M306" s="77" t="s">
        <v>38</v>
      </c>
      <c r="N306" s="77">
        <v>1191.03</v>
      </c>
      <c r="O306" s="77" t="s">
        <v>38</v>
      </c>
      <c r="P306" s="77"/>
      <c r="Q306" s="76">
        <v>45967</v>
      </c>
      <c r="R306" s="77" t="s">
        <v>495</v>
      </c>
      <c r="S306" s="77"/>
      <c r="T306" s="77"/>
      <c r="U306" s="77" t="s">
        <v>1308</v>
      </c>
      <c r="V306" s="78" t="s">
        <v>117</v>
      </c>
      <c r="W306" s="79">
        <v>46039</v>
      </c>
      <c r="X306" s="78" t="s">
        <v>37</v>
      </c>
      <c r="Y306" s="78" t="s">
        <v>5441</v>
      </c>
      <c r="Z306" s="78"/>
      <c r="AA306">
        <f>IF(COUNTIF('Call Queue'!$H$6:$H$20,V306)&gt;0,0,IF(AND(ISNUMBER(N306),N306&gt;0),10000000+N306,IF(ISNUMBER(N306*1),IF(N306*1&gt;0,10000000+N306*1,0),0))+IF(ISNUMBER(SEARCH("(",L306)),1000000+IFERROR(VALUE(SUBSTITUTE(SUBSTITUTE(SUBSTITUTE(MID(L306,SEARCH("(",L306)+1,SEARCH(")",L306)-SEARCH("(",L306)-1),"$",""),",","")," ","")),0),0))</f>
        <v>0</v>
      </c>
    </row>
    <row r="307" spans="1:27">
      <c r="A307" s="76">
        <v>45903</v>
      </c>
      <c r="B307" s="77" t="s">
        <v>528</v>
      </c>
      <c r="C307" s="77" t="s">
        <v>1311</v>
      </c>
      <c r="D307" s="77" t="s">
        <v>63</v>
      </c>
      <c r="E307" s="77">
        <v>85014</v>
      </c>
      <c r="F307" s="77" t="s">
        <v>310</v>
      </c>
      <c r="G307" s="77" t="s">
        <v>506</v>
      </c>
      <c r="H307" s="77" t="s">
        <v>1312</v>
      </c>
      <c r="I307" s="77" t="s">
        <v>57</v>
      </c>
      <c r="J307" s="77" t="s">
        <v>37</v>
      </c>
      <c r="K307" s="77" t="s">
        <v>37</v>
      </c>
      <c r="L307" s="77" t="s">
        <v>1313</v>
      </c>
      <c r="M307" s="77" t="s">
        <v>37</v>
      </c>
      <c r="N307" s="77" t="s">
        <v>37</v>
      </c>
      <c r="O307" s="77" t="s">
        <v>38</v>
      </c>
      <c r="P307" s="77" t="s">
        <v>39</v>
      </c>
      <c r="Q307" s="76">
        <v>45967</v>
      </c>
      <c r="R307" s="77"/>
      <c r="S307" s="77"/>
      <c r="T307" s="77"/>
      <c r="U307" s="77"/>
      <c r="V307" s="78" t="s">
        <v>117</v>
      </c>
      <c r="W307" s="79">
        <v>46039</v>
      </c>
      <c r="X307" s="78" t="s">
        <v>38</v>
      </c>
      <c r="Y307" s="78"/>
      <c r="Z307" s="78"/>
      <c r="AA307">
        <f>IF(COUNTIF('Call Queue'!$H$6:$H$20,V307)&gt;0,0,IF(AND(ISNUMBER(N307),N307&gt;0),10000000+N307,IF(ISNUMBER(N307*1),IF(N307*1&gt;0,10000000+N307*1,0),0))+IF(ISNUMBER(SEARCH("(",L307)),1000000+IFERROR(VALUE(SUBSTITUTE(SUBSTITUTE(SUBSTITUTE(MID(L307,SEARCH("(",L307)+1,SEARCH(")",L307)-SEARCH("(",L307)-1),"$",""),",","")," ","")),0),0))</f>
        <v>0</v>
      </c>
    </row>
    <row r="308" spans="1:27">
      <c r="A308" s="76">
        <v>45903</v>
      </c>
      <c r="B308" s="77" t="s">
        <v>1314</v>
      </c>
      <c r="C308" s="77" t="s">
        <v>225</v>
      </c>
      <c r="D308" s="77" t="s">
        <v>169</v>
      </c>
      <c r="E308" s="77">
        <v>85395</v>
      </c>
      <c r="F308" s="77" t="s">
        <v>1315</v>
      </c>
      <c r="G308" s="77" t="s">
        <v>506</v>
      </c>
      <c r="H308" s="77" t="s">
        <v>1316</v>
      </c>
      <c r="I308" s="77" t="s">
        <v>73</v>
      </c>
      <c r="J308" s="77" t="s">
        <v>37</v>
      </c>
      <c r="K308" s="77" t="s">
        <v>37</v>
      </c>
      <c r="L308" s="77" t="s">
        <v>38</v>
      </c>
      <c r="M308" s="77" t="s">
        <v>37</v>
      </c>
      <c r="N308" s="77" t="s">
        <v>37</v>
      </c>
      <c r="O308" s="77" t="s">
        <v>38</v>
      </c>
      <c r="P308" s="77" t="s">
        <v>39</v>
      </c>
      <c r="Q308" s="76">
        <v>45967</v>
      </c>
      <c r="R308" s="77"/>
      <c r="S308" s="77"/>
      <c r="T308" s="77"/>
      <c r="U308" s="77"/>
      <c r="V308" s="78"/>
      <c r="W308" s="79"/>
      <c r="X308" s="78"/>
      <c r="Y308" s="78"/>
      <c r="Z308" s="78"/>
      <c r="AA308">
        <f>IF(COUNTIF('Call Queue'!$H$6:$H$20,V308)&gt;0,0,IF(AND(ISNUMBER(N308),N308&gt;0),10000000+N308,IF(ISNUMBER(N308*1),IF(N308*1&gt;0,10000000+N308*1,0),0))+IF(ISNUMBER(SEARCH("(",L308)),1000000+IFERROR(VALUE(SUBSTITUTE(SUBSTITUTE(SUBSTITUTE(MID(L308,SEARCH("(",L308)+1,SEARCH(")",L308)-SEARCH("(",L308)-1),"$",""),",","")," ","")),0),0))</f>
        <v>0</v>
      </c>
    </row>
    <row r="309" spans="1:27">
      <c r="A309" s="76">
        <v>45903</v>
      </c>
      <c r="B309" s="77" t="s">
        <v>1317</v>
      </c>
      <c r="C309" s="77" t="s">
        <v>548</v>
      </c>
      <c r="D309" s="77" t="s">
        <v>112</v>
      </c>
      <c r="E309" s="77">
        <v>85388</v>
      </c>
      <c r="F309" s="77" t="s">
        <v>310</v>
      </c>
      <c r="G309" s="77" t="s">
        <v>506</v>
      </c>
      <c r="H309" s="77" t="s">
        <v>1318</v>
      </c>
      <c r="I309" s="77" t="s">
        <v>46</v>
      </c>
      <c r="J309" s="77" t="s">
        <v>37</v>
      </c>
      <c r="K309" s="77" t="s">
        <v>37</v>
      </c>
      <c r="L309" s="77" t="s">
        <v>38</v>
      </c>
      <c r="M309" s="77" t="s">
        <v>37</v>
      </c>
      <c r="N309" s="77" t="s">
        <v>37</v>
      </c>
      <c r="O309" s="77" t="s">
        <v>38</v>
      </c>
      <c r="P309" s="77" t="s">
        <v>39</v>
      </c>
      <c r="Q309" s="76">
        <v>45967</v>
      </c>
      <c r="R309" s="77" t="s">
        <v>1319</v>
      </c>
      <c r="S309" s="77"/>
      <c r="T309" s="77"/>
      <c r="U309" s="77"/>
      <c r="V309" s="78"/>
      <c r="W309" s="79"/>
      <c r="X309" s="78"/>
      <c r="Y309" s="78"/>
      <c r="Z309" s="78"/>
      <c r="AA309">
        <f>IF(COUNTIF('Call Queue'!$H$6:$H$20,V309)&gt;0,0,IF(AND(ISNUMBER(N309),N309&gt;0),10000000+N309,IF(ISNUMBER(N309*1),IF(N309*1&gt;0,10000000+N309*1,0),0))+IF(ISNUMBER(SEARCH("(",L309)),1000000+IFERROR(VALUE(SUBSTITUTE(SUBSTITUTE(SUBSTITUTE(MID(L309,SEARCH("(",L309)+1,SEARCH(")",L309)-SEARCH("(",L309)-1),"$",""),",","")," ","")),0),0))</f>
        <v>0</v>
      </c>
    </row>
    <row r="310" spans="1:27">
      <c r="A310" s="76">
        <v>45903</v>
      </c>
      <c r="B310" s="77" t="s">
        <v>1322</v>
      </c>
      <c r="C310" s="77" t="s">
        <v>1323</v>
      </c>
      <c r="D310" s="77" t="s">
        <v>63</v>
      </c>
      <c r="E310" s="77">
        <v>85013</v>
      </c>
      <c r="F310" s="77" t="s">
        <v>1324</v>
      </c>
      <c r="G310" s="77" t="s">
        <v>506</v>
      </c>
      <c r="H310" s="77" t="s">
        <v>1325</v>
      </c>
      <c r="I310" s="77" t="s">
        <v>541</v>
      </c>
      <c r="J310" s="77" t="s">
        <v>38</v>
      </c>
      <c r="K310" s="77" t="s">
        <v>37</v>
      </c>
      <c r="L310" s="77" t="s">
        <v>389</v>
      </c>
      <c r="M310" s="77" t="s">
        <v>37</v>
      </c>
      <c r="N310" s="77" t="s">
        <v>37</v>
      </c>
      <c r="O310" s="77" t="s">
        <v>38</v>
      </c>
      <c r="P310" s="77" t="s">
        <v>39</v>
      </c>
      <c r="Q310" s="76">
        <v>45967</v>
      </c>
      <c r="R310" s="77"/>
      <c r="S310" s="77"/>
      <c r="T310" s="77"/>
      <c r="U310" s="77"/>
      <c r="V310" s="78"/>
      <c r="W310" s="79"/>
      <c r="X310" s="78"/>
      <c r="Y310" s="78"/>
      <c r="Z310" s="78"/>
      <c r="AA310">
        <f>IF(COUNTIF('Call Queue'!$H$6:$H$20,V310)&gt;0,0,IF(AND(ISNUMBER(N310),N310&gt;0),10000000+N310,IF(ISNUMBER(N310*1),IF(N310*1&gt;0,10000000+N310*1,0),0))+IF(ISNUMBER(SEARCH("(",L310)),1000000+IFERROR(VALUE(SUBSTITUTE(SUBSTITUTE(SUBSTITUTE(MID(L310,SEARCH("(",L310)+1,SEARCH(")",L310)-SEARCH("(",L310)-1),"$",""),",","")," ","")),0),0))</f>
        <v>0</v>
      </c>
    </row>
    <row r="311" spans="1:27">
      <c r="A311" s="76">
        <v>45903</v>
      </c>
      <c r="B311" s="77" t="s">
        <v>1326</v>
      </c>
      <c r="C311" s="77" t="s">
        <v>1327</v>
      </c>
      <c r="D311" s="77" t="s">
        <v>880</v>
      </c>
      <c r="E311" s="77">
        <v>85086</v>
      </c>
      <c r="F311" s="77" t="s">
        <v>31</v>
      </c>
      <c r="G311" s="77" t="s">
        <v>506</v>
      </c>
      <c r="H311" s="77" t="s">
        <v>1328</v>
      </c>
      <c r="I311" s="77" t="s">
        <v>541</v>
      </c>
      <c r="J311" s="77" t="s">
        <v>37</v>
      </c>
      <c r="K311" s="77" t="s">
        <v>37</v>
      </c>
      <c r="L311" s="77" t="s">
        <v>389</v>
      </c>
      <c r="M311" s="77" t="s">
        <v>37</v>
      </c>
      <c r="N311" s="77" t="s">
        <v>37</v>
      </c>
      <c r="O311" s="77" t="s">
        <v>38</v>
      </c>
      <c r="P311" s="77" t="s">
        <v>39</v>
      </c>
      <c r="Q311" s="76">
        <v>45967</v>
      </c>
      <c r="R311" s="77"/>
      <c r="S311" s="77"/>
      <c r="T311" s="77"/>
      <c r="U311" s="77"/>
      <c r="V311" s="78"/>
      <c r="W311" s="79"/>
      <c r="X311" s="78"/>
      <c r="Y311" s="78"/>
      <c r="Z311" s="78"/>
      <c r="AA311">
        <f>IF(COUNTIF('Call Queue'!$H$6:$H$20,V311)&gt;0,0,IF(AND(ISNUMBER(N311),N311&gt;0),10000000+N311,IF(ISNUMBER(N311*1),IF(N311*1&gt;0,10000000+N311*1,0),0))+IF(ISNUMBER(SEARCH("(",L311)),1000000+IFERROR(VALUE(SUBSTITUTE(SUBSTITUTE(SUBSTITUTE(MID(L311,SEARCH("(",L311)+1,SEARCH(")",L311)-SEARCH("(",L311)-1),"$",""),",","")," ","")),0),0))</f>
        <v>0</v>
      </c>
    </row>
    <row r="312" spans="1:27">
      <c r="A312" s="76">
        <v>45903</v>
      </c>
      <c r="B312" s="77" t="s">
        <v>985</v>
      </c>
      <c r="C312" s="77" t="s">
        <v>263</v>
      </c>
      <c r="D312" s="77" t="s">
        <v>169</v>
      </c>
      <c r="E312" s="77">
        <v>85395</v>
      </c>
      <c r="F312" s="77" t="s">
        <v>986</v>
      </c>
      <c r="G312" s="77" t="s">
        <v>1329</v>
      </c>
      <c r="H312" s="77">
        <v>4222480000</v>
      </c>
      <c r="I312" s="77" t="s">
        <v>46</v>
      </c>
      <c r="J312" s="77" t="s">
        <v>37</v>
      </c>
      <c r="K312" s="77" t="s">
        <v>37</v>
      </c>
      <c r="L312" s="77" t="s">
        <v>38</v>
      </c>
      <c r="M312" s="77" t="s">
        <v>37</v>
      </c>
      <c r="N312" s="77" t="s">
        <v>37</v>
      </c>
      <c r="O312" s="77" t="s">
        <v>38</v>
      </c>
      <c r="P312" s="77" t="s">
        <v>39</v>
      </c>
      <c r="Q312" s="76">
        <v>45967</v>
      </c>
      <c r="R312" s="77"/>
      <c r="S312" s="77"/>
      <c r="T312" s="77"/>
      <c r="U312" s="77"/>
      <c r="V312" s="78"/>
      <c r="W312" s="79"/>
      <c r="X312" s="78"/>
      <c r="Y312" s="78"/>
      <c r="Z312" s="78"/>
      <c r="AA312">
        <f>IF(COUNTIF('Call Queue'!$H$6:$H$20,V312)&gt;0,0,IF(AND(ISNUMBER(N312),N312&gt;0),10000000+N312,IF(ISNUMBER(N312*1),IF(N312*1&gt;0,10000000+N312*1,0),0))+IF(ISNUMBER(SEARCH("(",L312)),1000000+IFERROR(VALUE(SUBSTITUTE(SUBSTITUTE(SUBSTITUTE(MID(L312,SEARCH("(",L312)+1,SEARCH(")",L312)-SEARCH("(",L312)-1),"$",""),",","")," ","")),0),0))</f>
        <v>0</v>
      </c>
    </row>
    <row r="313" spans="1:27">
      <c r="A313" s="76">
        <v>45903</v>
      </c>
      <c r="B313" s="77" t="s">
        <v>1333</v>
      </c>
      <c r="C313" s="77" t="s">
        <v>1334</v>
      </c>
      <c r="D313" s="77" t="s">
        <v>523</v>
      </c>
      <c r="E313" s="77">
        <v>85392</v>
      </c>
      <c r="F313" s="77" t="s">
        <v>1335</v>
      </c>
      <c r="G313" s="77" t="s">
        <v>1329</v>
      </c>
      <c r="H313" s="77">
        <v>2964440000</v>
      </c>
      <c r="I313" s="77" t="s">
        <v>418</v>
      </c>
      <c r="J313" s="77" t="s">
        <v>37</v>
      </c>
      <c r="K313" s="77" t="s">
        <v>37</v>
      </c>
      <c r="L313" s="77" t="s">
        <v>389</v>
      </c>
      <c r="M313" s="77" t="s">
        <v>37</v>
      </c>
      <c r="N313" s="77" t="s">
        <v>37</v>
      </c>
      <c r="O313" s="77" t="s">
        <v>38</v>
      </c>
      <c r="P313" s="77" t="s">
        <v>39</v>
      </c>
      <c r="Q313" s="76">
        <v>45967</v>
      </c>
      <c r="R313" s="77"/>
      <c r="S313" s="77"/>
      <c r="T313" s="77"/>
      <c r="U313" s="77"/>
      <c r="V313" s="78"/>
      <c r="W313" s="79"/>
      <c r="X313" s="78"/>
      <c r="Y313" s="78"/>
      <c r="Z313" s="78"/>
      <c r="AA313">
        <f>IF(COUNTIF('Call Queue'!$H$6:$H$20,V313)&gt;0,0,IF(AND(ISNUMBER(N313),N313&gt;0),10000000+N313,IF(ISNUMBER(N313*1),IF(N313*1&gt;0,10000000+N313*1,0),0))+IF(ISNUMBER(SEARCH("(",L313)),1000000+IFERROR(VALUE(SUBSTITUTE(SUBSTITUTE(SUBSTITUTE(MID(L313,SEARCH("(",L313)+1,SEARCH(")",L313)-SEARCH("(",L313)-1),"$",""),",","")," ","")),0),0))</f>
        <v>0</v>
      </c>
    </row>
    <row r="314" spans="1:27">
      <c r="A314" s="76">
        <v>45903</v>
      </c>
      <c r="B314" s="77" t="s">
        <v>1337</v>
      </c>
      <c r="C314" s="77" t="s">
        <v>359</v>
      </c>
      <c r="D314" s="77" t="s">
        <v>112</v>
      </c>
      <c r="E314" s="77">
        <v>85379</v>
      </c>
      <c r="F314" s="77" t="s">
        <v>31</v>
      </c>
      <c r="G314" s="77" t="s">
        <v>1329</v>
      </c>
      <c r="H314" s="77">
        <v>3208550000</v>
      </c>
      <c r="I314" s="77" t="s">
        <v>541</v>
      </c>
      <c r="J314" s="77" t="s">
        <v>37</v>
      </c>
      <c r="K314" s="77" t="s">
        <v>37</v>
      </c>
      <c r="L314" s="77" t="s">
        <v>389</v>
      </c>
      <c r="M314" s="77" t="s">
        <v>38</v>
      </c>
      <c r="N314" s="77">
        <v>1773.15</v>
      </c>
      <c r="O314" s="77" t="s">
        <v>38</v>
      </c>
      <c r="P314" s="77"/>
      <c r="Q314" s="76">
        <v>45967</v>
      </c>
      <c r="R314" s="77" t="s">
        <v>495</v>
      </c>
      <c r="S314" s="77"/>
      <c r="T314" s="77"/>
      <c r="U314" s="77"/>
      <c r="V314" s="78" t="s">
        <v>117</v>
      </c>
      <c r="W314" s="79">
        <v>46039</v>
      </c>
      <c r="X314" s="78" t="s">
        <v>38</v>
      </c>
      <c r="Y314" s="78"/>
      <c r="Z314" s="78"/>
      <c r="AA314">
        <f>IF(COUNTIF('Call Queue'!$H$6:$H$20,V314)&gt;0,0,IF(AND(ISNUMBER(N314),N314&gt;0),10000000+N314,IF(ISNUMBER(N314*1),IF(N314*1&gt;0,10000000+N314*1,0),0))+IF(ISNUMBER(SEARCH("(",L314)),1000000+IFERROR(VALUE(SUBSTITUTE(SUBSTITUTE(SUBSTITUTE(MID(L314,SEARCH("(",L314)+1,SEARCH(")",L314)-SEARCH("(",L314)-1),"$",""),",","")," ","")),0),0))</f>
        <v>0</v>
      </c>
    </row>
    <row r="315" spans="1:27">
      <c r="A315" s="76">
        <v>45903</v>
      </c>
      <c r="B315" s="77" t="s">
        <v>1339</v>
      </c>
      <c r="C315" s="77" t="s">
        <v>777</v>
      </c>
      <c r="D315" s="77" t="s">
        <v>169</v>
      </c>
      <c r="E315" s="77">
        <v>85338</v>
      </c>
      <c r="F315" s="77" t="s">
        <v>31</v>
      </c>
      <c r="G315" s="77" t="s">
        <v>1329</v>
      </c>
      <c r="H315" s="77">
        <v>4748252186</v>
      </c>
      <c r="I315" s="77" t="s">
        <v>541</v>
      </c>
      <c r="J315" s="77" t="s">
        <v>38</v>
      </c>
      <c r="K315" s="77" t="s">
        <v>37</v>
      </c>
      <c r="L315" s="77" t="s">
        <v>389</v>
      </c>
      <c r="M315" s="77" t="s">
        <v>38</v>
      </c>
      <c r="N315" s="77">
        <v>3130.07</v>
      </c>
      <c r="O315" s="77" t="s">
        <v>38</v>
      </c>
      <c r="P315" s="77"/>
      <c r="Q315" s="76">
        <v>45967</v>
      </c>
      <c r="R315" s="77" t="s">
        <v>495</v>
      </c>
      <c r="S315" s="77"/>
      <c r="T315" s="77"/>
      <c r="U315" s="77"/>
      <c r="V315" s="78" t="s">
        <v>117</v>
      </c>
      <c r="W315" s="79">
        <v>46039</v>
      </c>
      <c r="X315" s="78" t="s">
        <v>38</v>
      </c>
      <c r="Y315" s="78"/>
      <c r="Z315" s="78"/>
      <c r="AA315">
        <f>IF(COUNTIF('Call Queue'!$H$6:$H$20,V315)&gt;0,0,IF(AND(ISNUMBER(N315),N315&gt;0),10000000+N315,IF(ISNUMBER(N315*1),IF(N315*1&gt;0,10000000+N315*1,0),0))+IF(ISNUMBER(SEARCH("(",L315)),1000000+IFERROR(VALUE(SUBSTITUTE(SUBSTITUTE(SUBSTITUTE(MID(L315,SEARCH("(",L315)+1,SEARCH(")",L315)-SEARCH("(",L315)-1),"$",""),",","")," ","")),0),0))</f>
        <v>0</v>
      </c>
    </row>
    <row r="316" spans="1:27">
      <c r="A316" s="76">
        <v>45903</v>
      </c>
      <c r="B316" s="77" t="s">
        <v>1341</v>
      </c>
      <c r="C316" s="77" t="s">
        <v>1342</v>
      </c>
      <c r="D316" s="77" t="s">
        <v>24</v>
      </c>
      <c r="E316" s="77">
        <v>85310</v>
      </c>
      <c r="F316" s="77" t="s">
        <v>31</v>
      </c>
      <c r="G316" s="77" t="s">
        <v>1329</v>
      </c>
      <c r="H316" s="77">
        <v>6860890000</v>
      </c>
      <c r="I316" s="77" t="s">
        <v>36</v>
      </c>
      <c r="J316" s="77" t="s">
        <v>38</v>
      </c>
      <c r="K316" s="77" t="s">
        <v>37</v>
      </c>
      <c r="L316" s="77" t="s">
        <v>38</v>
      </c>
      <c r="M316" s="77" t="s">
        <v>37</v>
      </c>
      <c r="N316" s="77" t="s">
        <v>37</v>
      </c>
      <c r="O316" s="77" t="s">
        <v>38</v>
      </c>
      <c r="P316" s="77" t="s">
        <v>39</v>
      </c>
      <c r="Q316" s="76">
        <v>45967</v>
      </c>
      <c r="R316" s="77"/>
      <c r="S316" s="77"/>
      <c r="T316" s="77"/>
      <c r="U316" s="77"/>
      <c r="V316" s="78"/>
      <c r="W316" s="79"/>
      <c r="X316" s="78"/>
      <c r="Y316" s="78"/>
      <c r="Z316" s="78"/>
      <c r="AA316">
        <f>IF(COUNTIF('Call Queue'!$H$6:$H$20,V316)&gt;0,0,IF(AND(ISNUMBER(N316),N316&gt;0),10000000+N316,IF(ISNUMBER(N316*1),IF(N316*1&gt;0,10000000+N316*1,0),0))+IF(ISNUMBER(SEARCH("(",L316)),1000000+IFERROR(VALUE(SUBSTITUTE(SUBSTITUTE(SUBSTITUTE(MID(L316,SEARCH("(",L316)+1,SEARCH(")",L316)-SEARCH("(",L316)-1),"$",""),",","")," ","")),0),0))</f>
        <v>0</v>
      </c>
    </row>
    <row r="317" spans="1:27">
      <c r="A317" s="76">
        <v>45903</v>
      </c>
      <c r="B317" s="77" t="s">
        <v>1344</v>
      </c>
      <c r="C317" s="77" t="s">
        <v>1345</v>
      </c>
      <c r="D317" s="77" t="s">
        <v>63</v>
      </c>
      <c r="E317" s="77">
        <v>85053</v>
      </c>
      <c r="F317" s="77" t="s">
        <v>1346</v>
      </c>
      <c r="G317" s="77" t="s">
        <v>1329</v>
      </c>
      <c r="H317" s="77">
        <v>5790100875</v>
      </c>
      <c r="I317" s="77" t="s">
        <v>36</v>
      </c>
      <c r="J317" s="77" t="s">
        <v>37</v>
      </c>
      <c r="K317" s="77" t="s">
        <v>37</v>
      </c>
      <c r="L317" s="77" t="s">
        <v>38</v>
      </c>
      <c r="M317" s="77" t="s">
        <v>37</v>
      </c>
      <c r="N317" s="77" t="s">
        <v>37</v>
      </c>
      <c r="O317" s="77" t="s">
        <v>38</v>
      </c>
      <c r="P317" s="77" t="s">
        <v>39</v>
      </c>
      <c r="Q317" s="76">
        <v>45967</v>
      </c>
      <c r="R317" s="77"/>
      <c r="S317" s="77"/>
      <c r="T317" s="77"/>
      <c r="U317" s="77"/>
      <c r="V317" s="78" t="s">
        <v>5432</v>
      </c>
      <c r="W317" s="79">
        <v>46081</v>
      </c>
      <c r="X317" s="78" t="s">
        <v>37</v>
      </c>
      <c r="Y317" s="78" t="s">
        <v>5442</v>
      </c>
      <c r="Z317" s="78" t="s">
        <v>5470</v>
      </c>
      <c r="AA317">
        <f>IF(COUNTIF('Call Queue'!$H$6:$H$20,V317)&gt;0,0,IF(AND(ISNUMBER(N317),N317&gt;0),10000000+N317,IF(ISNUMBER(N317*1),IF(N317*1&gt;0,10000000+N317*1,0),0))+IF(ISNUMBER(SEARCH("(",L317)),1000000+IFERROR(VALUE(SUBSTITUTE(SUBSTITUTE(SUBSTITUTE(MID(L317,SEARCH("(",L317)+1,SEARCH(")",L317)-SEARCH("(",L317)-1),"$",""),",","")," ","")),0),0))</f>
        <v>0</v>
      </c>
    </row>
    <row r="318" spans="1:27">
      <c r="A318" s="76">
        <v>45903</v>
      </c>
      <c r="B318" s="77" t="s">
        <v>1348</v>
      </c>
      <c r="C318" s="77" t="s">
        <v>1198</v>
      </c>
      <c r="D318" s="77" t="s">
        <v>89</v>
      </c>
      <c r="E318" s="77">
        <v>86336</v>
      </c>
      <c r="F318" s="77" t="s">
        <v>31</v>
      </c>
      <c r="G318" s="77" t="s">
        <v>1329</v>
      </c>
      <c r="H318" s="77">
        <v>7818070439</v>
      </c>
      <c r="I318" s="77" t="s">
        <v>73</v>
      </c>
      <c r="J318" s="77" t="s">
        <v>37</v>
      </c>
      <c r="K318" s="77" t="s">
        <v>37</v>
      </c>
      <c r="L318" s="77" t="s">
        <v>38</v>
      </c>
      <c r="M318" s="77" t="s">
        <v>37</v>
      </c>
      <c r="N318" s="77" t="s">
        <v>37</v>
      </c>
      <c r="O318" s="77" t="s">
        <v>38</v>
      </c>
      <c r="P318" s="77" t="s">
        <v>39</v>
      </c>
      <c r="Q318" s="76">
        <v>45967</v>
      </c>
      <c r="R318" s="77"/>
      <c r="S318" s="77"/>
      <c r="T318" s="77"/>
      <c r="U318" s="77"/>
      <c r="V318" s="78"/>
      <c r="W318" s="79"/>
      <c r="X318" s="78"/>
      <c r="Y318" s="78"/>
      <c r="Z318" s="78"/>
      <c r="AA318">
        <f>IF(COUNTIF('Call Queue'!$H$6:$H$20,V318)&gt;0,0,IF(AND(ISNUMBER(N318),N318&gt;0),10000000+N318,IF(ISNUMBER(N318*1),IF(N318*1&gt;0,10000000+N318*1,0),0))+IF(ISNUMBER(SEARCH("(",L318)),1000000+IFERROR(VALUE(SUBSTITUTE(SUBSTITUTE(SUBSTITUTE(MID(L318,SEARCH("(",L318)+1,SEARCH(")",L318)-SEARCH("(",L318)-1),"$",""),",","")," ","")),0),0))</f>
        <v>0</v>
      </c>
    </row>
    <row r="319" spans="1:27">
      <c r="A319" s="76">
        <v>45903</v>
      </c>
      <c r="B319" s="77" t="s">
        <v>1352</v>
      </c>
      <c r="C319" s="77" t="s">
        <v>392</v>
      </c>
      <c r="D319" s="77" t="s">
        <v>125</v>
      </c>
      <c r="E319" s="77">
        <v>85255</v>
      </c>
      <c r="F319" s="77" t="s">
        <v>31</v>
      </c>
      <c r="G319" s="77" t="s">
        <v>1329</v>
      </c>
      <c r="H319" s="77">
        <v>7464750000</v>
      </c>
      <c r="I319" s="77" t="s">
        <v>418</v>
      </c>
      <c r="J319" s="77" t="s">
        <v>37</v>
      </c>
      <c r="K319" s="77" t="s">
        <v>37</v>
      </c>
      <c r="L319" s="77" t="s">
        <v>389</v>
      </c>
      <c r="M319" s="77" t="s">
        <v>37</v>
      </c>
      <c r="N319" s="77" t="s">
        <v>37</v>
      </c>
      <c r="O319" s="77" t="s">
        <v>38</v>
      </c>
      <c r="P319" s="77" t="s">
        <v>39</v>
      </c>
      <c r="Q319" s="76">
        <v>45967</v>
      </c>
      <c r="R319" s="77"/>
      <c r="S319" s="77"/>
      <c r="T319" s="77"/>
      <c r="U319" s="77"/>
      <c r="V319" s="78"/>
      <c r="W319" s="79"/>
      <c r="X319" s="78"/>
      <c r="Y319" s="78"/>
      <c r="Z319" s="78"/>
      <c r="AA319">
        <f>IF(COUNTIF('Call Queue'!$H$6:$H$20,V319)&gt;0,0,IF(AND(ISNUMBER(N319),N319&gt;0),10000000+N319,IF(ISNUMBER(N319*1),IF(N319*1&gt;0,10000000+N319*1,0),0))+IF(ISNUMBER(SEARCH("(",L319)),1000000+IFERROR(VALUE(SUBSTITUTE(SUBSTITUTE(SUBSTITUTE(MID(L319,SEARCH("(",L319)+1,SEARCH(")",L319)-SEARCH("(",L319)-1),"$",""),",","")," ","")),0),0))</f>
        <v>0</v>
      </c>
    </row>
    <row r="320" spans="1:27">
      <c r="A320" s="76">
        <v>45903</v>
      </c>
      <c r="B320" s="77" t="s">
        <v>558</v>
      </c>
      <c r="C320" s="77" t="s">
        <v>1354</v>
      </c>
      <c r="D320" s="77" t="s">
        <v>523</v>
      </c>
      <c r="E320" s="77">
        <v>85392</v>
      </c>
      <c r="F320" s="77" t="s">
        <v>31</v>
      </c>
      <c r="G320" s="77" t="s">
        <v>1329</v>
      </c>
      <c r="H320" s="77">
        <v>6497921796</v>
      </c>
      <c r="I320" s="77" t="s">
        <v>36</v>
      </c>
      <c r="J320" s="77" t="s">
        <v>37</v>
      </c>
      <c r="K320" s="77" t="s">
        <v>37</v>
      </c>
      <c r="L320" s="77" t="s">
        <v>38</v>
      </c>
      <c r="M320" s="77" t="s">
        <v>38</v>
      </c>
      <c r="N320" s="77">
        <v>870.88</v>
      </c>
      <c r="O320" s="77" t="s">
        <v>38</v>
      </c>
      <c r="P320" s="77"/>
      <c r="Q320" s="76">
        <v>45967</v>
      </c>
      <c r="R320" s="77" t="s">
        <v>495</v>
      </c>
      <c r="S320" s="77"/>
      <c r="T320" s="77"/>
      <c r="U320" s="77"/>
      <c r="V320" s="78" t="s">
        <v>117</v>
      </c>
      <c r="W320" s="79">
        <v>46039</v>
      </c>
      <c r="X320" s="78" t="s">
        <v>37</v>
      </c>
      <c r="Y320" s="78" t="s">
        <v>5441</v>
      </c>
      <c r="Z320" s="78"/>
      <c r="AA320">
        <f>IF(COUNTIF('Call Queue'!$H$6:$H$20,V320)&gt;0,0,IF(AND(ISNUMBER(N320),N320&gt;0),10000000+N320,IF(ISNUMBER(N320*1),IF(N320*1&gt;0,10000000+N320*1,0),0))+IF(ISNUMBER(SEARCH("(",L320)),1000000+IFERROR(VALUE(SUBSTITUTE(SUBSTITUTE(SUBSTITUTE(MID(L320,SEARCH("(",L320)+1,SEARCH(")",L320)-SEARCH("(",L320)-1),"$",""),",","")," ","")),0),0))</f>
        <v>0</v>
      </c>
    </row>
    <row r="321" spans="1:27">
      <c r="A321" s="76">
        <v>45903</v>
      </c>
      <c r="B321" s="77" t="s">
        <v>1356</v>
      </c>
      <c r="C321" s="77" t="s">
        <v>184</v>
      </c>
      <c r="D321" s="77" t="s">
        <v>125</v>
      </c>
      <c r="E321" s="77">
        <v>85259</v>
      </c>
      <c r="F321" s="77" t="s">
        <v>31</v>
      </c>
      <c r="G321" s="77" t="s">
        <v>1329</v>
      </c>
      <c r="H321" s="77" t="s">
        <v>209</v>
      </c>
      <c r="I321" s="77"/>
      <c r="J321" s="77"/>
      <c r="K321" s="77"/>
      <c r="L321" s="77"/>
      <c r="M321" s="77"/>
      <c r="N321" s="77"/>
      <c r="O321" s="77"/>
      <c r="P321" s="77"/>
      <c r="Q321" s="76"/>
      <c r="R321" s="77"/>
      <c r="S321" s="77"/>
      <c r="T321" s="77"/>
      <c r="U321" s="77"/>
      <c r="V321" s="78"/>
      <c r="W321" s="79"/>
      <c r="X321" s="78"/>
      <c r="Y321" s="78"/>
      <c r="Z321" s="78"/>
      <c r="AA321">
        <f>IF(COUNTIF('Call Queue'!$H$6:$H$20,V321)&gt;0,0,IF(AND(ISNUMBER(N321),N321&gt;0),10000000+N321,IF(ISNUMBER(N321*1),IF(N321*1&gt;0,10000000+N321*1,0),0))+IF(ISNUMBER(SEARCH("(",L321)),1000000+IFERROR(VALUE(SUBSTITUTE(SUBSTITUTE(SUBSTITUTE(MID(L321,SEARCH("(",L321)+1,SEARCH(")",L321)-SEARCH("(",L321)-1),"$",""),",","")," ","")),0),0))</f>
        <v>0</v>
      </c>
    </row>
    <row r="322" spans="1:27">
      <c r="A322" s="76">
        <v>45903</v>
      </c>
      <c r="B322" s="77" t="s">
        <v>1357</v>
      </c>
      <c r="C322" s="77" t="s">
        <v>199</v>
      </c>
      <c r="D322" s="77" t="s">
        <v>169</v>
      </c>
      <c r="E322" s="77">
        <v>85395</v>
      </c>
      <c r="F322" s="77" t="s">
        <v>31</v>
      </c>
      <c r="G322" s="77" t="s">
        <v>1329</v>
      </c>
      <c r="H322" s="77">
        <v>5132068013</v>
      </c>
      <c r="I322" s="77" t="s">
        <v>418</v>
      </c>
      <c r="J322" s="77" t="s">
        <v>37</v>
      </c>
      <c r="K322" s="77" t="s">
        <v>37</v>
      </c>
      <c r="L322" s="77" t="s">
        <v>389</v>
      </c>
      <c r="M322" s="77" t="s">
        <v>37</v>
      </c>
      <c r="N322" s="77" t="s">
        <v>37</v>
      </c>
      <c r="O322" s="77" t="s">
        <v>38</v>
      </c>
      <c r="P322" s="77" t="s">
        <v>39</v>
      </c>
      <c r="Q322" s="76">
        <v>45967</v>
      </c>
      <c r="R322" s="77"/>
      <c r="S322" s="77"/>
      <c r="T322" s="77"/>
      <c r="U322" s="77"/>
      <c r="V322" s="78"/>
      <c r="W322" s="79"/>
      <c r="X322" s="78"/>
      <c r="Y322" s="78"/>
      <c r="Z322" s="78"/>
      <c r="AA322">
        <f>IF(COUNTIF('Call Queue'!$H$6:$H$20,V322)&gt;0,0,IF(AND(ISNUMBER(N322),N322&gt;0),10000000+N322,IF(ISNUMBER(N322*1),IF(N322*1&gt;0,10000000+N322*1,0),0))+IF(ISNUMBER(SEARCH("(",L322)),1000000+IFERROR(VALUE(SUBSTITUTE(SUBSTITUTE(SUBSTITUTE(MID(L322,SEARCH("(",L322)+1,SEARCH(")",L322)-SEARCH("(",L322)-1),"$",""),",","")," ","")),0),0))</f>
        <v>0</v>
      </c>
    </row>
    <row r="323" spans="1:27">
      <c r="A323" s="76">
        <v>45903</v>
      </c>
      <c r="B323" s="77" t="s">
        <v>1359</v>
      </c>
      <c r="C323" s="77" t="s">
        <v>1050</v>
      </c>
      <c r="D323" s="77" t="s">
        <v>125</v>
      </c>
      <c r="E323" s="77">
        <v>85254</v>
      </c>
      <c r="F323" s="77" t="s">
        <v>31</v>
      </c>
      <c r="G323" s="77" t="s">
        <v>1329</v>
      </c>
      <c r="H323" s="77">
        <v>3455401000</v>
      </c>
      <c r="I323" s="77" t="s">
        <v>36</v>
      </c>
      <c r="J323" s="77" t="s">
        <v>37</v>
      </c>
      <c r="K323" s="77" t="s">
        <v>37</v>
      </c>
      <c r="L323" s="77" t="s">
        <v>38</v>
      </c>
      <c r="M323" s="77" t="s">
        <v>37</v>
      </c>
      <c r="N323" s="77" t="s">
        <v>37</v>
      </c>
      <c r="O323" s="77" t="s">
        <v>38</v>
      </c>
      <c r="P323" s="77" t="s">
        <v>39</v>
      </c>
      <c r="Q323" s="76">
        <v>45967</v>
      </c>
      <c r="R323" s="77"/>
      <c r="S323" s="77"/>
      <c r="T323" s="77"/>
      <c r="U323" s="77"/>
      <c r="V323" s="78"/>
      <c r="W323" s="79"/>
      <c r="X323" s="78"/>
      <c r="Y323" s="78"/>
      <c r="Z323" s="78"/>
      <c r="AA323">
        <f>IF(COUNTIF('Call Queue'!$H$6:$H$20,V323)&gt;0,0,IF(AND(ISNUMBER(N323),N323&gt;0),10000000+N323,IF(ISNUMBER(N323*1),IF(N323*1&gt;0,10000000+N323*1,0),0))+IF(ISNUMBER(SEARCH("(",L323)),1000000+IFERROR(VALUE(SUBSTITUTE(SUBSTITUTE(SUBSTITUTE(MID(L323,SEARCH("(",L323)+1,SEARCH(")",L323)-SEARCH("(",L323)-1),"$",""),",","")," ","")),0),0))</f>
        <v>0</v>
      </c>
    </row>
    <row r="324" spans="1:27">
      <c r="A324" s="76">
        <v>45903</v>
      </c>
      <c r="B324" s="77" t="s">
        <v>1361</v>
      </c>
      <c r="C324" s="77" t="s">
        <v>1362</v>
      </c>
      <c r="D324" s="77" t="s">
        <v>63</v>
      </c>
      <c r="E324" s="77">
        <v>85032</v>
      </c>
      <c r="F324" s="77" t="s">
        <v>310</v>
      </c>
      <c r="G324" s="77" t="s">
        <v>1329</v>
      </c>
      <c r="H324" s="77">
        <v>7983231354</v>
      </c>
      <c r="I324" s="77" t="s">
        <v>73</v>
      </c>
      <c r="J324" s="77" t="s">
        <v>37</v>
      </c>
      <c r="K324" s="77" t="s">
        <v>37</v>
      </c>
      <c r="L324" s="77" t="s">
        <v>38</v>
      </c>
      <c r="M324" s="77" t="s">
        <v>37</v>
      </c>
      <c r="N324" s="77" t="s">
        <v>37</v>
      </c>
      <c r="O324" s="77" t="s">
        <v>38</v>
      </c>
      <c r="P324" s="77" t="s">
        <v>39</v>
      </c>
      <c r="Q324" s="76">
        <v>45967</v>
      </c>
      <c r="R324" s="77"/>
      <c r="S324" s="77"/>
      <c r="T324" s="77"/>
      <c r="U324" s="77"/>
      <c r="V324" s="78"/>
      <c r="W324" s="79"/>
      <c r="X324" s="78"/>
      <c r="Y324" s="78"/>
      <c r="Z324" s="78"/>
      <c r="AA324">
        <f>IF(COUNTIF('Call Queue'!$H$6:$H$20,V324)&gt;0,0,IF(AND(ISNUMBER(N324),N324&gt;0),10000000+N324,IF(ISNUMBER(N324*1),IF(N324*1&gt;0,10000000+N324*1,0),0))+IF(ISNUMBER(SEARCH("(",L324)),1000000+IFERROR(VALUE(SUBSTITUTE(SUBSTITUTE(SUBSTITUTE(MID(L324,SEARCH("(",L324)+1,SEARCH(")",L324)-SEARCH("(",L324)-1),"$",""),",","")," ","")),0),0))</f>
        <v>0</v>
      </c>
    </row>
    <row r="325" spans="1:27">
      <c r="A325" s="76">
        <v>45903</v>
      </c>
      <c r="B325" s="77" t="s">
        <v>1364</v>
      </c>
      <c r="C325" s="77" t="s">
        <v>821</v>
      </c>
      <c r="D325" s="77" t="s">
        <v>169</v>
      </c>
      <c r="E325" s="77">
        <v>85395</v>
      </c>
      <c r="F325" s="77" t="s">
        <v>31</v>
      </c>
      <c r="G325" s="77" t="s">
        <v>1329</v>
      </c>
      <c r="H325" s="77">
        <v>2243371013</v>
      </c>
      <c r="I325" s="77" t="s">
        <v>541</v>
      </c>
      <c r="J325" s="77" t="s">
        <v>37</v>
      </c>
      <c r="K325" s="77" t="s">
        <v>37</v>
      </c>
      <c r="L325" s="77" t="s">
        <v>389</v>
      </c>
      <c r="M325" s="77" t="s">
        <v>37</v>
      </c>
      <c r="N325" s="77" t="s">
        <v>37</v>
      </c>
      <c r="O325" s="77" t="s">
        <v>38</v>
      </c>
      <c r="P325" s="77" t="s">
        <v>39</v>
      </c>
      <c r="Q325" s="76">
        <v>45967</v>
      </c>
      <c r="R325" s="77"/>
      <c r="S325" s="77"/>
      <c r="T325" s="77"/>
      <c r="U325" s="77"/>
      <c r="V325" s="78"/>
      <c r="W325" s="79"/>
      <c r="X325" s="78"/>
      <c r="Y325" s="78"/>
      <c r="Z325" s="78"/>
      <c r="AA325">
        <f>IF(COUNTIF('Call Queue'!$H$6:$H$20,V325)&gt;0,0,IF(AND(ISNUMBER(N325),N325&gt;0),10000000+N325,IF(ISNUMBER(N325*1),IF(N325*1&gt;0,10000000+N325*1,0),0))+IF(ISNUMBER(SEARCH("(",L325)),1000000+IFERROR(VALUE(SUBSTITUTE(SUBSTITUTE(SUBSTITUTE(MID(L325,SEARCH("(",L325)+1,SEARCH(")",L325)-SEARCH("(",L325)-1),"$",""),",","")," ","")),0),0))</f>
        <v>0</v>
      </c>
    </row>
    <row r="326" spans="1:27">
      <c r="A326" s="76">
        <v>45903</v>
      </c>
      <c r="B326" s="77" t="s">
        <v>1366</v>
      </c>
      <c r="C326" s="77" t="s">
        <v>597</v>
      </c>
      <c r="D326" s="77" t="s">
        <v>169</v>
      </c>
      <c r="E326" s="77">
        <v>85395</v>
      </c>
      <c r="F326" s="77" t="s">
        <v>1367</v>
      </c>
      <c r="G326" s="77" t="s">
        <v>1329</v>
      </c>
      <c r="H326" s="77">
        <v>9340408913</v>
      </c>
      <c r="I326" s="77" t="s">
        <v>36</v>
      </c>
      <c r="J326" s="77" t="s">
        <v>37</v>
      </c>
      <c r="K326" s="77" t="s">
        <v>37</v>
      </c>
      <c r="L326" s="77" t="s">
        <v>38</v>
      </c>
      <c r="M326" s="77" t="s">
        <v>37</v>
      </c>
      <c r="N326" s="77" t="s">
        <v>37</v>
      </c>
      <c r="O326" s="77" t="s">
        <v>38</v>
      </c>
      <c r="P326" s="77" t="s">
        <v>39</v>
      </c>
      <c r="Q326" s="76">
        <v>45967</v>
      </c>
      <c r="R326" s="77"/>
      <c r="S326" s="77"/>
      <c r="T326" s="77"/>
      <c r="U326" s="77"/>
      <c r="V326" s="78"/>
      <c r="W326" s="79"/>
      <c r="X326" s="78"/>
      <c r="Y326" s="78"/>
      <c r="Z326" s="78"/>
      <c r="AA326">
        <f>IF(COUNTIF('Call Queue'!$H$6:$H$20,V326)&gt;0,0,IF(AND(ISNUMBER(N326),N326&gt;0),10000000+N326,IF(ISNUMBER(N326*1),IF(N326*1&gt;0,10000000+N326*1,0),0))+IF(ISNUMBER(SEARCH("(",L326)),1000000+IFERROR(VALUE(SUBSTITUTE(SUBSTITUTE(SUBSTITUTE(MID(L326,SEARCH("(",L326)+1,SEARCH(")",L326)-SEARCH("(",L326)-1),"$",""),",","")," ","")),0),0))</f>
        <v>0</v>
      </c>
    </row>
    <row r="327" spans="1:27">
      <c r="A327" s="76">
        <v>45903</v>
      </c>
      <c r="B327" s="77" t="s">
        <v>1371</v>
      </c>
      <c r="C327" s="77" t="s">
        <v>1372</v>
      </c>
      <c r="D327" s="77" t="s">
        <v>619</v>
      </c>
      <c r="E327" s="77">
        <v>85365</v>
      </c>
      <c r="F327" s="77" t="s">
        <v>31</v>
      </c>
      <c r="G327" s="77" t="s">
        <v>1329</v>
      </c>
      <c r="H327" s="77">
        <v>5986916429</v>
      </c>
      <c r="I327" s="77" t="s">
        <v>541</v>
      </c>
      <c r="J327" s="77" t="s">
        <v>37</v>
      </c>
      <c r="K327" s="77" t="s">
        <v>37</v>
      </c>
      <c r="L327" s="77" t="s">
        <v>389</v>
      </c>
      <c r="M327" s="77" t="s">
        <v>37</v>
      </c>
      <c r="N327" s="77" t="s">
        <v>37</v>
      </c>
      <c r="O327" s="77" t="s">
        <v>38</v>
      </c>
      <c r="P327" s="77" t="s">
        <v>39</v>
      </c>
      <c r="Q327" s="76">
        <v>45967</v>
      </c>
      <c r="R327" s="77"/>
      <c r="S327" s="77"/>
      <c r="T327" s="77"/>
      <c r="U327" s="77"/>
      <c r="V327" s="78"/>
      <c r="W327" s="79"/>
      <c r="X327" s="78"/>
      <c r="Y327" s="78"/>
      <c r="Z327" s="78"/>
      <c r="AA327">
        <f>IF(COUNTIF('Call Queue'!$H$6:$H$20,V327)&gt;0,0,IF(AND(ISNUMBER(N327),N327&gt;0),10000000+N327,IF(ISNUMBER(N327*1),IF(N327*1&gt;0,10000000+N327*1,0),0))+IF(ISNUMBER(SEARCH("(",L327)),1000000+IFERROR(VALUE(SUBSTITUTE(SUBSTITUTE(SUBSTITUTE(MID(L327,SEARCH("(",L327)+1,SEARCH(")",L327)-SEARCH("(",L327)-1),"$",""),",","")," ","")),0),0))</f>
        <v>0</v>
      </c>
    </row>
    <row r="328" spans="1:27">
      <c r="A328" s="76">
        <v>45903</v>
      </c>
      <c r="B328" s="77" t="s">
        <v>1383</v>
      </c>
      <c r="C328" s="77" t="s">
        <v>1384</v>
      </c>
      <c r="D328" s="77" t="s">
        <v>63</v>
      </c>
      <c r="E328" s="77">
        <v>85024</v>
      </c>
      <c r="F328" s="77" t="s">
        <v>31</v>
      </c>
      <c r="G328" s="77" t="s">
        <v>1329</v>
      </c>
      <c r="H328" s="77">
        <v>9875751000</v>
      </c>
      <c r="I328" s="77" t="s">
        <v>250</v>
      </c>
      <c r="J328" s="77" t="s">
        <v>37</v>
      </c>
      <c r="K328" s="77" t="s">
        <v>37</v>
      </c>
      <c r="L328" s="77" t="s">
        <v>1386</v>
      </c>
      <c r="M328" s="77" t="s">
        <v>37</v>
      </c>
      <c r="N328" s="77" t="s">
        <v>37</v>
      </c>
      <c r="O328" s="77" t="s">
        <v>38</v>
      </c>
      <c r="P328" s="77">
        <v>45936</v>
      </c>
      <c r="Q328" s="76">
        <v>45967</v>
      </c>
      <c r="R328" s="77" t="s">
        <v>1387</v>
      </c>
      <c r="S328" s="77"/>
      <c r="T328" s="77"/>
      <c r="U328" s="77"/>
      <c r="V328" s="78" t="s">
        <v>5432</v>
      </c>
      <c r="W328" s="79">
        <v>46053</v>
      </c>
      <c r="X328" s="78" t="s">
        <v>37</v>
      </c>
      <c r="Y328" s="78" t="s">
        <v>5442</v>
      </c>
      <c r="Z328" s="78" t="s">
        <v>5434</v>
      </c>
      <c r="AA328">
        <f>IF(COUNTIF('Call Queue'!$H$6:$H$20,V328)&gt;0,0,IF(AND(ISNUMBER(N328),N328&gt;0),10000000+N328,IF(ISNUMBER(N328*1),IF(N328*1&gt;0,10000000+N328*1,0),0))+IF(ISNUMBER(SEARCH("(",L328)),1000000+IFERROR(VALUE(SUBSTITUTE(SUBSTITUTE(SUBSTITUTE(MID(L328,SEARCH("(",L328)+1,SEARCH(")",L328)-SEARCH("(",L328)-1),"$",""),",","")," ","")),0),0))</f>
        <v>0</v>
      </c>
    </row>
    <row r="329" spans="1:27">
      <c r="A329" s="76">
        <v>45903</v>
      </c>
      <c r="B329" s="77" t="s">
        <v>1170</v>
      </c>
      <c r="C329" s="77" t="s">
        <v>1388</v>
      </c>
      <c r="D329" s="77" t="s">
        <v>24</v>
      </c>
      <c r="E329" s="77">
        <v>85306</v>
      </c>
      <c r="F329" s="77" t="s">
        <v>310</v>
      </c>
      <c r="G329" s="77" t="s">
        <v>1329</v>
      </c>
      <c r="H329" s="77">
        <v>4425211190</v>
      </c>
      <c r="I329" s="77" t="s">
        <v>36</v>
      </c>
      <c r="J329" s="77" t="s">
        <v>37</v>
      </c>
      <c r="K329" s="77" t="s">
        <v>37</v>
      </c>
      <c r="L329" s="77" t="s">
        <v>38</v>
      </c>
      <c r="M329" s="77" t="s">
        <v>37</v>
      </c>
      <c r="N329" s="77" t="s">
        <v>37</v>
      </c>
      <c r="O329" s="77" t="s">
        <v>38</v>
      </c>
      <c r="P329" s="77" t="s">
        <v>39</v>
      </c>
      <c r="Q329" s="76">
        <v>45967</v>
      </c>
      <c r="R329" s="77"/>
      <c r="S329" s="77"/>
      <c r="T329" s="77"/>
      <c r="U329" s="77"/>
      <c r="V329" s="78"/>
      <c r="W329" s="79"/>
      <c r="X329" s="78"/>
      <c r="Y329" s="78"/>
      <c r="Z329" s="78"/>
      <c r="AA329">
        <f>IF(COUNTIF('Call Queue'!$H$6:$H$20,V329)&gt;0,0,IF(AND(ISNUMBER(N329),N329&gt;0),10000000+N329,IF(ISNUMBER(N329*1),IF(N329*1&gt;0,10000000+N329*1,0),0))+IF(ISNUMBER(SEARCH("(",L329)),1000000+IFERROR(VALUE(SUBSTITUTE(SUBSTITUTE(SUBSTITUTE(MID(L329,SEARCH("(",L329)+1,SEARCH(")",L329)-SEARCH("(",L329)-1),"$",""),",","")," ","")),0),0))</f>
        <v>0</v>
      </c>
    </row>
    <row r="330" spans="1:27">
      <c r="A330" s="76">
        <v>45903</v>
      </c>
      <c r="B330" s="77" t="s">
        <v>1392</v>
      </c>
      <c r="C330" s="77" t="s">
        <v>1393</v>
      </c>
      <c r="D330" s="77" t="s">
        <v>202</v>
      </c>
      <c r="E330" s="77">
        <v>85382</v>
      </c>
      <c r="F330" s="77" t="s">
        <v>31</v>
      </c>
      <c r="G330" s="77" t="s">
        <v>1329</v>
      </c>
      <c r="H330" s="77">
        <v>6079940000</v>
      </c>
      <c r="I330" s="77" t="s">
        <v>1040</v>
      </c>
      <c r="J330" s="77" t="s">
        <v>37</v>
      </c>
      <c r="K330" s="77" t="s">
        <v>37</v>
      </c>
      <c r="L330" s="77" t="s">
        <v>1395</v>
      </c>
      <c r="M330" s="77" t="s">
        <v>37</v>
      </c>
      <c r="N330" s="77" t="s">
        <v>37</v>
      </c>
      <c r="O330" s="77" t="s">
        <v>38</v>
      </c>
      <c r="P330" s="77"/>
      <c r="Q330" s="76">
        <v>45967</v>
      </c>
      <c r="R330" s="77"/>
      <c r="S330" s="77"/>
      <c r="T330" s="77"/>
      <c r="U330" s="77"/>
      <c r="V330" s="78" t="s">
        <v>5432</v>
      </c>
      <c r="W330" s="79">
        <v>46053</v>
      </c>
      <c r="X330" s="78" t="s">
        <v>37</v>
      </c>
      <c r="Y330" s="78" t="s">
        <v>5442</v>
      </c>
      <c r="Z330" s="78" t="s">
        <v>5554</v>
      </c>
      <c r="AA330">
        <f>IF(COUNTIF('Call Queue'!$H$6:$H$20,V330)&gt;0,0,IF(AND(ISNUMBER(N330),N330&gt;0),10000000+N330,IF(ISNUMBER(N330*1),IF(N330*1&gt;0,10000000+N330*1,0),0))+IF(ISNUMBER(SEARCH("(",L330)),1000000+IFERROR(VALUE(SUBSTITUTE(SUBSTITUTE(SUBSTITUTE(MID(L330,SEARCH("(",L330)+1,SEARCH(")",L330)-SEARCH("(",L330)-1),"$",""),",","")," ","")),0),0))</f>
        <v>0</v>
      </c>
    </row>
    <row r="331" spans="1:27">
      <c r="A331" s="76">
        <v>45903</v>
      </c>
      <c r="B331" s="77" t="s">
        <v>1396</v>
      </c>
      <c r="C331" s="77" t="s">
        <v>1397</v>
      </c>
      <c r="D331" s="77" t="s">
        <v>63</v>
      </c>
      <c r="E331" s="77">
        <v>85085</v>
      </c>
      <c r="F331" s="77" t="s">
        <v>310</v>
      </c>
      <c r="G331" s="77" t="s">
        <v>1329</v>
      </c>
      <c r="H331" s="77">
        <v>4878430000</v>
      </c>
      <c r="I331" s="77" t="s">
        <v>541</v>
      </c>
      <c r="J331" s="77" t="s">
        <v>37</v>
      </c>
      <c r="K331" s="77" t="s">
        <v>37</v>
      </c>
      <c r="L331" s="77" t="s">
        <v>389</v>
      </c>
      <c r="M331" s="77" t="s">
        <v>37</v>
      </c>
      <c r="N331" s="77" t="s">
        <v>37</v>
      </c>
      <c r="O331" s="77" t="s">
        <v>38</v>
      </c>
      <c r="P331" s="77" t="s">
        <v>39</v>
      </c>
      <c r="Q331" s="76">
        <v>45967</v>
      </c>
      <c r="R331" s="77"/>
      <c r="S331" s="77"/>
      <c r="T331" s="77"/>
      <c r="U331" s="77"/>
      <c r="V331" s="78"/>
      <c r="W331" s="79"/>
      <c r="X331" s="78"/>
      <c r="Y331" s="78"/>
      <c r="Z331" s="78"/>
      <c r="AA331">
        <f>IF(COUNTIF('Call Queue'!$H$6:$H$20,V331)&gt;0,0,IF(AND(ISNUMBER(N331),N331&gt;0),10000000+N331,IF(ISNUMBER(N331*1),IF(N331*1&gt;0,10000000+N331*1,0),0))+IF(ISNUMBER(SEARCH("(",L331)),1000000+IFERROR(VALUE(SUBSTITUTE(SUBSTITUTE(SUBSTITUTE(MID(L331,SEARCH("(",L331)+1,SEARCH(")",L331)-SEARCH("(",L331)-1),"$",""),",","")," ","")),0),0))</f>
        <v>0</v>
      </c>
    </row>
    <row r="332" spans="1:27">
      <c r="A332" s="76">
        <v>45903</v>
      </c>
      <c r="B332" s="77" t="s">
        <v>1403</v>
      </c>
      <c r="C332" s="77" t="s">
        <v>1404</v>
      </c>
      <c r="D332" s="77" t="s">
        <v>112</v>
      </c>
      <c r="E332" s="77">
        <v>85387</v>
      </c>
      <c r="F332" s="77" t="s">
        <v>310</v>
      </c>
      <c r="G332" s="77" t="s">
        <v>1329</v>
      </c>
      <c r="H332" s="77">
        <v>5835127577</v>
      </c>
      <c r="I332" s="77" t="s">
        <v>36</v>
      </c>
      <c r="J332" s="77" t="s">
        <v>37</v>
      </c>
      <c r="K332" s="77" t="s">
        <v>37</v>
      </c>
      <c r="L332" s="77" t="s">
        <v>38</v>
      </c>
      <c r="M332" s="77" t="s">
        <v>37</v>
      </c>
      <c r="N332" s="77" t="s">
        <v>37</v>
      </c>
      <c r="O332" s="77" t="s">
        <v>38</v>
      </c>
      <c r="P332" s="77" t="s">
        <v>39</v>
      </c>
      <c r="Q332" s="76">
        <v>45967</v>
      </c>
      <c r="R332" s="77"/>
      <c r="S332" s="77"/>
      <c r="T332" s="77"/>
      <c r="U332" s="77"/>
      <c r="V332" s="78"/>
      <c r="W332" s="79"/>
      <c r="X332" s="78"/>
      <c r="Y332" s="78"/>
      <c r="Z332" s="78"/>
      <c r="AA332">
        <f>IF(COUNTIF('Call Queue'!$H$6:$H$20,V332)&gt;0,0,IF(AND(ISNUMBER(N332),N332&gt;0),10000000+N332,IF(ISNUMBER(N332*1),IF(N332*1&gt;0,10000000+N332*1,0),0))+IF(ISNUMBER(SEARCH("(",L332)),1000000+IFERROR(VALUE(SUBSTITUTE(SUBSTITUTE(SUBSTITUTE(MID(L332,SEARCH("(",L332)+1,SEARCH(")",L332)-SEARCH("(",L332)-1),"$",""),",","")," ","")),0),0))</f>
        <v>0</v>
      </c>
    </row>
    <row r="333" spans="1:27">
      <c r="A333" s="76">
        <v>45903</v>
      </c>
      <c r="B333" s="77" t="s">
        <v>1406</v>
      </c>
      <c r="C333" s="77" t="s">
        <v>1407</v>
      </c>
      <c r="D333" s="77" t="s">
        <v>202</v>
      </c>
      <c r="E333" s="77">
        <v>85383</v>
      </c>
      <c r="F333" s="77" t="s">
        <v>310</v>
      </c>
      <c r="G333" s="77" t="s">
        <v>1329</v>
      </c>
      <c r="H333" s="77">
        <v>9757441000</v>
      </c>
      <c r="I333" s="77" t="s">
        <v>1040</v>
      </c>
      <c r="J333" s="77" t="s">
        <v>37</v>
      </c>
      <c r="K333" s="77" t="s">
        <v>37</v>
      </c>
      <c r="L333" s="77" t="s">
        <v>1409</v>
      </c>
      <c r="M333" s="77" t="s">
        <v>37</v>
      </c>
      <c r="N333" s="77" t="s">
        <v>37</v>
      </c>
      <c r="O333" s="77" t="s">
        <v>38</v>
      </c>
      <c r="P333" s="77" t="s">
        <v>39</v>
      </c>
      <c r="Q333" s="76">
        <v>45967</v>
      </c>
      <c r="R333" s="77" t="s">
        <v>1410</v>
      </c>
      <c r="S333" s="77"/>
      <c r="T333" s="77"/>
      <c r="U333" s="77"/>
      <c r="V333" s="78" t="s">
        <v>5432</v>
      </c>
      <c r="W333" s="79">
        <v>46060</v>
      </c>
      <c r="X333" s="78" t="s">
        <v>37</v>
      </c>
      <c r="Y333" s="78"/>
      <c r="Z333" s="78" t="s">
        <v>5434</v>
      </c>
      <c r="AA333">
        <f>IF(COUNTIF('Call Queue'!$H$6:$H$20,V333)&gt;0,0,IF(AND(ISNUMBER(N333),N333&gt;0),10000000+N333,IF(ISNUMBER(N333*1),IF(N333*1&gt;0,10000000+N333*1,0),0))+IF(ISNUMBER(SEARCH("(",L333)),1000000+IFERROR(VALUE(SUBSTITUTE(SUBSTITUTE(SUBSTITUTE(MID(L333,SEARCH("(",L333)+1,SEARCH(")",L333)-SEARCH("(",L333)-1),"$",""),",","")," ","")),0),0))</f>
        <v>0</v>
      </c>
    </row>
    <row r="334" spans="1:27">
      <c r="A334" s="76">
        <v>45903</v>
      </c>
      <c r="B334" s="77" t="s">
        <v>1413</v>
      </c>
      <c r="C334" s="77" t="s">
        <v>355</v>
      </c>
      <c r="D334" s="77" t="s">
        <v>63</v>
      </c>
      <c r="E334" s="77">
        <v>85027</v>
      </c>
      <c r="F334" s="77" t="s">
        <v>310</v>
      </c>
      <c r="G334" s="77" t="s">
        <v>1329</v>
      </c>
      <c r="H334" s="77">
        <v>7502531000</v>
      </c>
      <c r="I334" s="77" t="s">
        <v>196</v>
      </c>
      <c r="J334" s="77" t="s">
        <v>37</v>
      </c>
      <c r="K334" s="77" t="s">
        <v>37</v>
      </c>
      <c r="L334" s="77" t="s">
        <v>1415</v>
      </c>
      <c r="M334" s="77" t="s">
        <v>37</v>
      </c>
      <c r="N334" s="77" t="s">
        <v>37</v>
      </c>
      <c r="O334" s="77" t="s">
        <v>38</v>
      </c>
      <c r="P334" s="77" t="s">
        <v>39</v>
      </c>
      <c r="Q334" s="76">
        <v>45967</v>
      </c>
      <c r="R334" s="77"/>
      <c r="S334" s="77"/>
      <c r="T334" s="77"/>
      <c r="U334" s="77"/>
      <c r="V334" s="78" t="s">
        <v>117</v>
      </c>
      <c r="W334" s="79">
        <v>46039</v>
      </c>
      <c r="X334" s="78" t="s">
        <v>38</v>
      </c>
      <c r="Y334" s="78"/>
      <c r="Z334" s="78"/>
      <c r="AA334">
        <f>IF(COUNTIF('Call Queue'!$H$6:$H$20,V334)&gt;0,0,IF(AND(ISNUMBER(N334),N334&gt;0),10000000+N334,IF(ISNUMBER(N334*1),IF(N334*1&gt;0,10000000+N334*1,0),0))+IF(ISNUMBER(SEARCH("(",L334)),1000000+IFERROR(VALUE(SUBSTITUTE(SUBSTITUTE(SUBSTITUTE(MID(L334,SEARCH("(",L334)+1,SEARCH(")",L334)-SEARCH("(",L334)-1),"$",""),",","")," ","")),0),0))</f>
        <v>0</v>
      </c>
    </row>
    <row r="335" spans="1:27">
      <c r="A335" s="76">
        <v>45903</v>
      </c>
      <c r="B335" s="77" t="s">
        <v>1416</v>
      </c>
      <c r="C335" s="77" t="s">
        <v>1417</v>
      </c>
      <c r="D335" s="77" t="s">
        <v>202</v>
      </c>
      <c r="E335" s="77">
        <v>85383</v>
      </c>
      <c r="F335" s="77" t="s">
        <v>31</v>
      </c>
      <c r="G335" s="77" t="s">
        <v>1329</v>
      </c>
      <c r="H335" s="77" t="s">
        <v>209</v>
      </c>
      <c r="I335" s="77"/>
      <c r="J335" s="77"/>
      <c r="K335" s="77"/>
      <c r="L335" s="77"/>
      <c r="M335" s="77"/>
      <c r="N335" s="77"/>
      <c r="O335" s="77"/>
      <c r="P335" s="77"/>
      <c r="Q335" s="76"/>
      <c r="R335" s="77"/>
      <c r="S335" s="77"/>
      <c r="T335" s="77"/>
      <c r="U335" s="77"/>
      <c r="V335" s="78"/>
      <c r="W335" s="79"/>
      <c r="X335" s="78"/>
      <c r="Y335" s="78"/>
      <c r="Z335" s="78"/>
      <c r="AA335">
        <f>IF(COUNTIF('Call Queue'!$H$6:$H$20,V335)&gt;0,0,IF(AND(ISNUMBER(N335),N335&gt;0),10000000+N335,IF(ISNUMBER(N335*1),IF(N335*1&gt;0,10000000+N335*1,0),0))+IF(ISNUMBER(SEARCH("(",L335)),1000000+IFERROR(VALUE(SUBSTITUTE(SUBSTITUTE(SUBSTITUTE(MID(L335,SEARCH("(",L335)+1,SEARCH(")",L335)-SEARCH("(",L335)-1),"$",""),",","")," ","")),0),0))</f>
        <v>0</v>
      </c>
    </row>
    <row r="336" spans="1:27">
      <c r="A336" s="76">
        <v>45903</v>
      </c>
      <c r="B336" s="77" t="s">
        <v>1418</v>
      </c>
      <c r="C336" s="77" t="s">
        <v>1265</v>
      </c>
      <c r="D336" s="77" t="s">
        <v>63</v>
      </c>
      <c r="E336" s="77">
        <v>85086</v>
      </c>
      <c r="F336" s="77" t="s">
        <v>310</v>
      </c>
      <c r="G336" s="77" t="s">
        <v>1329</v>
      </c>
      <c r="H336" s="77">
        <v>6050230000</v>
      </c>
      <c r="I336" s="77" t="s">
        <v>46</v>
      </c>
      <c r="J336" s="77" t="s">
        <v>37</v>
      </c>
      <c r="K336" s="77" t="s">
        <v>37</v>
      </c>
      <c r="L336" s="77" t="s">
        <v>1420</v>
      </c>
      <c r="M336" s="77" t="s">
        <v>37</v>
      </c>
      <c r="N336" s="77" t="s">
        <v>37</v>
      </c>
      <c r="O336" s="77" t="s">
        <v>38</v>
      </c>
      <c r="P336" s="77" t="s">
        <v>39</v>
      </c>
      <c r="Q336" s="76">
        <v>45967</v>
      </c>
      <c r="R336" s="77" t="s">
        <v>1421</v>
      </c>
      <c r="S336" s="77"/>
      <c r="T336" s="77"/>
      <c r="U336" s="77"/>
      <c r="V336" s="78"/>
      <c r="W336" s="79"/>
      <c r="X336" s="78"/>
      <c r="Y336" s="78"/>
      <c r="Z336" s="78"/>
      <c r="AA336">
        <f>IF(COUNTIF('Call Queue'!$H$6:$H$20,V336)&gt;0,0,IF(AND(ISNUMBER(N336),N336&gt;0),10000000+N336,IF(ISNUMBER(N336*1),IF(N336*1&gt;0,10000000+N336*1,0),0))+IF(ISNUMBER(SEARCH("(",L336)),1000000+IFERROR(VALUE(SUBSTITUTE(SUBSTITUTE(SUBSTITUTE(MID(L336,SEARCH("(",L336)+1,SEARCH(")",L336)-SEARCH("(",L336)-1),"$",""),",","")," ","")),0),0))</f>
        <v>0</v>
      </c>
    </row>
    <row r="337" spans="1:27">
      <c r="A337" s="76">
        <v>45903</v>
      </c>
      <c r="B337" s="77" t="s">
        <v>1422</v>
      </c>
      <c r="C337" s="77" t="s">
        <v>1423</v>
      </c>
      <c r="D337" s="77" t="s">
        <v>523</v>
      </c>
      <c r="E337" s="77">
        <v>85392</v>
      </c>
      <c r="F337" s="77" t="s">
        <v>31</v>
      </c>
      <c r="G337" s="77" t="s">
        <v>1329</v>
      </c>
      <c r="H337" s="77">
        <v>5719941000</v>
      </c>
      <c r="I337" s="77" t="s">
        <v>418</v>
      </c>
      <c r="J337" s="77" t="s">
        <v>37</v>
      </c>
      <c r="K337" s="77" t="s">
        <v>37</v>
      </c>
      <c r="L337" s="77" t="s">
        <v>389</v>
      </c>
      <c r="M337" s="77" t="s">
        <v>37</v>
      </c>
      <c r="N337" s="77" t="s">
        <v>37</v>
      </c>
      <c r="O337" s="77" t="s">
        <v>38</v>
      </c>
      <c r="P337" s="77" t="s">
        <v>39</v>
      </c>
      <c r="Q337" s="76">
        <v>45967</v>
      </c>
      <c r="R337" s="77"/>
      <c r="S337" s="77"/>
      <c r="T337" s="77"/>
      <c r="U337" s="77"/>
      <c r="V337" s="78"/>
      <c r="W337" s="79"/>
      <c r="X337" s="78"/>
      <c r="Y337" s="78"/>
      <c r="Z337" s="78"/>
      <c r="AA337">
        <f>IF(COUNTIF('Call Queue'!$H$6:$H$20,V337)&gt;0,0,IF(AND(ISNUMBER(N337),N337&gt;0),10000000+N337,IF(ISNUMBER(N337*1),IF(N337*1&gt;0,10000000+N337*1,0),0))+IF(ISNUMBER(SEARCH("(",L337)),1000000+IFERROR(VALUE(SUBSTITUTE(SUBSTITUTE(SUBSTITUTE(MID(L337,SEARCH("(",L337)+1,SEARCH(")",L337)-SEARCH("(",L337)-1),"$",""),",","")," ","")),0),0))</f>
        <v>0</v>
      </c>
    </row>
    <row r="338" spans="1:27">
      <c r="A338" s="76">
        <v>45903</v>
      </c>
      <c r="B338" s="77" t="s">
        <v>1425</v>
      </c>
      <c r="C338" s="77" t="s">
        <v>1426</v>
      </c>
      <c r="D338" s="77" t="s">
        <v>63</v>
      </c>
      <c r="E338" s="77">
        <v>85021</v>
      </c>
      <c r="F338" s="77" t="s">
        <v>310</v>
      </c>
      <c r="G338" s="77" t="s">
        <v>1329</v>
      </c>
      <c r="H338" s="77">
        <v>987457107</v>
      </c>
      <c r="I338" s="77" t="s">
        <v>196</v>
      </c>
      <c r="J338" s="77" t="s">
        <v>37</v>
      </c>
      <c r="K338" s="77" t="s">
        <v>37</v>
      </c>
      <c r="L338" s="77" t="s">
        <v>1428</v>
      </c>
      <c r="M338" s="77" t="s">
        <v>37</v>
      </c>
      <c r="N338" s="77" t="s">
        <v>37</v>
      </c>
      <c r="O338" s="77" t="s">
        <v>38</v>
      </c>
      <c r="P338" s="77">
        <v>45936</v>
      </c>
      <c r="Q338" s="76">
        <v>45967</v>
      </c>
      <c r="R338" s="77" t="s">
        <v>1429</v>
      </c>
      <c r="S338" s="77"/>
      <c r="T338" s="77"/>
      <c r="U338" s="77"/>
      <c r="V338" s="78" t="s">
        <v>117</v>
      </c>
      <c r="W338" s="79">
        <v>46039</v>
      </c>
      <c r="X338" s="78" t="s">
        <v>38</v>
      </c>
      <c r="Y338" s="78"/>
      <c r="Z338" s="78"/>
      <c r="AA338">
        <f>IF(COUNTIF('Call Queue'!$H$6:$H$20,V338)&gt;0,0,IF(AND(ISNUMBER(N338),N338&gt;0),10000000+N338,IF(ISNUMBER(N338*1),IF(N338*1&gt;0,10000000+N338*1,0),0))+IF(ISNUMBER(SEARCH("(",L338)),1000000+IFERROR(VALUE(SUBSTITUTE(SUBSTITUTE(SUBSTITUTE(MID(L338,SEARCH("(",L338)+1,SEARCH(")",L338)-SEARCH("(",L338)-1),"$",""),",","")," ","")),0),0))</f>
        <v>0</v>
      </c>
    </row>
    <row r="339" spans="1:27">
      <c r="A339" s="76">
        <v>45903</v>
      </c>
      <c r="B339" s="77" t="s">
        <v>1431</v>
      </c>
      <c r="C339" s="77" t="s">
        <v>1432</v>
      </c>
      <c r="D339" s="77" t="s">
        <v>63</v>
      </c>
      <c r="E339" s="77">
        <v>85024</v>
      </c>
      <c r="F339" s="77" t="s">
        <v>310</v>
      </c>
      <c r="G339" s="77" t="s">
        <v>1329</v>
      </c>
      <c r="H339" s="77">
        <v>3043741000</v>
      </c>
      <c r="I339" s="77" t="s">
        <v>36</v>
      </c>
      <c r="J339" s="77" t="s">
        <v>37</v>
      </c>
      <c r="K339" s="77" t="s">
        <v>37</v>
      </c>
      <c r="L339" s="77" t="s">
        <v>38</v>
      </c>
      <c r="M339" s="77" t="s">
        <v>37</v>
      </c>
      <c r="N339" s="77" t="s">
        <v>37</v>
      </c>
      <c r="O339" s="77" t="s">
        <v>38</v>
      </c>
      <c r="P339" s="77" t="s">
        <v>39</v>
      </c>
      <c r="Q339" s="76">
        <v>45967</v>
      </c>
      <c r="R339" s="77"/>
      <c r="S339" s="77"/>
      <c r="T339" s="77"/>
      <c r="U339" s="77"/>
      <c r="V339" s="78"/>
      <c r="W339" s="79"/>
      <c r="X339" s="78"/>
      <c r="Y339" s="78"/>
      <c r="Z339" s="78"/>
      <c r="AA339">
        <f>IF(COUNTIF('Call Queue'!$H$6:$H$20,V339)&gt;0,0,IF(AND(ISNUMBER(N339),N339&gt;0),10000000+N339,IF(ISNUMBER(N339*1),IF(N339*1&gt;0,10000000+N339*1,0),0))+IF(ISNUMBER(SEARCH("(",L339)),1000000+IFERROR(VALUE(SUBSTITUTE(SUBSTITUTE(SUBSTITUTE(MID(L339,SEARCH("(",L339)+1,SEARCH(")",L339)-SEARCH("(",L339)-1),"$",""),",","")," ","")),0),0))</f>
        <v>0</v>
      </c>
    </row>
    <row r="340" spans="1:27">
      <c r="A340" s="76">
        <v>45903</v>
      </c>
      <c r="B340" s="77" t="s">
        <v>1434</v>
      </c>
      <c r="C340" s="77" t="s">
        <v>1435</v>
      </c>
      <c r="D340" s="77" t="s">
        <v>169</v>
      </c>
      <c r="E340" s="77">
        <v>85338</v>
      </c>
      <c r="F340" s="77" t="s">
        <v>31</v>
      </c>
      <c r="G340" s="77" t="s">
        <v>1329</v>
      </c>
      <c r="H340" s="77">
        <v>1316621000</v>
      </c>
      <c r="I340" s="77" t="s">
        <v>126</v>
      </c>
      <c r="J340" s="77" t="s">
        <v>38</v>
      </c>
      <c r="K340" s="77" t="s">
        <v>37</v>
      </c>
      <c r="L340" s="77" t="s">
        <v>1437</v>
      </c>
      <c r="M340" s="77" t="s">
        <v>37</v>
      </c>
      <c r="N340" s="77" t="s">
        <v>37</v>
      </c>
      <c r="O340" s="77" t="s">
        <v>38</v>
      </c>
      <c r="P340" s="77">
        <v>45936</v>
      </c>
      <c r="Q340" s="76">
        <v>45967</v>
      </c>
      <c r="R340" s="77" t="s">
        <v>1429</v>
      </c>
      <c r="S340" s="77"/>
      <c r="T340" s="77"/>
      <c r="U340" s="77"/>
      <c r="V340" s="78" t="s">
        <v>117</v>
      </c>
      <c r="W340" s="79">
        <v>46039</v>
      </c>
      <c r="X340" s="78" t="s">
        <v>38</v>
      </c>
      <c r="Y340" s="78"/>
      <c r="Z340" s="78"/>
      <c r="AA340">
        <f>IF(COUNTIF('Call Queue'!$H$6:$H$20,V340)&gt;0,0,IF(AND(ISNUMBER(N340),N340&gt;0),10000000+N340,IF(ISNUMBER(N340*1),IF(N340*1&gt;0,10000000+N340*1,0),0))+IF(ISNUMBER(SEARCH("(",L340)),1000000+IFERROR(VALUE(SUBSTITUTE(SUBSTITUTE(SUBSTITUTE(MID(L340,SEARCH("(",L340)+1,SEARCH(")",L340)-SEARCH("(",L340)-1),"$",""),",","")," ","")),0),0))</f>
        <v>0</v>
      </c>
    </row>
    <row r="341" spans="1:27">
      <c r="A341" s="76">
        <v>45903</v>
      </c>
      <c r="B341" s="77" t="s">
        <v>1438</v>
      </c>
      <c r="C341" s="77" t="s">
        <v>1439</v>
      </c>
      <c r="D341" s="77" t="s">
        <v>112</v>
      </c>
      <c r="E341" s="77">
        <v>85379</v>
      </c>
      <c r="F341" s="77" t="s">
        <v>31</v>
      </c>
      <c r="G341" s="77" t="s">
        <v>1329</v>
      </c>
      <c r="H341" s="77">
        <v>7992160000</v>
      </c>
      <c r="I341" s="77" t="s">
        <v>36</v>
      </c>
      <c r="J341" s="77" t="s">
        <v>37</v>
      </c>
      <c r="K341" s="77" t="s">
        <v>37</v>
      </c>
      <c r="L341" s="77" t="s">
        <v>38</v>
      </c>
      <c r="M341" s="77" t="s">
        <v>37</v>
      </c>
      <c r="N341" s="77" t="s">
        <v>37</v>
      </c>
      <c r="O341" s="77" t="s">
        <v>38</v>
      </c>
      <c r="P341" s="77" t="s">
        <v>39</v>
      </c>
      <c r="Q341" s="76">
        <v>45967</v>
      </c>
      <c r="R341" s="77"/>
      <c r="S341" s="77"/>
      <c r="T341" s="77"/>
      <c r="U341" s="77"/>
      <c r="V341" s="78"/>
      <c r="W341" s="79"/>
      <c r="X341" s="78"/>
      <c r="Y341" s="78"/>
      <c r="Z341" s="78"/>
      <c r="AA341">
        <f>IF(COUNTIF('Call Queue'!$H$6:$H$20,V341)&gt;0,0,IF(AND(ISNUMBER(N341),N341&gt;0),10000000+N341,IF(ISNUMBER(N341*1),IF(N341*1&gt;0,10000000+N341*1,0),0))+IF(ISNUMBER(SEARCH("(",L341)),1000000+IFERROR(VALUE(SUBSTITUTE(SUBSTITUTE(SUBSTITUTE(MID(L341,SEARCH("(",L341)+1,SEARCH(")",L341)-SEARCH("(",L341)-1),"$",""),",","")," ","")),0),0))</f>
        <v>0</v>
      </c>
    </row>
    <row r="342" spans="1:27">
      <c r="A342" s="76">
        <v>45903</v>
      </c>
      <c r="B342" s="77" t="s">
        <v>1441</v>
      </c>
      <c r="C342" s="77" t="s">
        <v>1372</v>
      </c>
      <c r="D342" s="77" t="s">
        <v>169</v>
      </c>
      <c r="E342" s="77">
        <v>85338</v>
      </c>
      <c r="F342" s="77" t="s">
        <v>310</v>
      </c>
      <c r="G342" s="77" t="s">
        <v>1329</v>
      </c>
      <c r="H342" s="77">
        <v>4026025798</v>
      </c>
      <c r="I342" s="77" t="s">
        <v>57</v>
      </c>
      <c r="J342" s="77" t="s">
        <v>37</v>
      </c>
      <c r="K342" s="77" t="s">
        <v>37</v>
      </c>
      <c r="L342" s="77" t="s">
        <v>1443</v>
      </c>
      <c r="M342" s="77" t="s">
        <v>37</v>
      </c>
      <c r="N342" s="77" t="s">
        <v>37</v>
      </c>
      <c r="O342" s="77" t="s">
        <v>38</v>
      </c>
      <c r="P342" s="77" t="s">
        <v>39</v>
      </c>
      <c r="Q342" s="76">
        <v>45967</v>
      </c>
      <c r="R342" s="77"/>
      <c r="S342" s="77"/>
      <c r="T342" s="77"/>
      <c r="U342" s="77"/>
      <c r="V342" s="78" t="s">
        <v>117</v>
      </c>
      <c r="W342" s="79">
        <v>46039</v>
      </c>
      <c r="X342" s="78" t="s">
        <v>38</v>
      </c>
      <c r="Y342" s="78"/>
      <c r="Z342" s="78"/>
      <c r="AA342">
        <f>IF(COUNTIF('Call Queue'!$H$6:$H$20,V342)&gt;0,0,IF(AND(ISNUMBER(N342),N342&gt;0),10000000+N342,IF(ISNUMBER(N342*1),IF(N342*1&gt;0,10000000+N342*1,0),0))+IF(ISNUMBER(SEARCH("(",L342)),1000000+IFERROR(VALUE(SUBSTITUTE(SUBSTITUTE(SUBSTITUTE(MID(L342,SEARCH("(",L342)+1,SEARCH(")",L342)-SEARCH("(",L342)-1),"$",""),",","")," ","")),0),0))</f>
        <v>0</v>
      </c>
    </row>
    <row r="343" spans="1:27">
      <c r="A343" s="76">
        <v>45903</v>
      </c>
      <c r="B343" s="77" t="s">
        <v>363</v>
      </c>
      <c r="C343" s="77" t="s">
        <v>1444</v>
      </c>
      <c r="D343" s="77" t="s">
        <v>63</v>
      </c>
      <c r="E343" s="77">
        <v>85085</v>
      </c>
      <c r="F343" s="77" t="s">
        <v>31</v>
      </c>
      <c r="G343" s="77" t="s">
        <v>1329</v>
      </c>
      <c r="H343" s="77">
        <v>6379311000</v>
      </c>
      <c r="I343" s="77" t="s">
        <v>250</v>
      </c>
      <c r="J343" s="77" t="s">
        <v>37</v>
      </c>
      <c r="K343" s="77" t="s">
        <v>37</v>
      </c>
      <c r="L343" s="77" t="s">
        <v>38</v>
      </c>
      <c r="M343" s="77" t="s">
        <v>37</v>
      </c>
      <c r="N343" s="77" t="s">
        <v>37</v>
      </c>
      <c r="O343" s="77" t="s">
        <v>38</v>
      </c>
      <c r="P343" s="77" t="s">
        <v>39</v>
      </c>
      <c r="Q343" s="76">
        <v>45967</v>
      </c>
      <c r="R343" s="77"/>
      <c r="S343" s="77"/>
      <c r="T343" s="77"/>
      <c r="U343" s="77"/>
      <c r="V343" s="78"/>
      <c r="W343" s="79"/>
      <c r="X343" s="78"/>
      <c r="Y343" s="78"/>
      <c r="Z343" s="78"/>
      <c r="AA343">
        <f>IF(COUNTIF('Call Queue'!$H$6:$H$20,V343)&gt;0,0,IF(AND(ISNUMBER(N343),N343&gt;0),10000000+N343,IF(ISNUMBER(N343*1),IF(N343*1&gt;0,10000000+N343*1,0),0))+IF(ISNUMBER(SEARCH("(",L343)),1000000+IFERROR(VALUE(SUBSTITUTE(SUBSTITUTE(SUBSTITUTE(MID(L343,SEARCH("(",L343)+1,SEARCH(")",L343)-SEARCH("(",L343)-1),"$",""),",","")," ","")),0),0))</f>
        <v>0</v>
      </c>
    </row>
    <row r="344" spans="1:27">
      <c r="A344" s="76">
        <v>45903</v>
      </c>
      <c r="B344" s="77" t="s">
        <v>1446</v>
      </c>
      <c r="C344" s="77" t="s">
        <v>1447</v>
      </c>
      <c r="D344" s="77" t="s">
        <v>63</v>
      </c>
      <c r="E344" s="77">
        <v>85053</v>
      </c>
      <c r="F344" s="77" t="s">
        <v>31</v>
      </c>
      <c r="G344" s="77" t="s">
        <v>1329</v>
      </c>
      <c r="H344" s="77">
        <v>843128737</v>
      </c>
      <c r="I344" s="77" t="s">
        <v>250</v>
      </c>
      <c r="J344" s="77" t="s">
        <v>37</v>
      </c>
      <c r="K344" s="77" t="s">
        <v>37</v>
      </c>
      <c r="L344" s="77" t="s">
        <v>38</v>
      </c>
      <c r="M344" s="77" t="s">
        <v>37</v>
      </c>
      <c r="N344" s="77" t="s">
        <v>37</v>
      </c>
      <c r="O344" s="77" t="s">
        <v>38</v>
      </c>
      <c r="P344" s="77" t="s">
        <v>39</v>
      </c>
      <c r="Q344" s="76">
        <v>45967</v>
      </c>
      <c r="R344" s="77"/>
      <c r="S344" s="77"/>
      <c r="T344" s="77"/>
      <c r="U344" s="77"/>
      <c r="V344" s="78"/>
      <c r="W344" s="79"/>
      <c r="X344" s="78"/>
      <c r="Y344" s="78"/>
      <c r="Z344" s="78"/>
      <c r="AA344">
        <f>IF(COUNTIF('Call Queue'!$H$6:$H$20,V344)&gt;0,0,IF(AND(ISNUMBER(N344),N344&gt;0),10000000+N344,IF(ISNUMBER(N344*1),IF(N344*1&gt;0,10000000+N344*1,0),0))+IF(ISNUMBER(SEARCH("(",L344)),1000000+IFERROR(VALUE(SUBSTITUTE(SUBSTITUTE(SUBSTITUTE(MID(L344,SEARCH("(",L344)+1,SEARCH(")",L344)-SEARCH("(",L344)-1),"$",""),",","")," ","")),0),0))</f>
        <v>0</v>
      </c>
    </row>
    <row r="345" spans="1:27">
      <c r="A345" s="76">
        <v>45903</v>
      </c>
      <c r="B345" s="77" t="s">
        <v>1449</v>
      </c>
      <c r="C345" s="77" t="s">
        <v>1450</v>
      </c>
      <c r="D345" s="77" t="s">
        <v>169</v>
      </c>
      <c r="E345" s="77">
        <v>85395</v>
      </c>
      <c r="F345" s="77" t="s">
        <v>31</v>
      </c>
      <c r="G345" s="77" t="s">
        <v>1329</v>
      </c>
      <c r="H345" s="77">
        <v>3675324926</v>
      </c>
      <c r="I345" s="77" t="s">
        <v>243</v>
      </c>
      <c r="J345" s="77" t="s">
        <v>37</v>
      </c>
      <c r="K345" s="77" t="s">
        <v>37</v>
      </c>
      <c r="L345" s="77" t="s">
        <v>389</v>
      </c>
      <c r="M345" s="77" t="s">
        <v>37</v>
      </c>
      <c r="N345" s="77" t="s">
        <v>37</v>
      </c>
      <c r="O345" s="77" t="s">
        <v>38</v>
      </c>
      <c r="P345" s="77" t="s">
        <v>39</v>
      </c>
      <c r="Q345" s="76">
        <v>45967</v>
      </c>
      <c r="R345" s="77"/>
      <c r="S345" s="77"/>
      <c r="T345" s="77"/>
      <c r="U345" s="77"/>
      <c r="V345" s="78"/>
      <c r="W345" s="79"/>
      <c r="X345" s="78"/>
      <c r="Y345" s="78"/>
      <c r="Z345" s="78"/>
      <c r="AA345">
        <f>IF(COUNTIF('Call Queue'!$H$6:$H$20,V345)&gt;0,0,IF(AND(ISNUMBER(N345),N345&gt;0),10000000+N345,IF(ISNUMBER(N345*1),IF(N345*1&gt;0,10000000+N345*1,0),0))+IF(ISNUMBER(SEARCH("(",L345)),1000000+IFERROR(VALUE(SUBSTITUTE(SUBSTITUTE(SUBSTITUTE(MID(L345,SEARCH("(",L345)+1,SEARCH(")",L345)-SEARCH("(",L345)-1),"$",""),",","")," ","")),0),0))</f>
        <v>0</v>
      </c>
    </row>
    <row r="346" spans="1:27">
      <c r="A346" s="76">
        <v>45903</v>
      </c>
      <c r="B346" s="77" t="s">
        <v>1452</v>
      </c>
      <c r="C346" s="77" t="s">
        <v>206</v>
      </c>
      <c r="D346" s="77" t="s">
        <v>539</v>
      </c>
      <c r="E346" s="77">
        <v>85123</v>
      </c>
      <c r="F346" s="77" t="s">
        <v>31</v>
      </c>
      <c r="G346" s="77" t="s">
        <v>1329</v>
      </c>
      <c r="H346" s="77">
        <v>3143419434</v>
      </c>
      <c r="I346" s="77" t="s">
        <v>126</v>
      </c>
      <c r="J346" s="77" t="s">
        <v>37</v>
      </c>
      <c r="K346" s="77" t="s">
        <v>37</v>
      </c>
      <c r="L346" s="77" t="s">
        <v>38</v>
      </c>
      <c r="M346" s="77" t="s">
        <v>37</v>
      </c>
      <c r="N346" s="77" t="s">
        <v>37</v>
      </c>
      <c r="O346" s="77" t="s">
        <v>38</v>
      </c>
      <c r="P346" s="77" t="s">
        <v>39</v>
      </c>
      <c r="Q346" s="76">
        <v>45967</v>
      </c>
      <c r="R346" s="77"/>
      <c r="S346" s="77"/>
      <c r="T346" s="77"/>
      <c r="U346" s="77"/>
      <c r="V346" s="78"/>
      <c r="W346" s="79"/>
      <c r="X346" s="78"/>
      <c r="Y346" s="78"/>
      <c r="Z346" s="78"/>
      <c r="AA346">
        <f>IF(COUNTIF('Call Queue'!$H$6:$H$20,V346)&gt;0,0,IF(AND(ISNUMBER(N346),N346&gt;0),10000000+N346,IF(ISNUMBER(N346*1),IF(N346*1&gt;0,10000000+N346*1,0),0))+IF(ISNUMBER(SEARCH("(",L346)),1000000+IFERROR(VALUE(SUBSTITUTE(SUBSTITUTE(SUBSTITUTE(MID(L346,SEARCH("(",L346)+1,SEARCH(")",L346)-SEARCH("(",L346)-1),"$",""),",","")," ","")),0),0))</f>
        <v>0</v>
      </c>
    </row>
    <row r="347" spans="1:27">
      <c r="A347" s="76">
        <v>45903</v>
      </c>
      <c r="B347" s="77" t="s">
        <v>1458</v>
      </c>
      <c r="C347" s="77" t="s">
        <v>1459</v>
      </c>
      <c r="D347" s="77" t="s">
        <v>63</v>
      </c>
      <c r="E347" s="77">
        <v>85085</v>
      </c>
      <c r="F347" s="77" t="s">
        <v>31</v>
      </c>
      <c r="G347" s="77" t="s">
        <v>1329</v>
      </c>
      <c r="H347" s="77">
        <v>2624811000</v>
      </c>
      <c r="I347" s="77" t="s">
        <v>73</v>
      </c>
      <c r="J347" s="77" t="s">
        <v>37</v>
      </c>
      <c r="K347" s="77" t="s">
        <v>37</v>
      </c>
      <c r="L347" s="77" t="s">
        <v>38</v>
      </c>
      <c r="M347" s="77" t="s">
        <v>37</v>
      </c>
      <c r="N347" s="77" t="s">
        <v>37</v>
      </c>
      <c r="O347" s="77" t="s">
        <v>38</v>
      </c>
      <c r="P347" s="77" t="s">
        <v>39</v>
      </c>
      <c r="Q347" s="76">
        <v>45967</v>
      </c>
      <c r="R347" s="77"/>
      <c r="S347" s="77"/>
      <c r="T347" s="77"/>
      <c r="U347" s="77"/>
      <c r="V347" s="78"/>
      <c r="W347" s="79"/>
      <c r="X347" s="78"/>
      <c r="Y347" s="78"/>
      <c r="Z347" s="78"/>
      <c r="AA347">
        <f>IF(COUNTIF('Call Queue'!$H$6:$H$20,V347)&gt;0,0,IF(AND(ISNUMBER(N347),N347&gt;0),10000000+N347,IF(ISNUMBER(N347*1),IF(N347*1&gt;0,10000000+N347*1,0),0))+IF(ISNUMBER(SEARCH("(",L347)),1000000+IFERROR(VALUE(SUBSTITUTE(SUBSTITUTE(SUBSTITUTE(MID(L347,SEARCH("(",L347)+1,SEARCH(")",L347)-SEARCH("(",L347)-1),"$",""),",","")," ","")),0),0))</f>
        <v>0</v>
      </c>
    </row>
    <row r="348" spans="1:27">
      <c r="A348" s="76">
        <v>45903</v>
      </c>
      <c r="B348" s="77" t="s">
        <v>1462</v>
      </c>
      <c r="C348" s="77" t="s">
        <v>1463</v>
      </c>
      <c r="D348" s="77" t="s">
        <v>169</v>
      </c>
      <c r="E348" s="77">
        <v>85338</v>
      </c>
      <c r="F348" s="77" t="s">
        <v>31</v>
      </c>
      <c r="G348" s="77" t="s">
        <v>1329</v>
      </c>
      <c r="H348" s="77">
        <v>4290041000</v>
      </c>
      <c r="I348" s="77" t="s">
        <v>73</v>
      </c>
      <c r="J348" s="77" t="s">
        <v>37</v>
      </c>
      <c r="K348" s="77" t="s">
        <v>37</v>
      </c>
      <c r="L348" s="77" t="s">
        <v>38</v>
      </c>
      <c r="M348" s="77" t="s">
        <v>37</v>
      </c>
      <c r="N348" s="77" t="s">
        <v>37</v>
      </c>
      <c r="O348" s="77" t="s">
        <v>38</v>
      </c>
      <c r="P348" s="77" t="s">
        <v>39</v>
      </c>
      <c r="Q348" s="76">
        <v>45967</v>
      </c>
      <c r="R348" s="77"/>
      <c r="S348" s="77"/>
      <c r="T348" s="77"/>
      <c r="U348" s="77"/>
      <c r="V348" s="78"/>
      <c r="W348" s="79"/>
      <c r="X348" s="78"/>
      <c r="Y348" s="78"/>
      <c r="Z348" s="78"/>
      <c r="AA348">
        <f>IF(COUNTIF('Call Queue'!$H$6:$H$20,V348)&gt;0,0,IF(AND(ISNUMBER(N348),N348&gt;0),10000000+N348,IF(ISNUMBER(N348*1),IF(N348*1&gt;0,10000000+N348*1,0),0))+IF(ISNUMBER(SEARCH("(",L348)),1000000+IFERROR(VALUE(SUBSTITUTE(SUBSTITUTE(SUBSTITUTE(MID(L348,SEARCH("(",L348)+1,SEARCH(")",L348)-SEARCH("(",L348)-1),"$",""),",","")," ","")),0),0))</f>
        <v>0</v>
      </c>
    </row>
    <row r="349" spans="1:27">
      <c r="A349" s="76">
        <v>45903</v>
      </c>
      <c r="B349" s="77" t="s">
        <v>1466</v>
      </c>
      <c r="C349" s="77" t="s">
        <v>355</v>
      </c>
      <c r="D349" s="77" t="s">
        <v>63</v>
      </c>
      <c r="E349" s="77">
        <v>85085</v>
      </c>
      <c r="F349" s="77" t="s">
        <v>310</v>
      </c>
      <c r="G349" s="77" t="s">
        <v>1329</v>
      </c>
      <c r="H349" s="77" t="s">
        <v>209</v>
      </c>
      <c r="I349" s="77"/>
      <c r="J349" s="77"/>
      <c r="K349" s="77"/>
      <c r="L349" s="77"/>
      <c r="M349" s="77"/>
      <c r="N349" s="77"/>
      <c r="O349" s="77"/>
      <c r="P349" s="77"/>
      <c r="Q349" s="76"/>
      <c r="R349" s="77"/>
      <c r="S349" s="77"/>
      <c r="T349" s="77"/>
      <c r="U349" s="77"/>
      <c r="V349" s="78"/>
      <c r="W349" s="79"/>
      <c r="X349" s="78"/>
      <c r="Y349" s="78"/>
      <c r="Z349" s="78"/>
      <c r="AA349">
        <f>IF(COUNTIF('Call Queue'!$H$6:$H$20,V349)&gt;0,0,IF(AND(ISNUMBER(N349),N349&gt;0),10000000+N349,IF(ISNUMBER(N349*1),IF(N349*1&gt;0,10000000+N349*1,0),0))+IF(ISNUMBER(SEARCH("(",L349)),1000000+IFERROR(VALUE(SUBSTITUTE(SUBSTITUTE(SUBSTITUTE(MID(L349,SEARCH("(",L349)+1,SEARCH(")",L349)-SEARCH("(",L349)-1),"$",""),",","")," ","")),0),0))</f>
        <v>0</v>
      </c>
    </row>
    <row r="350" spans="1:27">
      <c r="A350" s="76">
        <v>45903</v>
      </c>
      <c r="B350" s="77" t="s">
        <v>1467</v>
      </c>
      <c r="C350" s="77" t="s">
        <v>133</v>
      </c>
      <c r="D350" s="77" t="s">
        <v>169</v>
      </c>
      <c r="E350" s="77">
        <v>85338</v>
      </c>
      <c r="F350" s="77" t="s">
        <v>31</v>
      </c>
      <c r="G350" s="77" t="s">
        <v>1329</v>
      </c>
      <c r="H350" s="77">
        <v>187524477</v>
      </c>
      <c r="I350" s="77" t="s">
        <v>46</v>
      </c>
      <c r="J350" s="77" t="s">
        <v>37</v>
      </c>
      <c r="K350" s="77" t="s">
        <v>37</v>
      </c>
      <c r="L350" s="77" t="s">
        <v>38</v>
      </c>
      <c r="M350" s="77" t="s">
        <v>37</v>
      </c>
      <c r="N350" s="77" t="s">
        <v>37</v>
      </c>
      <c r="O350" s="77" t="s">
        <v>38</v>
      </c>
      <c r="P350" s="77" t="s">
        <v>39</v>
      </c>
      <c r="Q350" s="76">
        <v>45967</v>
      </c>
      <c r="R350" s="77"/>
      <c r="S350" s="77"/>
      <c r="T350" s="77"/>
      <c r="U350" s="77"/>
      <c r="V350" s="78" t="s">
        <v>117</v>
      </c>
      <c r="W350" s="79">
        <v>45997</v>
      </c>
      <c r="X350" s="78" t="s">
        <v>37</v>
      </c>
      <c r="Y350" s="78"/>
      <c r="Z350" s="78" t="s">
        <v>5445</v>
      </c>
      <c r="AA350">
        <f>IF(COUNTIF('Call Queue'!$H$6:$H$20,V350)&gt;0,0,IF(AND(ISNUMBER(N350),N350&gt;0),10000000+N350,IF(ISNUMBER(N350*1),IF(N350*1&gt;0,10000000+N350*1,0),0))+IF(ISNUMBER(SEARCH("(",L350)),1000000+IFERROR(VALUE(SUBSTITUTE(SUBSTITUTE(SUBSTITUTE(MID(L350,SEARCH("(",L350)+1,SEARCH(")",L350)-SEARCH("(",L350)-1),"$",""),",","")," ","")),0),0))</f>
        <v>0</v>
      </c>
    </row>
    <row r="351" spans="1:27">
      <c r="A351" s="76">
        <v>45903</v>
      </c>
      <c r="B351" s="77" t="s">
        <v>1471</v>
      </c>
      <c r="C351" s="77" t="s">
        <v>1472</v>
      </c>
      <c r="D351" s="77" t="s">
        <v>169</v>
      </c>
      <c r="E351" s="77">
        <v>85395</v>
      </c>
      <c r="F351" s="77" t="s">
        <v>31</v>
      </c>
      <c r="G351" s="77" t="s">
        <v>1329</v>
      </c>
      <c r="H351" s="77">
        <v>6966001000</v>
      </c>
      <c r="I351" s="77" t="s">
        <v>250</v>
      </c>
      <c r="J351" s="77" t="s">
        <v>37</v>
      </c>
      <c r="K351" s="77" t="s">
        <v>37</v>
      </c>
      <c r="L351" s="77" t="s">
        <v>38</v>
      </c>
      <c r="M351" s="77" t="s">
        <v>37</v>
      </c>
      <c r="N351" s="77" t="s">
        <v>37</v>
      </c>
      <c r="O351" s="77" t="s">
        <v>38</v>
      </c>
      <c r="P351" s="77" t="s">
        <v>39</v>
      </c>
      <c r="Q351" s="76">
        <v>45967</v>
      </c>
      <c r="R351" s="77"/>
      <c r="S351" s="77"/>
      <c r="T351" s="77"/>
      <c r="U351" s="77"/>
      <c r="V351" s="78"/>
      <c r="W351" s="79"/>
      <c r="X351" s="78"/>
      <c r="Y351" s="78"/>
      <c r="Z351" s="78"/>
      <c r="AA351">
        <f>IF(COUNTIF('Call Queue'!$H$6:$H$20,V351)&gt;0,0,IF(AND(ISNUMBER(N351),N351&gt;0),10000000+N351,IF(ISNUMBER(N351*1),IF(N351*1&gt;0,10000000+N351*1,0),0))+IF(ISNUMBER(SEARCH("(",L351)),1000000+IFERROR(VALUE(SUBSTITUTE(SUBSTITUTE(SUBSTITUTE(MID(L351,SEARCH("(",L351)+1,SEARCH(")",L351)-SEARCH("(",L351)-1),"$",""),",","")," ","")),0),0))</f>
        <v>0</v>
      </c>
    </row>
    <row r="352" spans="1:27">
      <c r="A352" s="76">
        <v>45903</v>
      </c>
      <c r="B352" s="77" t="s">
        <v>1474</v>
      </c>
      <c r="C352" s="77" t="s">
        <v>1475</v>
      </c>
      <c r="D352" s="77" t="s">
        <v>523</v>
      </c>
      <c r="E352" s="77">
        <v>85392</v>
      </c>
      <c r="F352" s="77" t="s">
        <v>31</v>
      </c>
      <c r="G352" s="77" t="s">
        <v>1329</v>
      </c>
      <c r="H352" s="77">
        <v>1842320000</v>
      </c>
      <c r="I352" s="77" t="s">
        <v>126</v>
      </c>
      <c r="J352" s="77" t="s">
        <v>37</v>
      </c>
      <c r="K352" s="77" t="s">
        <v>37</v>
      </c>
      <c r="L352" s="77" t="s">
        <v>1477</v>
      </c>
      <c r="M352" s="77" t="s">
        <v>37</v>
      </c>
      <c r="N352" s="77" t="s">
        <v>37</v>
      </c>
      <c r="O352" s="77" t="s">
        <v>38</v>
      </c>
      <c r="P352" s="77">
        <v>45936</v>
      </c>
      <c r="Q352" s="76">
        <v>45967</v>
      </c>
      <c r="R352" s="77" t="s">
        <v>1429</v>
      </c>
      <c r="S352" s="77"/>
      <c r="T352" s="77"/>
      <c r="U352" s="77"/>
      <c r="V352" s="78" t="s">
        <v>5432</v>
      </c>
      <c r="W352" s="79">
        <v>46060</v>
      </c>
      <c r="X352" s="78" t="s">
        <v>38</v>
      </c>
      <c r="Y352" s="78"/>
      <c r="Z352" s="78"/>
      <c r="AA352">
        <f>IF(COUNTIF('Call Queue'!$H$6:$H$20,V352)&gt;0,0,IF(AND(ISNUMBER(N352),N352&gt;0),10000000+N352,IF(ISNUMBER(N352*1),IF(N352*1&gt;0,10000000+N352*1,0),0))+IF(ISNUMBER(SEARCH("(",L352)),1000000+IFERROR(VALUE(SUBSTITUTE(SUBSTITUTE(SUBSTITUTE(MID(L352,SEARCH("(",L352)+1,SEARCH(")",L352)-SEARCH("(",L352)-1),"$",""),",","")," ","")),0),0))</f>
        <v>0</v>
      </c>
    </row>
    <row r="353" spans="1:27">
      <c r="A353" s="76">
        <v>45903</v>
      </c>
      <c r="B353" s="77" t="s">
        <v>1478</v>
      </c>
      <c r="C353" s="77" t="s">
        <v>1479</v>
      </c>
      <c r="D353" s="77" t="s">
        <v>202</v>
      </c>
      <c r="E353" s="77">
        <v>85383</v>
      </c>
      <c r="F353" s="77" t="s">
        <v>310</v>
      </c>
      <c r="G353" s="77" t="s">
        <v>1329</v>
      </c>
      <c r="H353" s="77">
        <v>4348840000</v>
      </c>
      <c r="I353" s="77" t="s">
        <v>36</v>
      </c>
      <c r="J353" s="77" t="s">
        <v>37</v>
      </c>
      <c r="K353" s="77" t="s">
        <v>37</v>
      </c>
      <c r="L353" s="77" t="s">
        <v>38</v>
      </c>
      <c r="M353" s="77" t="s">
        <v>37</v>
      </c>
      <c r="N353" s="77" t="s">
        <v>37</v>
      </c>
      <c r="O353" s="77" t="s">
        <v>38</v>
      </c>
      <c r="P353" s="77" t="s">
        <v>39</v>
      </c>
      <c r="Q353" s="76">
        <v>45967</v>
      </c>
      <c r="R353" s="77"/>
      <c r="S353" s="77"/>
      <c r="T353" s="77"/>
      <c r="U353" s="77"/>
      <c r="V353" s="78"/>
      <c r="W353" s="79"/>
      <c r="X353" s="78"/>
      <c r="Y353" s="78"/>
      <c r="Z353" s="78"/>
      <c r="AA353">
        <f>IF(COUNTIF('Call Queue'!$H$6:$H$20,V353)&gt;0,0,IF(AND(ISNUMBER(N353),N353&gt;0),10000000+N353,IF(ISNUMBER(N353*1),IF(N353*1&gt;0,10000000+N353*1,0),0))+IF(ISNUMBER(SEARCH("(",L353)),1000000+IFERROR(VALUE(SUBSTITUTE(SUBSTITUTE(SUBSTITUTE(MID(L353,SEARCH("(",L353)+1,SEARCH(")",L353)-SEARCH("(",L353)-1),"$",""),",","")," ","")),0),0))</f>
        <v>0</v>
      </c>
    </row>
    <row r="354" spans="1:27">
      <c r="A354" s="76">
        <v>45903</v>
      </c>
      <c r="B354" s="77" t="s">
        <v>1481</v>
      </c>
      <c r="C354" s="77" t="s">
        <v>1482</v>
      </c>
      <c r="D354" s="77" t="s">
        <v>202</v>
      </c>
      <c r="E354" s="77">
        <v>85383</v>
      </c>
      <c r="F354" s="77" t="s">
        <v>310</v>
      </c>
      <c r="G354" s="77" t="s">
        <v>1329</v>
      </c>
      <c r="H354" s="77">
        <v>3553261000</v>
      </c>
      <c r="I354" s="77" t="s">
        <v>196</v>
      </c>
      <c r="J354" s="77" t="s">
        <v>37</v>
      </c>
      <c r="K354" s="77" t="s">
        <v>37</v>
      </c>
      <c r="L354" s="77" t="s">
        <v>1484</v>
      </c>
      <c r="M354" s="77" t="s">
        <v>37</v>
      </c>
      <c r="N354" s="77" t="s">
        <v>37</v>
      </c>
      <c r="O354" s="77" t="s">
        <v>38</v>
      </c>
      <c r="P354" s="77" t="s">
        <v>39</v>
      </c>
      <c r="Q354" s="76">
        <v>45967</v>
      </c>
      <c r="R354" s="77"/>
      <c r="S354" s="77"/>
      <c r="T354" s="77"/>
      <c r="U354" s="77"/>
      <c r="V354" s="78" t="s">
        <v>117</v>
      </c>
      <c r="W354" s="79">
        <v>46039</v>
      </c>
      <c r="X354" s="78" t="s">
        <v>37</v>
      </c>
      <c r="Y354" s="78" t="s">
        <v>5442</v>
      </c>
      <c r="Z354" s="78"/>
      <c r="AA354">
        <f>IF(COUNTIF('Call Queue'!$H$6:$H$20,V354)&gt;0,0,IF(AND(ISNUMBER(N354),N354&gt;0),10000000+N354,IF(ISNUMBER(N354*1),IF(N354*1&gt;0,10000000+N354*1,0),0))+IF(ISNUMBER(SEARCH("(",L354)),1000000+IFERROR(VALUE(SUBSTITUTE(SUBSTITUTE(SUBSTITUTE(MID(L354,SEARCH("(",L354)+1,SEARCH(")",L354)-SEARCH("(",L354)-1),"$",""),",","")," ","")),0),0))</f>
        <v>0</v>
      </c>
    </row>
    <row r="355" spans="1:27">
      <c r="A355" s="76">
        <v>45903</v>
      </c>
      <c r="B355" s="77" t="s">
        <v>1485</v>
      </c>
      <c r="C355" s="77" t="s">
        <v>1486</v>
      </c>
      <c r="D355" s="77" t="s">
        <v>202</v>
      </c>
      <c r="E355" s="77">
        <v>85383</v>
      </c>
      <c r="F355" s="77" t="s">
        <v>31</v>
      </c>
      <c r="G355" s="77" t="s">
        <v>1329</v>
      </c>
      <c r="H355" s="77">
        <v>1080850989</v>
      </c>
      <c r="I355" s="77" t="s">
        <v>1488</v>
      </c>
      <c r="J355" s="77" t="s">
        <v>37</v>
      </c>
      <c r="K355" s="77" t="s">
        <v>37</v>
      </c>
      <c r="L355" s="77" t="s">
        <v>389</v>
      </c>
      <c r="M355" s="77" t="s">
        <v>37</v>
      </c>
      <c r="N355" s="77" t="s">
        <v>37</v>
      </c>
      <c r="O355" s="77" t="s">
        <v>38</v>
      </c>
      <c r="P355" s="77" t="s">
        <v>39</v>
      </c>
      <c r="Q355" s="76">
        <v>45967</v>
      </c>
      <c r="R355" s="77"/>
      <c r="S355" s="77"/>
      <c r="T355" s="77"/>
      <c r="U355" s="77"/>
      <c r="V355" s="78"/>
      <c r="W355" s="79"/>
      <c r="X355" s="78"/>
      <c r="Y355" s="78"/>
      <c r="Z355" s="78"/>
      <c r="AA355">
        <f>IF(COUNTIF('Call Queue'!$H$6:$H$20,V355)&gt;0,0,IF(AND(ISNUMBER(N355),N355&gt;0),10000000+N355,IF(ISNUMBER(N355*1),IF(N355*1&gt;0,10000000+N355*1,0),0))+IF(ISNUMBER(SEARCH("(",L355)),1000000+IFERROR(VALUE(SUBSTITUTE(SUBSTITUTE(SUBSTITUTE(MID(L355,SEARCH("(",L355)+1,SEARCH(")",L355)-SEARCH("(",L355)-1),"$",""),",","")," ","")),0),0))</f>
        <v>0</v>
      </c>
    </row>
    <row r="356" spans="1:27">
      <c r="A356" s="76">
        <v>45903</v>
      </c>
      <c r="B356" s="77" t="s">
        <v>238</v>
      </c>
      <c r="C356" s="77" t="s">
        <v>256</v>
      </c>
      <c r="D356" s="77" t="s">
        <v>240</v>
      </c>
      <c r="E356" s="77">
        <v>85340</v>
      </c>
      <c r="F356" s="77" t="s">
        <v>31</v>
      </c>
      <c r="G356" s="77" t="s">
        <v>1329</v>
      </c>
      <c r="H356" s="77">
        <v>5784101000</v>
      </c>
      <c r="I356" s="77" t="s">
        <v>57</v>
      </c>
      <c r="J356" s="77" t="s">
        <v>37</v>
      </c>
      <c r="K356" s="77" t="s">
        <v>37</v>
      </c>
      <c r="L356" s="77" t="s">
        <v>1492</v>
      </c>
      <c r="M356" s="77" t="s">
        <v>37</v>
      </c>
      <c r="N356" s="77" t="s">
        <v>37</v>
      </c>
      <c r="O356" s="77" t="s">
        <v>38</v>
      </c>
      <c r="P356" s="77">
        <v>45936</v>
      </c>
      <c r="Q356" s="76">
        <v>45967</v>
      </c>
      <c r="R356" s="77" t="s">
        <v>1429</v>
      </c>
      <c r="S356" s="77"/>
      <c r="T356" s="77"/>
      <c r="U356" s="77"/>
      <c r="V356" s="78" t="s">
        <v>117</v>
      </c>
      <c r="W356" s="79">
        <v>46060</v>
      </c>
      <c r="X356" s="78" t="s">
        <v>38</v>
      </c>
      <c r="Y356" s="78"/>
      <c r="Z356" s="78"/>
      <c r="AA356">
        <f>IF(COUNTIF('Call Queue'!$H$6:$H$20,V356)&gt;0,0,IF(AND(ISNUMBER(N356),N356&gt;0),10000000+N356,IF(ISNUMBER(N356*1),IF(N356*1&gt;0,10000000+N356*1,0),0))+IF(ISNUMBER(SEARCH("(",L356)),1000000+IFERROR(VALUE(SUBSTITUTE(SUBSTITUTE(SUBSTITUTE(MID(L356,SEARCH("(",L356)+1,SEARCH(")",L356)-SEARCH("(",L356)-1),"$",""),",","")," ","")),0),0))</f>
        <v>0</v>
      </c>
    </row>
    <row r="357" spans="1:27">
      <c r="A357" s="76">
        <v>45903</v>
      </c>
      <c r="B357" s="77" t="s">
        <v>1493</v>
      </c>
      <c r="C357" s="77" t="s">
        <v>597</v>
      </c>
      <c r="D357" s="77" t="s">
        <v>1204</v>
      </c>
      <c r="E357" s="77">
        <v>85355</v>
      </c>
      <c r="F357" s="77" t="s">
        <v>31</v>
      </c>
      <c r="G357" s="77" t="s">
        <v>1329</v>
      </c>
      <c r="H357" s="77">
        <v>8302625379</v>
      </c>
      <c r="I357" s="77" t="s">
        <v>46</v>
      </c>
      <c r="J357" s="77" t="s">
        <v>37</v>
      </c>
      <c r="K357" s="77" t="s">
        <v>37</v>
      </c>
      <c r="L357" s="77" t="s">
        <v>38</v>
      </c>
      <c r="M357" s="77" t="s">
        <v>37</v>
      </c>
      <c r="N357" s="77" t="s">
        <v>37</v>
      </c>
      <c r="O357" s="77" t="s">
        <v>38</v>
      </c>
      <c r="P357" s="77" t="s">
        <v>39</v>
      </c>
      <c r="Q357" s="76">
        <v>45967</v>
      </c>
      <c r="R357" s="77"/>
      <c r="S357" s="77"/>
      <c r="T357" s="77"/>
      <c r="U357" s="77"/>
      <c r="V357" s="78" t="s">
        <v>117</v>
      </c>
      <c r="W357" s="79">
        <v>45997</v>
      </c>
      <c r="X357" s="78" t="s">
        <v>38</v>
      </c>
      <c r="Y357" s="78"/>
      <c r="Z357" s="78" t="s">
        <v>5446</v>
      </c>
      <c r="AA357">
        <f>IF(COUNTIF('Call Queue'!$H$6:$H$20,V357)&gt;0,0,IF(AND(ISNUMBER(N357),N357&gt;0),10000000+N357,IF(ISNUMBER(N357*1),IF(N357*1&gt;0,10000000+N357*1,0),0))+IF(ISNUMBER(SEARCH("(",L357)),1000000+IFERROR(VALUE(SUBSTITUTE(SUBSTITUTE(SUBSTITUTE(MID(L357,SEARCH("(",L357)+1,SEARCH(")",L357)-SEARCH("(",L357)-1),"$",""),",","")," ","")),0),0))</f>
        <v>0</v>
      </c>
    </row>
    <row r="358" spans="1:27">
      <c r="A358" s="76">
        <v>45903</v>
      </c>
      <c r="B358" s="77" t="s">
        <v>1495</v>
      </c>
      <c r="C358" s="77" t="s">
        <v>1496</v>
      </c>
      <c r="D358" s="77" t="s">
        <v>202</v>
      </c>
      <c r="E358" s="77">
        <v>85383</v>
      </c>
      <c r="F358" s="77" t="s">
        <v>31</v>
      </c>
      <c r="G358" s="77" t="s">
        <v>1329</v>
      </c>
      <c r="H358" s="77" t="s">
        <v>209</v>
      </c>
      <c r="I358" s="77"/>
      <c r="J358" s="77"/>
      <c r="K358" s="77"/>
      <c r="L358" s="77"/>
      <c r="M358" s="77"/>
      <c r="N358" s="77"/>
      <c r="O358" s="77"/>
      <c r="P358" s="77"/>
      <c r="Q358" s="76"/>
      <c r="R358" s="77"/>
      <c r="S358" s="77"/>
      <c r="T358" s="77"/>
      <c r="U358" s="77"/>
      <c r="V358" s="78"/>
      <c r="W358" s="79"/>
      <c r="X358" s="78"/>
      <c r="Y358" s="78"/>
      <c r="Z358" s="78"/>
      <c r="AA358">
        <f>IF(COUNTIF('Call Queue'!$H$6:$H$20,V358)&gt;0,0,IF(AND(ISNUMBER(N358),N358&gt;0),10000000+N358,IF(ISNUMBER(N358*1),IF(N358*1&gt;0,10000000+N358*1,0),0))+IF(ISNUMBER(SEARCH("(",L358)),1000000+IFERROR(VALUE(SUBSTITUTE(SUBSTITUTE(SUBSTITUTE(MID(L358,SEARCH("(",L358)+1,SEARCH(")",L358)-SEARCH("(",L358)-1),"$",""),",","")," ","")),0),0))</f>
        <v>0</v>
      </c>
    </row>
    <row r="359" spans="1:27">
      <c r="A359" s="76">
        <v>45903</v>
      </c>
      <c r="B359" s="77" t="s">
        <v>1497</v>
      </c>
      <c r="C359" s="77" t="s">
        <v>1498</v>
      </c>
      <c r="D359" s="77" t="s">
        <v>63</v>
      </c>
      <c r="E359" s="77">
        <v>85024</v>
      </c>
      <c r="F359" s="77" t="s">
        <v>31</v>
      </c>
      <c r="G359" s="77" t="s">
        <v>1329</v>
      </c>
      <c r="H359" s="77">
        <v>364421000</v>
      </c>
      <c r="I359" s="77" t="s">
        <v>1040</v>
      </c>
      <c r="J359" s="77" t="s">
        <v>37</v>
      </c>
      <c r="K359" s="77" t="s">
        <v>37</v>
      </c>
      <c r="L359" s="77" t="s">
        <v>38</v>
      </c>
      <c r="M359" s="77" t="s">
        <v>37</v>
      </c>
      <c r="N359" s="77" t="s">
        <v>37</v>
      </c>
      <c r="O359" s="77" t="s">
        <v>38</v>
      </c>
      <c r="P359" s="77" t="s">
        <v>39</v>
      </c>
      <c r="Q359" s="76">
        <v>45967</v>
      </c>
      <c r="R359" s="77"/>
      <c r="S359" s="77"/>
      <c r="T359" s="77"/>
      <c r="U359" s="77"/>
      <c r="V359" s="78"/>
      <c r="W359" s="79"/>
      <c r="X359" s="78"/>
      <c r="Y359" s="78"/>
      <c r="Z359" s="78"/>
      <c r="AA359">
        <f>IF(COUNTIF('Call Queue'!$H$6:$H$20,V359)&gt;0,0,IF(AND(ISNUMBER(N359),N359&gt;0),10000000+N359,IF(ISNUMBER(N359*1),IF(N359*1&gt;0,10000000+N359*1,0),0))+IF(ISNUMBER(SEARCH("(",L359)),1000000+IFERROR(VALUE(SUBSTITUTE(SUBSTITUTE(SUBSTITUTE(MID(L359,SEARCH("(",L359)+1,SEARCH(")",L359)-SEARCH("(",L359)-1),"$",""),",","")," ","")),0),0))</f>
        <v>0</v>
      </c>
    </row>
    <row r="360" spans="1:27">
      <c r="A360" s="76">
        <v>45903</v>
      </c>
      <c r="B360" s="77" t="s">
        <v>1500</v>
      </c>
      <c r="C360" s="77" t="s">
        <v>1501</v>
      </c>
      <c r="D360" s="77" t="s">
        <v>63</v>
      </c>
      <c r="E360" s="77">
        <v>85085</v>
      </c>
      <c r="F360" s="77" t="s">
        <v>310</v>
      </c>
      <c r="G360" s="77" t="s">
        <v>1329</v>
      </c>
      <c r="H360" s="77">
        <v>2046439451</v>
      </c>
      <c r="I360" s="77" t="s">
        <v>36</v>
      </c>
      <c r="J360" s="77" t="s">
        <v>37</v>
      </c>
      <c r="K360" s="77" t="s">
        <v>37</v>
      </c>
      <c r="L360" s="77" t="s">
        <v>38</v>
      </c>
      <c r="M360" s="77" t="s">
        <v>37</v>
      </c>
      <c r="N360" s="77" t="s">
        <v>37</v>
      </c>
      <c r="O360" s="77" t="s">
        <v>38</v>
      </c>
      <c r="P360" s="77" t="s">
        <v>39</v>
      </c>
      <c r="Q360" s="76">
        <v>45967</v>
      </c>
      <c r="R360" s="77"/>
      <c r="S360" s="77"/>
      <c r="T360" s="77"/>
      <c r="U360" s="77"/>
      <c r="V360" s="78"/>
      <c r="W360" s="79"/>
      <c r="X360" s="78"/>
      <c r="Y360" s="78"/>
      <c r="Z360" s="78"/>
      <c r="AA360">
        <f>IF(COUNTIF('Call Queue'!$H$6:$H$20,V360)&gt;0,0,IF(AND(ISNUMBER(N360),N360&gt;0),10000000+N360,IF(ISNUMBER(N360*1),IF(N360*1&gt;0,10000000+N360*1,0),0))+IF(ISNUMBER(SEARCH("(",L360)),1000000+IFERROR(VALUE(SUBSTITUTE(SUBSTITUTE(SUBSTITUTE(MID(L360,SEARCH("(",L360)+1,SEARCH(")",L360)-SEARCH("(",L360)-1),"$",""),",","")," ","")),0),0))</f>
        <v>0</v>
      </c>
    </row>
    <row r="361" spans="1:27">
      <c r="A361" s="76">
        <v>45903</v>
      </c>
      <c r="B361" s="77" t="s">
        <v>1503</v>
      </c>
      <c r="C361" s="77" t="s">
        <v>1504</v>
      </c>
      <c r="D361" s="77" t="s">
        <v>63</v>
      </c>
      <c r="E361" s="77">
        <v>85003</v>
      </c>
      <c r="F361" s="77" t="s">
        <v>310</v>
      </c>
      <c r="G361" s="77" t="s">
        <v>1329</v>
      </c>
      <c r="H361" s="77">
        <v>3862538912</v>
      </c>
      <c r="I361" s="77" t="s">
        <v>196</v>
      </c>
      <c r="J361" s="77" t="s">
        <v>37</v>
      </c>
      <c r="K361" s="77" t="s">
        <v>37</v>
      </c>
      <c r="L361" s="77" t="s">
        <v>1506</v>
      </c>
      <c r="M361" s="77" t="s">
        <v>37</v>
      </c>
      <c r="N361" s="77" t="s">
        <v>37</v>
      </c>
      <c r="O361" s="77" t="s">
        <v>38</v>
      </c>
      <c r="P361" s="77">
        <v>45936</v>
      </c>
      <c r="Q361" s="76">
        <v>45967</v>
      </c>
      <c r="R361" s="77" t="s">
        <v>1507</v>
      </c>
      <c r="S361" s="77"/>
      <c r="T361" s="77"/>
      <c r="U361" s="77"/>
      <c r="V361" s="78" t="s">
        <v>117</v>
      </c>
      <c r="W361" s="79">
        <v>46046</v>
      </c>
      <c r="X361" s="78" t="s">
        <v>38</v>
      </c>
      <c r="Y361" s="78"/>
      <c r="Z361" s="78"/>
      <c r="AA361">
        <f>IF(COUNTIF('Call Queue'!$H$6:$H$20,V361)&gt;0,0,IF(AND(ISNUMBER(N361),N361&gt;0),10000000+N361,IF(ISNUMBER(N361*1),IF(N361*1&gt;0,10000000+N361*1,0),0))+IF(ISNUMBER(SEARCH("(",L361)),1000000+IFERROR(VALUE(SUBSTITUTE(SUBSTITUTE(SUBSTITUTE(MID(L361,SEARCH("(",L361)+1,SEARCH(")",L361)-SEARCH("(",L361)-1),"$",""),",","")," ","")),0),0))</f>
        <v>0</v>
      </c>
    </row>
    <row r="362" spans="1:27">
      <c r="A362" s="76">
        <v>45903</v>
      </c>
      <c r="B362" s="77" t="s">
        <v>1508</v>
      </c>
      <c r="C362" s="77" t="s">
        <v>291</v>
      </c>
      <c r="D362" s="77" t="s">
        <v>169</v>
      </c>
      <c r="E362" s="77">
        <v>85338</v>
      </c>
      <c r="F362" s="77" t="s">
        <v>1509</v>
      </c>
      <c r="G362" s="77" t="s">
        <v>1329</v>
      </c>
      <c r="H362" s="77">
        <v>974119043</v>
      </c>
      <c r="I362" s="77" t="s">
        <v>196</v>
      </c>
      <c r="J362" s="77" t="s">
        <v>37</v>
      </c>
      <c r="K362" s="77" t="s">
        <v>37</v>
      </c>
      <c r="L362" s="77" t="s">
        <v>1511</v>
      </c>
      <c r="M362" s="77" t="s">
        <v>37</v>
      </c>
      <c r="N362" s="77" t="s">
        <v>37</v>
      </c>
      <c r="O362" s="77" t="s">
        <v>38</v>
      </c>
      <c r="P362" s="77">
        <v>45936</v>
      </c>
      <c r="Q362" s="76">
        <v>45967</v>
      </c>
      <c r="R362" s="77" t="s">
        <v>1429</v>
      </c>
      <c r="S362" s="77"/>
      <c r="T362" s="77"/>
      <c r="U362" s="77"/>
      <c r="V362" s="78" t="s">
        <v>117</v>
      </c>
      <c r="W362" s="79">
        <v>46046</v>
      </c>
      <c r="X362" s="78" t="s">
        <v>38</v>
      </c>
      <c r="Y362" s="78"/>
      <c r="Z362" s="78"/>
      <c r="AA362">
        <f>IF(COUNTIF('Call Queue'!$H$6:$H$20,V362)&gt;0,0,IF(AND(ISNUMBER(N362),N362&gt;0),10000000+N362,IF(ISNUMBER(N362*1),IF(N362*1&gt;0,10000000+N362*1,0),0))+IF(ISNUMBER(SEARCH("(",L362)),1000000+IFERROR(VALUE(SUBSTITUTE(SUBSTITUTE(SUBSTITUTE(MID(L362,SEARCH("(",L362)+1,SEARCH(")",L362)-SEARCH("(",L362)-1),"$",""),",","")," ","")),0),0))</f>
        <v>0</v>
      </c>
    </row>
    <row r="363" spans="1:27">
      <c r="A363" s="76">
        <v>45903</v>
      </c>
      <c r="B363" s="77" t="s">
        <v>1515</v>
      </c>
      <c r="C363" s="77" t="s">
        <v>1516</v>
      </c>
      <c r="D363" s="77" t="s">
        <v>202</v>
      </c>
      <c r="E363" s="77">
        <v>85383</v>
      </c>
      <c r="F363" s="77" t="s">
        <v>310</v>
      </c>
      <c r="G363" s="77" t="s">
        <v>1329</v>
      </c>
      <c r="H363" s="77">
        <v>8849042993</v>
      </c>
      <c r="I363" s="77" t="s">
        <v>196</v>
      </c>
      <c r="J363" s="77" t="s">
        <v>37</v>
      </c>
      <c r="K363" s="77" t="s">
        <v>37</v>
      </c>
      <c r="L363" s="77" t="s">
        <v>1518</v>
      </c>
      <c r="M363" s="77" t="s">
        <v>37</v>
      </c>
      <c r="N363" s="77" t="s">
        <v>37</v>
      </c>
      <c r="O363" s="77" t="s">
        <v>38</v>
      </c>
      <c r="P363" s="77">
        <v>45936</v>
      </c>
      <c r="Q363" s="76">
        <v>45967</v>
      </c>
      <c r="R363" s="77" t="s">
        <v>1429</v>
      </c>
      <c r="S363" s="77"/>
      <c r="T363" s="77"/>
      <c r="U363" s="77"/>
      <c r="V363" s="78" t="s">
        <v>117</v>
      </c>
      <c r="W363" s="79">
        <v>46046</v>
      </c>
      <c r="X363" s="78" t="s">
        <v>38</v>
      </c>
      <c r="Y363" s="78"/>
      <c r="Z363" s="78"/>
      <c r="AA363">
        <f>IF(COUNTIF('Call Queue'!$H$6:$H$20,V363)&gt;0,0,IF(AND(ISNUMBER(N363),N363&gt;0),10000000+N363,IF(ISNUMBER(N363*1),IF(N363*1&gt;0,10000000+N363*1,0),0))+IF(ISNUMBER(SEARCH("(",L363)),1000000+IFERROR(VALUE(SUBSTITUTE(SUBSTITUTE(SUBSTITUTE(MID(L363,SEARCH("(",L363)+1,SEARCH(")",L363)-SEARCH("(",L363)-1),"$",""),",","")," ","")),0),0))</f>
        <v>0</v>
      </c>
    </row>
    <row r="364" spans="1:27">
      <c r="A364" s="76">
        <v>45903</v>
      </c>
      <c r="B364" s="77" t="s">
        <v>1519</v>
      </c>
      <c r="C364" s="77" t="s">
        <v>1520</v>
      </c>
      <c r="D364" s="77" t="s">
        <v>202</v>
      </c>
      <c r="E364" s="77">
        <v>85383</v>
      </c>
      <c r="F364" s="77" t="s">
        <v>310</v>
      </c>
      <c r="G364" s="77" t="s">
        <v>1329</v>
      </c>
      <c r="H364" s="77">
        <v>1275245123</v>
      </c>
      <c r="I364" s="77" t="s">
        <v>73</v>
      </c>
      <c r="J364" s="77" t="s">
        <v>37</v>
      </c>
      <c r="K364" s="77" t="s">
        <v>37</v>
      </c>
      <c r="L364" s="77" t="s">
        <v>38</v>
      </c>
      <c r="M364" s="77" t="s">
        <v>37</v>
      </c>
      <c r="N364" s="77" t="s">
        <v>37</v>
      </c>
      <c r="O364" s="77" t="s">
        <v>38</v>
      </c>
      <c r="P364" s="77" t="s">
        <v>39</v>
      </c>
      <c r="Q364" s="76">
        <v>45967</v>
      </c>
      <c r="R364" s="77"/>
      <c r="S364" s="77"/>
      <c r="T364" s="77"/>
      <c r="U364" s="77"/>
      <c r="V364" s="78"/>
      <c r="W364" s="79"/>
      <c r="X364" s="78"/>
      <c r="Y364" s="78"/>
      <c r="Z364" s="78"/>
      <c r="AA364">
        <f>IF(COUNTIF('Call Queue'!$H$6:$H$20,V364)&gt;0,0,IF(AND(ISNUMBER(N364),N364&gt;0),10000000+N364,IF(ISNUMBER(N364*1),IF(N364*1&gt;0,10000000+N364*1,0),0))+IF(ISNUMBER(SEARCH("(",L364)),1000000+IFERROR(VALUE(SUBSTITUTE(SUBSTITUTE(SUBSTITUTE(MID(L364,SEARCH("(",L364)+1,SEARCH(")",L364)-SEARCH("(",L364)-1),"$",""),",","")," ","")),0),0))</f>
        <v>0</v>
      </c>
    </row>
    <row r="365" spans="1:27">
      <c r="A365" s="76">
        <v>45903</v>
      </c>
      <c r="B365" s="77" t="s">
        <v>1522</v>
      </c>
      <c r="C365" s="77" t="s">
        <v>611</v>
      </c>
      <c r="D365" s="77" t="s">
        <v>169</v>
      </c>
      <c r="E365" s="77">
        <v>85338</v>
      </c>
      <c r="F365" s="77" t="s">
        <v>31</v>
      </c>
      <c r="G365" s="77" t="s">
        <v>1329</v>
      </c>
      <c r="H365" s="77">
        <v>4095200000</v>
      </c>
      <c r="I365" s="77" t="s">
        <v>196</v>
      </c>
      <c r="J365" s="77" t="s">
        <v>37</v>
      </c>
      <c r="K365" s="77" t="s">
        <v>37</v>
      </c>
      <c r="L365" s="77" t="s">
        <v>1524</v>
      </c>
      <c r="M365" s="77" t="s">
        <v>37</v>
      </c>
      <c r="N365" s="77" t="s">
        <v>37</v>
      </c>
      <c r="O365" s="77" t="s">
        <v>38</v>
      </c>
      <c r="P365" s="77" t="s">
        <v>39</v>
      </c>
      <c r="Q365" s="76">
        <v>45967</v>
      </c>
      <c r="R365" s="77" t="s">
        <v>1525</v>
      </c>
      <c r="S365" s="77"/>
      <c r="T365" s="77"/>
      <c r="U365" s="77"/>
      <c r="V365" s="78" t="s">
        <v>117</v>
      </c>
      <c r="W365" s="79">
        <v>46046</v>
      </c>
      <c r="X365" s="78" t="s">
        <v>37</v>
      </c>
      <c r="Y365" s="78"/>
      <c r="Z365" s="78"/>
      <c r="AA365">
        <f>IF(COUNTIF('Call Queue'!$H$6:$H$20,V365)&gt;0,0,IF(AND(ISNUMBER(N365),N365&gt;0),10000000+N365,IF(ISNUMBER(N365*1),IF(N365*1&gt;0,10000000+N365*1,0),0))+IF(ISNUMBER(SEARCH("(",L365)),1000000+IFERROR(VALUE(SUBSTITUTE(SUBSTITUTE(SUBSTITUTE(MID(L365,SEARCH("(",L365)+1,SEARCH(")",L365)-SEARCH("(",L365)-1),"$",""),",","")," ","")),0),0))</f>
        <v>0</v>
      </c>
    </row>
    <row r="366" spans="1:27">
      <c r="A366" s="76">
        <v>45903</v>
      </c>
      <c r="B366" s="77" t="s">
        <v>1526</v>
      </c>
      <c r="C366" s="77" t="s">
        <v>570</v>
      </c>
      <c r="D366" s="77" t="s">
        <v>63</v>
      </c>
      <c r="E366" s="77">
        <v>85024</v>
      </c>
      <c r="F366" s="77" t="s">
        <v>310</v>
      </c>
      <c r="G366" s="77" t="s">
        <v>1329</v>
      </c>
      <c r="H366" s="77" t="s">
        <v>1527</v>
      </c>
      <c r="I366" s="77" t="s">
        <v>1528</v>
      </c>
      <c r="J366" s="77" t="s">
        <v>37</v>
      </c>
      <c r="K366" s="77" t="s">
        <v>37</v>
      </c>
      <c r="L366" s="77" t="s">
        <v>38</v>
      </c>
      <c r="M366" s="77" t="s">
        <v>37</v>
      </c>
      <c r="N366" s="77" t="s">
        <v>37</v>
      </c>
      <c r="O366" s="77" t="s">
        <v>38</v>
      </c>
      <c r="P366" s="77" t="s">
        <v>39</v>
      </c>
      <c r="Q366" s="76">
        <v>45967</v>
      </c>
      <c r="R366" s="77"/>
      <c r="S366" s="77"/>
      <c r="T366" s="77"/>
      <c r="U366" s="77"/>
      <c r="V366" s="78"/>
      <c r="W366" s="79"/>
      <c r="X366" s="78"/>
      <c r="Y366" s="78"/>
      <c r="Z366" s="78"/>
      <c r="AA366">
        <f>IF(COUNTIF('Call Queue'!$H$6:$H$20,V366)&gt;0,0,IF(AND(ISNUMBER(N366),N366&gt;0),10000000+N366,IF(ISNUMBER(N366*1),IF(N366*1&gt;0,10000000+N366*1,0),0))+IF(ISNUMBER(SEARCH("(",L366)),1000000+IFERROR(VALUE(SUBSTITUTE(SUBSTITUTE(SUBSTITUTE(MID(L366,SEARCH("(",L366)+1,SEARCH(")",L366)-SEARCH("(",L366)-1),"$",""),",","")," ","")),0),0))</f>
        <v>0</v>
      </c>
    </row>
    <row r="367" spans="1:27">
      <c r="A367" s="76">
        <v>45903</v>
      </c>
      <c r="B367" s="77" t="s">
        <v>1529</v>
      </c>
      <c r="C367" s="77" t="s">
        <v>1530</v>
      </c>
      <c r="D367" s="77" t="s">
        <v>63</v>
      </c>
      <c r="E367" s="77">
        <v>85050</v>
      </c>
      <c r="F367" s="77" t="s">
        <v>31</v>
      </c>
      <c r="G367" s="77" t="s">
        <v>1329</v>
      </c>
      <c r="H367" s="77" t="s">
        <v>1531</v>
      </c>
      <c r="I367" s="77" t="s">
        <v>36</v>
      </c>
      <c r="J367" s="77" t="s">
        <v>37</v>
      </c>
      <c r="K367" s="77" t="s">
        <v>37</v>
      </c>
      <c r="L367" s="77" t="s">
        <v>38</v>
      </c>
      <c r="M367" s="77" t="s">
        <v>37</v>
      </c>
      <c r="N367" s="77" t="s">
        <v>37</v>
      </c>
      <c r="O367" s="77" t="s">
        <v>38</v>
      </c>
      <c r="P367" s="77" t="s">
        <v>39</v>
      </c>
      <c r="Q367" s="76">
        <v>45966</v>
      </c>
      <c r="R367" s="77"/>
      <c r="S367" s="77"/>
      <c r="T367" s="77"/>
      <c r="U367" s="77"/>
      <c r="V367" s="78"/>
      <c r="W367" s="79"/>
      <c r="X367" s="78"/>
      <c r="Y367" s="78"/>
      <c r="Z367" s="78"/>
      <c r="AA367">
        <f>IF(COUNTIF('Call Queue'!$H$6:$H$20,V367)&gt;0,0,IF(AND(ISNUMBER(N367),N367&gt;0),10000000+N367,IF(ISNUMBER(N367*1),IF(N367*1&gt;0,10000000+N367*1,0),0))+IF(ISNUMBER(SEARCH("(",L367)),1000000+IFERROR(VALUE(SUBSTITUTE(SUBSTITUTE(SUBSTITUTE(MID(L367,SEARCH("(",L367)+1,SEARCH(")",L367)-SEARCH("(",L367)-1),"$",""),",","")," ","")),0),0))</f>
        <v>0</v>
      </c>
    </row>
    <row r="368" spans="1:27">
      <c r="A368" s="76">
        <v>45903</v>
      </c>
      <c r="B368" s="77" t="s">
        <v>1532</v>
      </c>
      <c r="C368" s="77" t="s">
        <v>1533</v>
      </c>
      <c r="D368" s="77" t="s">
        <v>169</v>
      </c>
      <c r="E368" s="77">
        <v>85338</v>
      </c>
      <c r="F368" s="77" t="s">
        <v>1534</v>
      </c>
      <c r="G368" s="77" t="s">
        <v>1329</v>
      </c>
      <c r="H368" s="77" t="s">
        <v>1535</v>
      </c>
      <c r="I368" s="77" t="s">
        <v>36</v>
      </c>
      <c r="J368" s="77" t="s">
        <v>37</v>
      </c>
      <c r="K368" s="77" t="s">
        <v>37</v>
      </c>
      <c r="L368" s="77" t="s">
        <v>38</v>
      </c>
      <c r="M368" s="77" t="s">
        <v>37</v>
      </c>
      <c r="N368" s="77" t="s">
        <v>37</v>
      </c>
      <c r="O368" s="77" t="s">
        <v>38</v>
      </c>
      <c r="P368" s="77" t="s">
        <v>39</v>
      </c>
      <c r="Q368" s="76">
        <v>45966</v>
      </c>
      <c r="R368" s="77"/>
      <c r="S368" s="77"/>
      <c r="T368" s="77"/>
      <c r="U368" s="77"/>
      <c r="V368" s="78"/>
      <c r="W368" s="79"/>
      <c r="X368" s="78"/>
      <c r="Y368" s="78"/>
      <c r="Z368" s="78"/>
      <c r="AA368">
        <f>IF(COUNTIF('Call Queue'!$H$6:$H$20,V368)&gt;0,0,IF(AND(ISNUMBER(N368),N368&gt;0),10000000+N368,IF(ISNUMBER(N368*1),IF(N368*1&gt;0,10000000+N368*1,0),0))+IF(ISNUMBER(SEARCH("(",L368)),1000000+IFERROR(VALUE(SUBSTITUTE(SUBSTITUTE(SUBSTITUTE(MID(L368,SEARCH("(",L368)+1,SEARCH(")",L368)-SEARCH("(",L368)-1),"$",""),",","")," ","")),0),0))</f>
        <v>0</v>
      </c>
    </row>
    <row r="369" spans="1:27">
      <c r="A369" s="76">
        <v>45903</v>
      </c>
      <c r="B369" s="77" t="s">
        <v>1536</v>
      </c>
      <c r="C369" s="77" t="s">
        <v>1537</v>
      </c>
      <c r="D369" s="77" t="s">
        <v>63</v>
      </c>
      <c r="E369" s="77">
        <v>85013</v>
      </c>
      <c r="F369" s="77" t="s">
        <v>1538</v>
      </c>
      <c r="G369" s="77" t="s">
        <v>1329</v>
      </c>
      <c r="H369" s="77" t="s">
        <v>1539</v>
      </c>
      <c r="I369" s="77" t="s">
        <v>73</v>
      </c>
      <c r="J369" s="77" t="s">
        <v>37</v>
      </c>
      <c r="K369" s="77" t="s">
        <v>37</v>
      </c>
      <c r="L369" s="77" t="s">
        <v>38</v>
      </c>
      <c r="M369" s="77" t="s">
        <v>37</v>
      </c>
      <c r="N369" s="77" t="s">
        <v>37</v>
      </c>
      <c r="O369" s="77" t="s">
        <v>38</v>
      </c>
      <c r="P369" s="77" t="s">
        <v>39</v>
      </c>
      <c r="Q369" s="76">
        <v>45966</v>
      </c>
      <c r="R369" s="77"/>
      <c r="S369" s="77"/>
      <c r="T369" s="77"/>
      <c r="U369" s="77"/>
      <c r="V369" s="78"/>
      <c r="W369" s="79"/>
      <c r="X369" s="78"/>
      <c r="Y369" s="78"/>
      <c r="Z369" s="78"/>
      <c r="AA369">
        <f>IF(COUNTIF('Call Queue'!$H$6:$H$20,V369)&gt;0,0,IF(AND(ISNUMBER(N369),N369&gt;0),10000000+N369,IF(ISNUMBER(N369*1),IF(N369*1&gt;0,10000000+N369*1,0),0))+IF(ISNUMBER(SEARCH("(",L369)),1000000+IFERROR(VALUE(SUBSTITUTE(SUBSTITUTE(SUBSTITUTE(MID(L369,SEARCH("(",L369)+1,SEARCH(")",L369)-SEARCH("(",L369)-1),"$",""),",","")," ","")),0),0))</f>
        <v>0</v>
      </c>
    </row>
    <row r="370" spans="1:27">
      <c r="A370" s="76">
        <v>45903</v>
      </c>
      <c r="B370" s="77" t="s">
        <v>1540</v>
      </c>
      <c r="C370" s="77" t="s">
        <v>624</v>
      </c>
      <c r="D370" s="77" t="s">
        <v>202</v>
      </c>
      <c r="E370" s="77">
        <v>85381</v>
      </c>
      <c r="F370" s="77" t="s">
        <v>310</v>
      </c>
      <c r="G370" s="77" t="s">
        <v>1329</v>
      </c>
      <c r="H370" s="77" t="s">
        <v>1541</v>
      </c>
      <c r="I370" s="77" t="s">
        <v>36</v>
      </c>
      <c r="J370" s="77" t="s">
        <v>37</v>
      </c>
      <c r="K370" s="77" t="s">
        <v>37</v>
      </c>
      <c r="L370" s="77" t="s">
        <v>38</v>
      </c>
      <c r="M370" s="77" t="s">
        <v>37</v>
      </c>
      <c r="N370" s="77" t="s">
        <v>37</v>
      </c>
      <c r="O370" s="77" t="s">
        <v>38</v>
      </c>
      <c r="P370" s="77" t="s">
        <v>39</v>
      </c>
      <c r="Q370" s="76">
        <v>45966</v>
      </c>
      <c r="R370" s="77"/>
      <c r="S370" s="77"/>
      <c r="T370" s="77"/>
      <c r="U370" s="77"/>
      <c r="V370" s="78"/>
      <c r="W370" s="79"/>
      <c r="X370" s="78"/>
      <c r="Y370" s="78"/>
      <c r="Z370" s="78"/>
      <c r="AA370">
        <f>IF(COUNTIF('Call Queue'!$H$6:$H$20,V370)&gt;0,0,IF(AND(ISNUMBER(N370),N370&gt;0),10000000+N370,IF(ISNUMBER(N370*1),IF(N370*1&gt;0,10000000+N370*1,0),0))+IF(ISNUMBER(SEARCH("(",L370)),1000000+IFERROR(VALUE(SUBSTITUTE(SUBSTITUTE(SUBSTITUTE(MID(L370,SEARCH("(",L370)+1,SEARCH(")",L370)-SEARCH("(",L370)-1),"$",""),",","")," ","")),0),0))</f>
        <v>0</v>
      </c>
    </row>
    <row r="371" spans="1:27">
      <c r="A371" s="76">
        <v>45903</v>
      </c>
      <c r="B371" s="77" t="s">
        <v>1542</v>
      </c>
      <c r="C371" s="77" t="s">
        <v>1543</v>
      </c>
      <c r="D371" s="77" t="s">
        <v>1544</v>
      </c>
      <c r="E371" s="77">
        <v>86332</v>
      </c>
      <c r="F371" s="77" t="s">
        <v>31</v>
      </c>
      <c r="G371" s="77" t="s">
        <v>1329</v>
      </c>
      <c r="H371" s="77" t="s">
        <v>1545</v>
      </c>
      <c r="I371" s="77" t="s">
        <v>243</v>
      </c>
      <c r="J371" s="77" t="s">
        <v>37</v>
      </c>
      <c r="K371" s="77" t="s">
        <v>37</v>
      </c>
      <c r="L371" s="77" t="s">
        <v>389</v>
      </c>
      <c r="M371" s="77" t="s">
        <v>37</v>
      </c>
      <c r="N371" s="77" t="s">
        <v>37</v>
      </c>
      <c r="O371" s="77" t="s">
        <v>38</v>
      </c>
      <c r="P371" s="77" t="s">
        <v>39</v>
      </c>
      <c r="Q371" s="76">
        <v>45966</v>
      </c>
      <c r="R371" s="77"/>
      <c r="S371" s="77"/>
      <c r="T371" s="77"/>
      <c r="U371" s="77"/>
      <c r="V371" s="78"/>
      <c r="W371" s="79"/>
      <c r="X371" s="78"/>
      <c r="Y371" s="78"/>
      <c r="Z371" s="78"/>
      <c r="AA371">
        <f>IF(COUNTIF('Call Queue'!$H$6:$H$20,V371)&gt;0,0,IF(AND(ISNUMBER(N371),N371&gt;0),10000000+N371,IF(ISNUMBER(N371*1),IF(N371*1&gt;0,10000000+N371*1,0),0))+IF(ISNUMBER(SEARCH("(",L371)),1000000+IFERROR(VALUE(SUBSTITUTE(SUBSTITUTE(SUBSTITUTE(MID(L371,SEARCH("(",L371)+1,SEARCH(")",L371)-SEARCH("(",L371)-1),"$",""),",","")," ","")),0),0))</f>
        <v>0</v>
      </c>
    </row>
    <row r="372" spans="1:27">
      <c r="A372" s="76">
        <v>45903</v>
      </c>
      <c r="B372" s="77" t="s">
        <v>1546</v>
      </c>
      <c r="C372" s="77" t="s">
        <v>1547</v>
      </c>
      <c r="D372" s="77" t="s">
        <v>169</v>
      </c>
      <c r="E372" s="77">
        <v>85395</v>
      </c>
      <c r="F372" s="77" t="s">
        <v>31</v>
      </c>
      <c r="G372" s="77" t="s">
        <v>1329</v>
      </c>
      <c r="H372" s="77" t="s">
        <v>1548</v>
      </c>
      <c r="I372" s="77" t="s">
        <v>46</v>
      </c>
      <c r="J372" s="77" t="s">
        <v>37</v>
      </c>
      <c r="K372" s="77" t="s">
        <v>37</v>
      </c>
      <c r="L372" s="77" t="s">
        <v>38</v>
      </c>
      <c r="M372" s="77" t="s">
        <v>37</v>
      </c>
      <c r="N372" s="77" t="s">
        <v>37</v>
      </c>
      <c r="O372" s="77" t="s">
        <v>38</v>
      </c>
      <c r="P372" s="77" t="s">
        <v>39</v>
      </c>
      <c r="Q372" s="76">
        <v>45966</v>
      </c>
      <c r="R372" s="77"/>
      <c r="S372" s="77"/>
      <c r="T372" s="77"/>
      <c r="U372" s="77"/>
      <c r="V372" s="78"/>
      <c r="W372" s="79"/>
      <c r="X372" s="78"/>
      <c r="Y372" s="78"/>
      <c r="Z372" s="78"/>
      <c r="AA372">
        <f>IF(COUNTIF('Call Queue'!$H$6:$H$20,V372)&gt;0,0,IF(AND(ISNUMBER(N372),N372&gt;0),10000000+N372,IF(ISNUMBER(N372*1),IF(N372*1&gt;0,10000000+N372*1,0),0))+IF(ISNUMBER(SEARCH("(",L372)),1000000+IFERROR(VALUE(SUBSTITUTE(SUBSTITUTE(SUBSTITUTE(MID(L372,SEARCH("(",L372)+1,SEARCH(")",L372)-SEARCH("(",L372)-1),"$",""),",","")," ","")),0),0))</f>
        <v>0</v>
      </c>
    </row>
    <row r="373" spans="1:27">
      <c r="A373" s="76">
        <v>45903</v>
      </c>
      <c r="B373" s="77" t="s">
        <v>1554</v>
      </c>
      <c r="C373" s="77" t="s">
        <v>1555</v>
      </c>
      <c r="D373" s="77" t="s">
        <v>169</v>
      </c>
      <c r="E373" s="77">
        <v>85395</v>
      </c>
      <c r="F373" s="77" t="s">
        <v>1556</v>
      </c>
      <c r="G373" s="77" t="s">
        <v>1329</v>
      </c>
      <c r="H373" s="77" t="s">
        <v>1557</v>
      </c>
      <c r="I373" s="77" t="s">
        <v>196</v>
      </c>
      <c r="J373" s="77" t="s">
        <v>37</v>
      </c>
      <c r="K373" s="77" t="s">
        <v>37</v>
      </c>
      <c r="L373" s="77" t="s">
        <v>1558</v>
      </c>
      <c r="M373" s="77" t="s">
        <v>37</v>
      </c>
      <c r="N373" s="77" t="s">
        <v>37</v>
      </c>
      <c r="O373" s="77" t="s">
        <v>38</v>
      </c>
      <c r="P373" s="77">
        <v>45936</v>
      </c>
      <c r="Q373" s="76">
        <v>45966</v>
      </c>
      <c r="R373" s="77" t="s">
        <v>1429</v>
      </c>
      <c r="S373" s="77"/>
      <c r="T373" s="77"/>
      <c r="U373" s="77"/>
      <c r="V373" s="78" t="s">
        <v>117</v>
      </c>
      <c r="W373" s="79">
        <v>46046</v>
      </c>
      <c r="X373" s="78" t="s">
        <v>38</v>
      </c>
      <c r="Y373" s="78"/>
      <c r="Z373" s="78"/>
      <c r="AA373">
        <f>IF(COUNTIF('Call Queue'!$H$6:$H$20,V373)&gt;0,0,IF(AND(ISNUMBER(N373),N373&gt;0),10000000+N373,IF(ISNUMBER(N373*1),IF(N373*1&gt;0,10000000+N373*1,0),0))+IF(ISNUMBER(SEARCH("(",L373)),1000000+IFERROR(VALUE(SUBSTITUTE(SUBSTITUTE(SUBSTITUTE(MID(L373,SEARCH("(",L373)+1,SEARCH(")",L373)-SEARCH("(",L373)-1),"$",""),",","")," ","")),0),0))</f>
        <v>0</v>
      </c>
    </row>
    <row r="374" spans="1:27">
      <c r="A374" s="76">
        <v>45903</v>
      </c>
      <c r="B374" s="77" t="s">
        <v>1559</v>
      </c>
      <c r="C374" s="77" t="s">
        <v>309</v>
      </c>
      <c r="D374" s="77" t="s">
        <v>129</v>
      </c>
      <c r="E374" s="77">
        <v>85234</v>
      </c>
      <c r="F374" s="77" t="s">
        <v>310</v>
      </c>
      <c r="G374" s="77" t="s">
        <v>1329</v>
      </c>
      <c r="H374" s="77" t="s">
        <v>1560</v>
      </c>
      <c r="I374" s="77" t="s">
        <v>196</v>
      </c>
      <c r="J374" s="77" t="s">
        <v>37</v>
      </c>
      <c r="K374" s="77" t="s">
        <v>37</v>
      </c>
      <c r="L374" s="77" t="s">
        <v>1561</v>
      </c>
      <c r="M374" s="77" t="s">
        <v>37</v>
      </c>
      <c r="N374" s="77" t="s">
        <v>37</v>
      </c>
      <c r="O374" s="77" t="s">
        <v>38</v>
      </c>
      <c r="P374" s="77">
        <v>45936</v>
      </c>
      <c r="Q374" s="76">
        <v>45966</v>
      </c>
      <c r="R374" s="77" t="s">
        <v>1429</v>
      </c>
      <c r="S374" s="77"/>
      <c r="T374" s="77"/>
      <c r="U374" s="77"/>
      <c r="V374" s="78" t="s">
        <v>117</v>
      </c>
      <c r="W374" s="79">
        <v>46046</v>
      </c>
      <c r="X374" s="78" t="s">
        <v>38</v>
      </c>
      <c r="Y374" s="78"/>
      <c r="Z374" s="78"/>
      <c r="AA374">
        <f>IF(COUNTIF('Call Queue'!$H$6:$H$20,V374)&gt;0,0,IF(AND(ISNUMBER(N374),N374&gt;0),10000000+N374,IF(ISNUMBER(N374*1),IF(N374*1&gt;0,10000000+N374*1,0),0))+IF(ISNUMBER(SEARCH("(",L374)),1000000+IFERROR(VALUE(SUBSTITUTE(SUBSTITUTE(SUBSTITUTE(MID(L374,SEARCH("(",L374)+1,SEARCH(")",L374)-SEARCH("(",L374)-1),"$",""),",","")," ","")),0),0))</f>
        <v>0</v>
      </c>
    </row>
    <row r="375" spans="1:27">
      <c r="A375" s="76">
        <v>45903</v>
      </c>
      <c r="B375" s="77" t="s">
        <v>1562</v>
      </c>
      <c r="C375" s="77" t="s">
        <v>1563</v>
      </c>
      <c r="D375" s="77" t="s">
        <v>816</v>
      </c>
      <c r="E375" s="77">
        <v>86304</v>
      </c>
      <c r="F375" s="77" t="s">
        <v>31</v>
      </c>
      <c r="G375" s="77" t="s">
        <v>1329</v>
      </c>
      <c r="H375" s="77" t="s">
        <v>1564</v>
      </c>
      <c r="I375" s="77" t="s">
        <v>73</v>
      </c>
      <c r="J375" s="77" t="s">
        <v>37</v>
      </c>
      <c r="K375" s="77" t="s">
        <v>37</v>
      </c>
      <c r="L375" s="77" t="s">
        <v>38</v>
      </c>
      <c r="M375" s="77" t="s">
        <v>37</v>
      </c>
      <c r="N375" s="77" t="s">
        <v>37</v>
      </c>
      <c r="O375" s="77" t="s">
        <v>38</v>
      </c>
      <c r="P375" s="77" t="s">
        <v>39</v>
      </c>
      <c r="Q375" s="76">
        <v>45966</v>
      </c>
      <c r="R375" s="77"/>
      <c r="S375" s="77"/>
      <c r="T375" s="77"/>
      <c r="U375" s="77"/>
      <c r="V375" s="78"/>
      <c r="W375" s="79"/>
      <c r="X375" s="78"/>
      <c r="Y375" s="78"/>
      <c r="Z375" s="78"/>
      <c r="AA375">
        <f>IF(COUNTIF('Call Queue'!$H$6:$H$20,V375)&gt;0,0,IF(AND(ISNUMBER(N375),N375&gt;0),10000000+N375,IF(ISNUMBER(N375*1),IF(N375*1&gt;0,10000000+N375*1,0),0))+IF(ISNUMBER(SEARCH("(",L375)),1000000+IFERROR(VALUE(SUBSTITUTE(SUBSTITUTE(SUBSTITUTE(MID(L375,SEARCH("(",L375)+1,SEARCH(")",L375)-SEARCH("(",L375)-1),"$",""),",","")," ","")),0),0))</f>
        <v>0</v>
      </c>
    </row>
    <row r="376" spans="1:27">
      <c r="A376" s="76">
        <v>45903</v>
      </c>
      <c r="B376" s="77" t="s">
        <v>1565</v>
      </c>
      <c r="C376" s="77" t="s">
        <v>1566</v>
      </c>
      <c r="D376" s="77" t="s">
        <v>169</v>
      </c>
      <c r="E376" s="77">
        <v>85395</v>
      </c>
      <c r="F376" s="77" t="s">
        <v>31</v>
      </c>
      <c r="G376" s="77" t="s">
        <v>1329</v>
      </c>
      <c r="H376" s="77" t="s">
        <v>1567</v>
      </c>
      <c r="I376" s="77" t="s">
        <v>73</v>
      </c>
      <c r="J376" s="77" t="s">
        <v>37</v>
      </c>
      <c r="K376" s="77" t="s">
        <v>37</v>
      </c>
      <c r="L376" s="77" t="s">
        <v>38</v>
      </c>
      <c r="M376" s="77" t="s">
        <v>37</v>
      </c>
      <c r="N376" s="77" t="s">
        <v>37</v>
      </c>
      <c r="O376" s="77" t="s">
        <v>38</v>
      </c>
      <c r="P376" s="77" t="s">
        <v>39</v>
      </c>
      <c r="Q376" s="76">
        <v>45966</v>
      </c>
      <c r="R376" s="77"/>
      <c r="S376" s="77"/>
      <c r="T376" s="77"/>
      <c r="U376" s="77"/>
      <c r="V376" s="78"/>
      <c r="W376" s="79"/>
      <c r="X376" s="78"/>
      <c r="Y376" s="78"/>
      <c r="Z376" s="78"/>
      <c r="AA376">
        <f>IF(COUNTIF('Call Queue'!$H$6:$H$20,V376)&gt;0,0,IF(AND(ISNUMBER(N376),N376&gt;0),10000000+N376,IF(ISNUMBER(N376*1),IF(N376*1&gt;0,10000000+N376*1,0),0))+IF(ISNUMBER(SEARCH("(",L376)),1000000+IFERROR(VALUE(SUBSTITUTE(SUBSTITUTE(SUBSTITUTE(MID(L376,SEARCH("(",L376)+1,SEARCH(")",L376)-SEARCH("(",L376)-1),"$",""),",","")," ","")),0),0))</f>
        <v>0</v>
      </c>
    </row>
    <row r="377" spans="1:27">
      <c r="A377" s="76">
        <v>45903</v>
      </c>
      <c r="B377" s="77" t="s">
        <v>1568</v>
      </c>
      <c r="C377" s="77" t="s">
        <v>1463</v>
      </c>
      <c r="D377" s="77" t="s">
        <v>659</v>
      </c>
      <c r="E377" s="77">
        <v>85350</v>
      </c>
      <c r="F377" s="77" t="s">
        <v>31</v>
      </c>
      <c r="G377" s="77" t="s">
        <v>1329</v>
      </c>
      <c r="H377" s="77" t="s">
        <v>1569</v>
      </c>
      <c r="I377" s="77" t="s">
        <v>46</v>
      </c>
      <c r="J377" s="77" t="s">
        <v>38</v>
      </c>
      <c r="K377" s="77" t="s">
        <v>37</v>
      </c>
      <c r="L377" s="77" t="s">
        <v>38</v>
      </c>
      <c r="M377" s="77" t="s">
        <v>37</v>
      </c>
      <c r="N377" s="77" t="s">
        <v>37</v>
      </c>
      <c r="O377" s="77" t="s">
        <v>38</v>
      </c>
      <c r="P377" s="77" t="s">
        <v>39</v>
      </c>
      <c r="Q377" s="76">
        <v>45966</v>
      </c>
      <c r="R377" s="77"/>
      <c r="S377" s="77"/>
      <c r="T377" s="77"/>
      <c r="U377" s="77"/>
      <c r="V377" s="78"/>
      <c r="W377" s="79"/>
      <c r="X377" s="78"/>
      <c r="Y377" s="78"/>
      <c r="Z377" s="78"/>
      <c r="AA377">
        <f>IF(COUNTIF('Call Queue'!$H$6:$H$20,V377)&gt;0,0,IF(AND(ISNUMBER(N377),N377&gt;0),10000000+N377,IF(ISNUMBER(N377*1),IF(N377*1&gt;0,10000000+N377*1,0),0))+IF(ISNUMBER(SEARCH("(",L377)),1000000+IFERROR(VALUE(SUBSTITUTE(SUBSTITUTE(SUBSTITUTE(MID(L377,SEARCH("(",L377)+1,SEARCH(")",L377)-SEARCH("(",L377)-1),"$",""),",","")," ","")),0),0))</f>
        <v>0</v>
      </c>
    </row>
    <row r="378" spans="1:27">
      <c r="A378" s="76">
        <v>45903</v>
      </c>
      <c r="B378" s="77" t="s">
        <v>1570</v>
      </c>
      <c r="C378" s="77" t="s">
        <v>1571</v>
      </c>
      <c r="D378" s="77" t="s">
        <v>24</v>
      </c>
      <c r="E378" s="77">
        <v>85308</v>
      </c>
      <c r="F378" s="77" t="s">
        <v>310</v>
      </c>
      <c r="G378" s="77" t="s">
        <v>1329</v>
      </c>
      <c r="H378" s="77" t="s">
        <v>1572</v>
      </c>
      <c r="I378" s="77" t="s">
        <v>36</v>
      </c>
      <c r="J378" s="77" t="s">
        <v>37</v>
      </c>
      <c r="K378" s="77" t="s">
        <v>37</v>
      </c>
      <c r="L378" s="77" t="s">
        <v>1573</v>
      </c>
      <c r="M378" s="77" t="s">
        <v>37</v>
      </c>
      <c r="N378" s="77" t="s">
        <v>37</v>
      </c>
      <c r="O378" s="77" t="s">
        <v>38</v>
      </c>
      <c r="P378" s="77"/>
      <c r="Q378" s="76">
        <v>45966</v>
      </c>
      <c r="R378" s="77"/>
      <c r="S378" s="77"/>
      <c r="T378" s="77"/>
      <c r="U378" s="77"/>
      <c r="V378" s="78" t="s">
        <v>117</v>
      </c>
      <c r="W378" s="79">
        <v>46046</v>
      </c>
      <c r="X378" s="78" t="s">
        <v>38</v>
      </c>
      <c r="Y378" s="78"/>
      <c r="Z378" s="78"/>
      <c r="AA378">
        <f>IF(COUNTIF('Call Queue'!$H$6:$H$20,V378)&gt;0,0,IF(AND(ISNUMBER(N378),N378&gt;0),10000000+N378,IF(ISNUMBER(N378*1),IF(N378*1&gt;0,10000000+N378*1,0),0))+IF(ISNUMBER(SEARCH("(",L378)),1000000+IFERROR(VALUE(SUBSTITUTE(SUBSTITUTE(SUBSTITUTE(MID(L378,SEARCH("(",L378)+1,SEARCH(")",L378)-SEARCH("(",L378)-1),"$",""),",","")," ","")),0),0))</f>
        <v>0</v>
      </c>
    </row>
    <row r="379" spans="1:27">
      <c r="A379" s="76">
        <v>45903</v>
      </c>
      <c r="B379" s="77" t="s">
        <v>367</v>
      </c>
      <c r="C379" s="77" t="s">
        <v>1574</v>
      </c>
      <c r="D379" s="77" t="s">
        <v>169</v>
      </c>
      <c r="E379" s="77">
        <v>85395</v>
      </c>
      <c r="F379" s="77" t="s">
        <v>31</v>
      </c>
      <c r="G379" s="77" t="s">
        <v>1329</v>
      </c>
      <c r="H379" s="77" t="s">
        <v>1575</v>
      </c>
      <c r="I379" s="77" t="s">
        <v>1576</v>
      </c>
      <c r="J379" s="77" t="s">
        <v>37</v>
      </c>
      <c r="K379" s="77" t="s">
        <v>37</v>
      </c>
      <c r="L379" s="77" t="s">
        <v>389</v>
      </c>
      <c r="M379" s="77" t="s">
        <v>37</v>
      </c>
      <c r="N379" s="77" t="s">
        <v>37</v>
      </c>
      <c r="O379" s="77" t="s">
        <v>38</v>
      </c>
      <c r="P379" s="77" t="s">
        <v>39</v>
      </c>
      <c r="Q379" s="76">
        <v>45966</v>
      </c>
      <c r="R379" s="77"/>
      <c r="S379" s="77"/>
      <c r="T379" s="77"/>
      <c r="U379" s="77"/>
      <c r="V379" s="78"/>
      <c r="W379" s="79"/>
      <c r="X379" s="78"/>
      <c r="Y379" s="78"/>
      <c r="Z379" s="78"/>
      <c r="AA379">
        <f>IF(COUNTIF('Call Queue'!$H$6:$H$20,V379)&gt;0,0,IF(AND(ISNUMBER(N379),N379&gt;0),10000000+N379,IF(ISNUMBER(N379*1),IF(N379*1&gt;0,10000000+N379*1,0),0))+IF(ISNUMBER(SEARCH("(",L379)),1000000+IFERROR(VALUE(SUBSTITUTE(SUBSTITUTE(SUBSTITUTE(MID(L379,SEARCH("(",L379)+1,SEARCH(")",L379)-SEARCH("(",L379)-1),"$",""),",","")," ","")),0),0))</f>
        <v>0</v>
      </c>
    </row>
    <row r="380" spans="1:27">
      <c r="A380" s="76">
        <v>45903</v>
      </c>
      <c r="B380" s="77" t="s">
        <v>1577</v>
      </c>
      <c r="C380" s="77" t="s">
        <v>1578</v>
      </c>
      <c r="D380" s="77" t="s">
        <v>264</v>
      </c>
      <c r="E380" s="77">
        <v>85541</v>
      </c>
      <c r="F380" s="77" t="s">
        <v>310</v>
      </c>
      <c r="G380" s="77" t="s">
        <v>1329</v>
      </c>
      <c r="H380" s="77" t="s">
        <v>1579</v>
      </c>
      <c r="I380" s="77" t="s">
        <v>36</v>
      </c>
      <c r="J380" s="77" t="s">
        <v>37</v>
      </c>
      <c r="K380" s="77" t="s">
        <v>37</v>
      </c>
      <c r="L380" s="77" t="s">
        <v>38</v>
      </c>
      <c r="M380" s="77" t="s">
        <v>37</v>
      </c>
      <c r="N380" s="77" t="s">
        <v>37</v>
      </c>
      <c r="O380" s="77" t="s">
        <v>38</v>
      </c>
      <c r="P380" s="77" t="s">
        <v>39</v>
      </c>
      <c r="Q380" s="76">
        <v>45966</v>
      </c>
      <c r="R380" s="77"/>
      <c r="S380" s="77"/>
      <c r="T380" s="77"/>
      <c r="U380" s="77"/>
      <c r="V380" s="78"/>
      <c r="W380" s="79"/>
      <c r="X380" s="78"/>
      <c r="Y380" s="78"/>
      <c r="Z380" s="78"/>
      <c r="AA380">
        <f>IF(COUNTIF('Call Queue'!$H$6:$H$20,V380)&gt;0,0,IF(AND(ISNUMBER(N380),N380&gt;0),10000000+N380,IF(ISNUMBER(N380*1),IF(N380*1&gt;0,10000000+N380*1,0),0))+IF(ISNUMBER(SEARCH("(",L380)),1000000+IFERROR(VALUE(SUBSTITUTE(SUBSTITUTE(SUBSTITUTE(MID(L380,SEARCH("(",L380)+1,SEARCH(")",L380)-SEARCH("(",L380)-1),"$",""),",","")," ","")),0),0))</f>
        <v>0</v>
      </c>
    </row>
    <row r="381" spans="1:27">
      <c r="A381" s="76">
        <v>45903</v>
      </c>
      <c r="B381" s="77" t="s">
        <v>1580</v>
      </c>
      <c r="C381" s="77" t="s">
        <v>1581</v>
      </c>
      <c r="D381" s="77" t="s">
        <v>169</v>
      </c>
      <c r="E381" s="77">
        <v>85395</v>
      </c>
      <c r="F381" s="77" t="s">
        <v>1211</v>
      </c>
      <c r="G381" s="77" t="s">
        <v>1329</v>
      </c>
      <c r="H381" s="77">
        <v>1405160798</v>
      </c>
      <c r="I381" s="77" t="s">
        <v>243</v>
      </c>
      <c r="J381" s="77" t="s">
        <v>37</v>
      </c>
      <c r="K381" s="77" t="s">
        <v>37</v>
      </c>
      <c r="L381" s="77" t="s">
        <v>389</v>
      </c>
      <c r="M381" s="77" t="s">
        <v>37</v>
      </c>
      <c r="N381" s="77" t="s">
        <v>37</v>
      </c>
      <c r="O381" s="77" t="s">
        <v>38</v>
      </c>
      <c r="P381" s="77" t="s">
        <v>39</v>
      </c>
      <c r="Q381" s="76">
        <v>45966</v>
      </c>
      <c r="R381" s="77"/>
      <c r="S381" s="77"/>
      <c r="T381" s="77"/>
      <c r="U381" s="77"/>
      <c r="V381" s="78"/>
      <c r="W381" s="79"/>
      <c r="X381" s="78"/>
      <c r="Y381" s="78"/>
      <c r="Z381" s="78"/>
      <c r="AA381">
        <f>IF(COUNTIF('Call Queue'!$H$6:$H$20,V381)&gt;0,0,IF(AND(ISNUMBER(N381),N381&gt;0),10000000+N381,IF(ISNUMBER(N381*1),IF(N381*1&gt;0,10000000+N381*1,0),0))+IF(ISNUMBER(SEARCH("(",L381)),1000000+IFERROR(VALUE(SUBSTITUTE(SUBSTITUTE(SUBSTITUTE(MID(L381,SEARCH("(",L381)+1,SEARCH(")",L381)-SEARCH("(",L381)-1),"$",""),",","")," ","")),0),0))</f>
        <v>0</v>
      </c>
    </row>
    <row r="382" spans="1:27">
      <c r="A382" s="76">
        <v>45903</v>
      </c>
      <c r="B382" s="77" t="s">
        <v>1583</v>
      </c>
      <c r="C382" s="77" t="s">
        <v>1584</v>
      </c>
      <c r="D382" s="77" t="s">
        <v>523</v>
      </c>
      <c r="E382" s="77">
        <v>85392</v>
      </c>
      <c r="F382" s="77" t="s">
        <v>31</v>
      </c>
      <c r="G382" s="77" t="s">
        <v>1329</v>
      </c>
      <c r="H382" s="77">
        <v>4130294914</v>
      </c>
      <c r="I382" s="77" t="s">
        <v>46</v>
      </c>
      <c r="J382" s="77" t="s">
        <v>37</v>
      </c>
      <c r="K382" s="77" t="s">
        <v>37</v>
      </c>
      <c r="L382" s="77" t="s">
        <v>1586</v>
      </c>
      <c r="M382" s="77" t="s">
        <v>37</v>
      </c>
      <c r="N382" s="77" t="s">
        <v>37</v>
      </c>
      <c r="O382" s="77" t="s">
        <v>38</v>
      </c>
      <c r="P382" s="77" t="s">
        <v>39</v>
      </c>
      <c r="Q382" s="76">
        <v>45966</v>
      </c>
      <c r="R382" s="77"/>
      <c r="S382" s="77"/>
      <c r="T382" s="77"/>
      <c r="U382" s="77"/>
      <c r="V382" s="78"/>
      <c r="W382" s="79"/>
      <c r="X382" s="78"/>
      <c r="Y382" s="78"/>
      <c r="Z382" s="78"/>
      <c r="AA382">
        <f>IF(COUNTIF('Call Queue'!$H$6:$H$20,V382)&gt;0,0,IF(AND(ISNUMBER(N382),N382&gt;0),10000000+N382,IF(ISNUMBER(N382*1),IF(N382*1&gt;0,10000000+N382*1,0),0))+IF(ISNUMBER(SEARCH("(",L382)),1000000+IFERROR(VALUE(SUBSTITUTE(SUBSTITUTE(SUBSTITUTE(MID(L382,SEARCH("(",L382)+1,SEARCH(")",L382)-SEARCH("(",L382)-1),"$",""),",","")," ","")),0),0))</f>
        <v>0</v>
      </c>
    </row>
    <row r="383" spans="1:27">
      <c r="A383" s="76">
        <v>45903</v>
      </c>
      <c r="B383" s="77" t="s">
        <v>1587</v>
      </c>
      <c r="C383" s="77" t="s">
        <v>1588</v>
      </c>
      <c r="D383" s="77" t="s">
        <v>63</v>
      </c>
      <c r="E383" s="77">
        <v>85032</v>
      </c>
      <c r="F383" s="77" t="s">
        <v>310</v>
      </c>
      <c r="G383" s="77" t="s">
        <v>1329</v>
      </c>
      <c r="H383" s="77">
        <v>9555640000</v>
      </c>
      <c r="I383" s="77" t="s">
        <v>250</v>
      </c>
      <c r="J383" s="77" t="s">
        <v>37</v>
      </c>
      <c r="K383" s="77" t="s">
        <v>37</v>
      </c>
      <c r="L383" s="77" t="s">
        <v>1586</v>
      </c>
      <c r="M383" s="77" t="s">
        <v>37</v>
      </c>
      <c r="N383" s="77" t="s">
        <v>37</v>
      </c>
      <c r="O383" s="77" t="s">
        <v>38</v>
      </c>
      <c r="P383" s="77" t="s">
        <v>39</v>
      </c>
      <c r="Q383" s="76">
        <v>45966</v>
      </c>
      <c r="R383" s="77"/>
      <c r="S383" s="77"/>
      <c r="T383" s="77"/>
      <c r="U383" s="77"/>
      <c r="V383" s="78"/>
      <c r="W383" s="79"/>
      <c r="X383" s="78"/>
      <c r="Y383" s="78"/>
      <c r="Z383" s="78"/>
      <c r="AA383">
        <f>IF(COUNTIF('Call Queue'!$H$6:$H$20,V383)&gt;0,0,IF(AND(ISNUMBER(N383),N383&gt;0),10000000+N383,IF(ISNUMBER(N383*1),IF(N383*1&gt;0,10000000+N383*1,0),0))+IF(ISNUMBER(SEARCH("(",L383)),1000000+IFERROR(VALUE(SUBSTITUTE(SUBSTITUTE(SUBSTITUTE(MID(L383,SEARCH("(",L383)+1,SEARCH(")",L383)-SEARCH("(",L383)-1),"$",""),",","")," ","")),0),0))</f>
        <v>0</v>
      </c>
    </row>
    <row r="384" spans="1:27">
      <c r="A384" s="76">
        <v>45903</v>
      </c>
      <c r="B384" s="77" t="s">
        <v>1592</v>
      </c>
      <c r="C384" s="77" t="s">
        <v>333</v>
      </c>
      <c r="D384" s="77" t="s">
        <v>112</v>
      </c>
      <c r="E384" s="77">
        <v>85379</v>
      </c>
      <c r="F384" s="77" t="s">
        <v>310</v>
      </c>
      <c r="G384" s="77" t="s">
        <v>1593</v>
      </c>
      <c r="H384" s="77" t="s">
        <v>1594</v>
      </c>
      <c r="I384" s="77" t="s">
        <v>126</v>
      </c>
      <c r="J384" s="77" t="s">
        <v>37</v>
      </c>
      <c r="K384" s="77" t="s">
        <v>37</v>
      </c>
      <c r="L384" s="77" t="s">
        <v>38</v>
      </c>
      <c r="M384" s="77" t="s">
        <v>37</v>
      </c>
      <c r="N384" s="77" t="s">
        <v>37</v>
      </c>
      <c r="O384" s="77" t="s">
        <v>38</v>
      </c>
      <c r="P384" s="77" t="s">
        <v>39</v>
      </c>
      <c r="Q384" s="76">
        <v>45966</v>
      </c>
      <c r="R384" s="77"/>
      <c r="S384" s="77"/>
      <c r="T384" s="77"/>
      <c r="U384" s="77"/>
      <c r="V384" s="78"/>
      <c r="W384" s="79"/>
      <c r="X384" s="78"/>
      <c r="Y384" s="78"/>
      <c r="Z384" s="78"/>
      <c r="AA384">
        <f>IF(COUNTIF('Call Queue'!$H$6:$H$20,V384)&gt;0,0,IF(AND(ISNUMBER(N384),N384&gt;0),10000000+N384,IF(ISNUMBER(N384*1),IF(N384*1&gt;0,10000000+N384*1,0),0))+IF(ISNUMBER(SEARCH("(",L384)),1000000+IFERROR(VALUE(SUBSTITUTE(SUBSTITUTE(SUBSTITUTE(MID(L384,SEARCH("(",L384)+1,SEARCH(")",L384)-SEARCH("(",L384)-1),"$",""),",","")," ","")),0),0))</f>
        <v>0</v>
      </c>
    </row>
    <row r="385" spans="1:27">
      <c r="A385" s="76">
        <v>45903</v>
      </c>
      <c r="B385" s="77" t="s">
        <v>1595</v>
      </c>
      <c r="C385" s="77" t="s">
        <v>1596</v>
      </c>
      <c r="D385" s="77" t="s">
        <v>523</v>
      </c>
      <c r="E385" s="77">
        <v>85392</v>
      </c>
      <c r="F385" s="77" t="s">
        <v>31</v>
      </c>
      <c r="G385" s="77" t="s">
        <v>1593</v>
      </c>
      <c r="H385" s="77" t="s">
        <v>1597</v>
      </c>
      <c r="I385" s="77" t="s">
        <v>36</v>
      </c>
      <c r="J385" s="77" t="s">
        <v>37</v>
      </c>
      <c r="K385" s="77" t="s">
        <v>37</v>
      </c>
      <c r="L385" s="77" t="s">
        <v>38</v>
      </c>
      <c r="M385" s="77" t="s">
        <v>37</v>
      </c>
      <c r="N385" s="77" t="s">
        <v>37</v>
      </c>
      <c r="O385" s="77" t="s">
        <v>38</v>
      </c>
      <c r="P385" s="77" t="s">
        <v>39</v>
      </c>
      <c r="Q385" s="76">
        <v>45966</v>
      </c>
      <c r="R385" s="77"/>
      <c r="S385" s="77"/>
      <c r="T385" s="77"/>
      <c r="U385" s="77"/>
      <c r="V385" s="78"/>
      <c r="W385" s="79"/>
      <c r="X385" s="78"/>
      <c r="Y385" s="78"/>
      <c r="Z385" s="78"/>
      <c r="AA385">
        <f>IF(COUNTIF('Call Queue'!$H$6:$H$20,V385)&gt;0,0,IF(AND(ISNUMBER(N385),N385&gt;0),10000000+N385,IF(ISNUMBER(N385*1),IF(N385*1&gt;0,10000000+N385*1,0),0))+IF(ISNUMBER(SEARCH("(",L385)),1000000+IFERROR(VALUE(SUBSTITUTE(SUBSTITUTE(SUBSTITUTE(MID(L385,SEARCH("(",L385)+1,SEARCH(")",L385)-SEARCH("(",L385)-1),"$",""),",","")," ","")),0),0))</f>
        <v>0</v>
      </c>
    </row>
    <row r="386" spans="1:27">
      <c r="A386" s="76">
        <v>45903</v>
      </c>
      <c r="B386" s="77" t="s">
        <v>604</v>
      </c>
      <c r="C386" s="77" t="s">
        <v>420</v>
      </c>
      <c r="D386" s="77" t="s">
        <v>24</v>
      </c>
      <c r="E386" s="77">
        <v>85308</v>
      </c>
      <c r="F386" s="77" t="s">
        <v>310</v>
      </c>
      <c r="G386" s="77" t="s">
        <v>1593</v>
      </c>
      <c r="H386" s="77" t="s">
        <v>1598</v>
      </c>
      <c r="I386" s="77" t="s">
        <v>73</v>
      </c>
      <c r="J386" s="77" t="s">
        <v>37</v>
      </c>
      <c r="K386" s="77" t="s">
        <v>37</v>
      </c>
      <c r="L386" s="77" t="s">
        <v>38</v>
      </c>
      <c r="M386" s="77" t="s">
        <v>37</v>
      </c>
      <c r="N386" s="77" t="s">
        <v>37</v>
      </c>
      <c r="O386" s="77" t="s">
        <v>38</v>
      </c>
      <c r="P386" s="77" t="s">
        <v>39</v>
      </c>
      <c r="Q386" s="76">
        <v>45966</v>
      </c>
      <c r="R386" s="77"/>
      <c r="S386" s="77"/>
      <c r="T386" s="77"/>
      <c r="U386" s="77"/>
      <c r="V386" s="78"/>
      <c r="W386" s="79"/>
      <c r="X386" s="78"/>
      <c r="Y386" s="78"/>
      <c r="Z386" s="78"/>
      <c r="AA386">
        <f>IF(COUNTIF('Call Queue'!$H$6:$H$20,V386)&gt;0,0,IF(AND(ISNUMBER(N386),N386&gt;0),10000000+N386,IF(ISNUMBER(N386*1),IF(N386*1&gt;0,10000000+N386*1,0),0))+IF(ISNUMBER(SEARCH("(",L386)),1000000+IFERROR(VALUE(SUBSTITUTE(SUBSTITUTE(SUBSTITUTE(MID(L386,SEARCH("(",L386)+1,SEARCH(")",L386)-SEARCH("(",L386)-1),"$",""),",","")," ","")),0),0))</f>
        <v>0</v>
      </c>
    </row>
    <row r="387" spans="1:27">
      <c r="A387" s="76">
        <v>45903</v>
      </c>
      <c r="B387" s="77" t="s">
        <v>1599</v>
      </c>
      <c r="C387" s="77" t="s">
        <v>1600</v>
      </c>
      <c r="D387" s="77" t="s">
        <v>63</v>
      </c>
      <c r="E387" s="77">
        <v>85345</v>
      </c>
      <c r="F387" s="77" t="s">
        <v>31</v>
      </c>
      <c r="G387" s="77" t="s">
        <v>1593</v>
      </c>
      <c r="H387" s="77" t="s">
        <v>1601</v>
      </c>
      <c r="I387" s="77" t="s">
        <v>73</v>
      </c>
      <c r="J387" s="77" t="s">
        <v>37</v>
      </c>
      <c r="K387" s="77" t="s">
        <v>37</v>
      </c>
      <c r="L387" s="77" t="s">
        <v>1602</v>
      </c>
      <c r="M387" s="77" t="s">
        <v>37</v>
      </c>
      <c r="N387" s="77" t="s">
        <v>37</v>
      </c>
      <c r="O387" s="77" t="s">
        <v>38</v>
      </c>
      <c r="P387" s="77" t="s">
        <v>39</v>
      </c>
      <c r="Q387" s="76">
        <v>45966</v>
      </c>
      <c r="R387" s="77"/>
      <c r="S387" s="77"/>
      <c r="T387" s="77"/>
      <c r="U387" s="77"/>
      <c r="V387" s="78" t="s">
        <v>5432</v>
      </c>
      <c r="W387" s="79">
        <v>46060</v>
      </c>
      <c r="X387" s="78" t="s">
        <v>37</v>
      </c>
      <c r="Y387" s="78" t="s">
        <v>5442</v>
      </c>
      <c r="Z387" s="78"/>
      <c r="AA387">
        <f>IF(COUNTIF('Call Queue'!$H$6:$H$20,V387)&gt;0,0,IF(AND(ISNUMBER(N387),N387&gt;0),10000000+N387,IF(ISNUMBER(N387*1),IF(N387*1&gt;0,10000000+N387*1,0),0))+IF(ISNUMBER(SEARCH("(",L387)),1000000+IFERROR(VALUE(SUBSTITUTE(SUBSTITUTE(SUBSTITUTE(MID(L387,SEARCH("(",L387)+1,SEARCH(")",L387)-SEARCH("(",L387)-1),"$",""),",","")," ","")),0),0))</f>
        <v>0</v>
      </c>
    </row>
    <row r="388" spans="1:27">
      <c r="A388" s="76">
        <v>45903</v>
      </c>
      <c r="B388" s="77" t="s">
        <v>1603</v>
      </c>
      <c r="C388" s="77" t="s">
        <v>117</v>
      </c>
      <c r="D388" s="77" t="s">
        <v>169</v>
      </c>
      <c r="E388" s="77">
        <v>85338</v>
      </c>
      <c r="F388" s="77" t="s">
        <v>1604</v>
      </c>
      <c r="G388" s="77" t="s">
        <v>1593</v>
      </c>
      <c r="H388" s="77" t="s">
        <v>1605</v>
      </c>
      <c r="I388" s="77" t="s">
        <v>36</v>
      </c>
      <c r="J388" s="77" t="s">
        <v>37</v>
      </c>
      <c r="K388" s="77" t="s">
        <v>37</v>
      </c>
      <c r="L388" s="77" t="s">
        <v>38</v>
      </c>
      <c r="M388" s="77" t="s">
        <v>37</v>
      </c>
      <c r="N388" s="77" t="s">
        <v>37</v>
      </c>
      <c r="O388" s="77" t="s">
        <v>38</v>
      </c>
      <c r="P388" s="77" t="s">
        <v>39</v>
      </c>
      <c r="Q388" s="76">
        <v>45966</v>
      </c>
      <c r="R388" s="77"/>
      <c r="S388" s="77"/>
      <c r="T388" s="77"/>
      <c r="U388" s="77"/>
      <c r="V388" s="78"/>
      <c r="W388" s="79"/>
      <c r="X388" s="78"/>
      <c r="Y388" s="78"/>
      <c r="Z388" s="78"/>
      <c r="AA388">
        <f>IF(COUNTIF('Call Queue'!$H$6:$H$20,V388)&gt;0,0,IF(AND(ISNUMBER(N388),N388&gt;0),10000000+N388,IF(ISNUMBER(N388*1),IF(N388*1&gt;0,10000000+N388*1,0),0))+IF(ISNUMBER(SEARCH("(",L388)),1000000+IFERROR(VALUE(SUBSTITUTE(SUBSTITUTE(SUBSTITUTE(MID(L388,SEARCH("(",L388)+1,SEARCH(")",L388)-SEARCH("(",L388)-1),"$",""),",","")," ","")),0),0))</f>
        <v>0</v>
      </c>
    </row>
    <row r="389" spans="1:27">
      <c r="A389" s="76">
        <v>45903</v>
      </c>
      <c r="B389" s="77" t="s">
        <v>1607</v>
      </c>
      <c r="C389" s="77" t="s">
        <v>1501</v>
      </c>
      <c r="D389" s="77" t="s">
        <v>125</v>
      </c>
      <c r="E389" s="77">
        <v>85254</v>
      </c>
      <c r="F389" s="77" t="s">
        <v>1608</v>
      </c>
      <c r="G389" s="77" t="s">
        <v>1593</v>
      </c>
      <c r="H389" s="77" t="s">
        <v>1609</v>
      </c>
      <c r="I389" s="77" t="s">
        <v>46</v>
      </c>
      <c r="J389" s="77" t="s">
        <v>37</v>
      </c>
      <c r="K389" s="77" t="s">
        <v>37</v>
      </c>
      <c r="L389" s="77" t="s">
        <v>38</v>
      </c>
      <c r="M389" s="77" t="s">
        <v>37</v>
      </c>
      <c r="N389" s="77" t="s">
        <v>37</v>
      </c>
      <c r="O389" s="77" t="s">
        <v>38</v>
      </c>
      <c r="P389" s="77" t="s">
        <v>39</v>
      </c>
      <c r="Q389" s="76">
        <v>45966</v>
      </c>
      <c r="R389" s="77"/>
      <c r="S389" s="77"/>
      <c r="T389" s="77"/>
      <c r="U389" s="77"/>
      <c r="V389" s="78"/>
      <c r="W389" s="79"/>
      <c r="X389" s="78"/>
      <c r="Y389" s="78"/>
      <c r="Z389" s="78"/>
      <c r="AA389">
        <f>IF(COUNTIF('Call Queue'!$H$6:$H$20,V389)&gt;0,0,IF(AND(ISNUMBER(N389),N389&gt;0),10000000+N389,IF(ISNUMBER(N389*1),IF(N389*1&gt;0,10000000+N389*1,0),0))+IF(ISNUMBER(SEARCH("(",L389)),1000000+IFERROR(VALUE(SUBSTITUTE(SUBSTITUTE(SUBSTITUTE(MID(L389,SEARCH("(",L389)+1,SEARCH(")",L389)-SEARCH("(",L389)-1),"$",""),",","")," ","")),0),0))</f>
        <v>0</v>
      </c>
    </row>
    <row r="390" spans="1:27">
      <c r="A390" s="76">
        <v>45903</v>
      </c>
      <c r="B390" s="77" t="s">
        <v>1610</v>
      </c>
      <c r="C390" s="77" t="s">
        <v>1127</v>
      </c>
      <c r="D390" s="77" t="s">
        <v>816</v>
      </c>
      <c r="E390" s="77">
        <v>86305</v>
      </c>
      <c r="F390" s="77" t="s">
        <v>31</v>
      </c>
      <c r="G390" s="77" t="s">
        <v>1593</v>
      </c>
      <c r="H390" s="77" t="s">
        <v>1611</v>
      </c>
      <c r="I390" s="77" t="s">
        <v>196</v>
      </c>
      <c r="J390" s="77" t="s">
        <v>37</v>
      </c>
      <c r="K390" s="77" t="s">
        <v>37</v>
      </c>
      <c r="L390" s="77" t="s">
        <v>1612</v>
      </c>
      <c r="M390" s="77" t="s">
        <v>37</v>
      </c>
      <c r="N390" s="77" t="s">
        <v>37</v>
      </c>
      <c r="O390" s="77" t="s">
        <v>38</v>
      </c>
      <c r="P390" s="77" t="s">
        <v>39</v>
      </c>
      <c r="Q390" s="76">
        <v>45966</v>
      </c>
      <c r="R390" s="77"/>
      <c r="S390" s="77"/>
      <c r="T390" s="77"/>
      <c r="U390" s="77"/>
      <c r="V390" s="78" t="s">
        <v>117</v>
      </c>
      <c r="W390" s="79">
        <v>46046</v>
      </c>
      <c r="X390" s="78" t="s">
        <v>37</v>
      </c>
      <c r="Y390" s="78"/>
      <c r="Z390" s="78"/>
      <c r="AA390">
        <f>IF(COUNTIF('Call Queue'!$H$6:$H$20,V390)&gt;0,0,IF(AND(ISNUMBER(N390),N390&gt;0),10000000+N390,IF(ISNUMBER(N390*1),IF(N390*1&gt;0,10000000+N390*1,0),0))+IF(ISNUMBER(SEARCH("(",L390)),1000000+IFERROR(VALUE(SUBSTITUTE(SUBSTITUTE(SUBSTITUTE(MID(L390,SEARCH("(",L390)+1,SEARCH(")",L390)-SEARCH("(",L390)-1),"$",""),",","")," ","")),0),0))</f>
        <v>0</v>
      </c>
    </row>
    <row r="391" spans="1:27">
      <c r="A391" s="76">
        <v>45903</v>
      </c>
      <c r="B391" s="77" t="s">
        <v>1616</v>
      </c>
      <c r="C391" s="77" t="s">
        <v>1617</v>
      </c>
      <c r="D391" s="77" t="s">
        <v>816</v>
      </c>
      <c r="E391" s="77">
        <v>86303</v>
      </c>
      <c r="F391" s="77" t="s">
        <v>310</v>
      </c>
      <c r="G391" s="77" t="s">
        <v>1593</v>
      </c>
      <c r="H391" s="77" t="s">
        <v>1618</v>
      </c>
      <c r="I391" s="77" t="s">
        <v>73</v>
      </c>
      <c r="J391" s="77" t="s">
        <v>37</v>
      </c>
      <c r="K391" s="77" t="s">
        <v>37</v>
      </c>
      <c r="L391" s="77" t="s">
        <v>38</v>
      </c>
      <c r="M391" s="77" t="s">
        <v>37</v>
      </c>
      <c r="N391" s="77" t="s">
        <v>37</v>
      </c>
      <c r="O391" s="77" t="s">
        <v>38</v>
      </c>
      <c r="P391" s="77" t="s">
        <v>39</v>
      </c>
      <c r="Q391" s="76">
        <v>45966</v>
      </c>
      <c r="R391" s="77"/>
      <c r="S391" s="77"/>
      <c r="T391" s="77"/>
      <c r="U391" s="77"/>
      <c r="V391" s="78"/>
      <c r="W391" s="79"/>
      <c r="X391" s="78"/>
      <c r="Y391" s="78"/>
      <c r="Z391" s="78"/>
      <c r="AA391">
        <f>IF(COUNTIF('Call Queue'!$H$6:$H$20,V391)&gt;0,0,IF(AND(ISNUMBER(N391),N391&gt;0),10000000+N391,IF(ISNUMBER(N391*1),IF(N391*1&gt;0,10000000+N391*1,0),0))+IF(ISNUMBER(SEARCH("(",L391)),1000000+IFERROR(VALUE(SUBSTITUTE(SUBSTITUTE(SUBSTITUTE(MID(L391,SEARCH("(",L391)+1,SEARCH(")",L391)-SEARCH("(",L391)-1),"$",""),",","")," ","")),0),0))</f>
        <v>0</v>
      </c>
    </row>
    <row r="392" spans="1:27">
      <c r="A392" s="76">
        <v>45903</v>
      </c>
      <c r="B392" s="77" t="s">
        <v>1619</v>
      </c>
      <c r="C392" s="77" t="s">
        <v>117</v>
      </c>
      <c r="D392" s="77" t="s">
        <v>63</v>
      </c>
      <c r="E392" s="77">
        <v>85020</v>
      </c>
      <c r="F392" s="77" t="s">
        <v>31</v>
      </c>
      <c r="G392" s="77" t="s">
        <v>1593</v>
      </c>
      <c r="H392" s="77">
        <v>7835950000</v>
      </c>
      <c r="I392" s="77" t="s">
        <v>196</v>
      </c>
      <c r="J392" s="77" t="s">
        <v>37</v>
      </c>
      <c r="K392" s="77" t="s">
        <v>37</v>
      </c>
      <c r="L392" s="77" t="s">
        <v>1620</v>
      </c>
      <c r="M392" s="77" t="s">
        <v>37</v>
      </c>
      <c r="N392" s="77" t="s">
        <v>37</v>
      </c>
      <c r="O392" s="77" t="s">
        <v>38</v>
      </c>
      <c r="P392" s="77">
        <v>45940</v>
      </c>
      <c r="Q392" s="76">
        <v>45966</v>
      </c>
      <c r="R392" s="77" t="s">
        <v>1621</v>
      </c>
      <c r="S392" s="77"/>
      <c r="T392" s="77"/>
      <c r="U392" s="77"/>
      <c r="V392" s="78" t="s">
        <v>117</v>
      </c>
      <c r="W392" s="79">
        <v>46046</v>
      </c>
      <c r="X392" s="78" t="s">
        <v>37</v>
      </c>
      <c r="Y392" s="78" t="s">
        <v>5438</v>
      </c>
      <c r="Z392" s="78"/>
      <c r="AA392">
        <f>IF(COUNTIF('Call Queue'!$H$6:$H$20,V392)&gt;0,0,IF(AND(ISNUMBER(N392),N392&gt;0),10000000+N392,IF(ISNUMBER(N392*1),IF(N392*1&gt;0,10000000+N392*1,0),0))+IF(ISNUMBER(SEARCH("(",L392)),1000000+IFERROR(VALUE(SUBSTITUTE(SUBSTITUTE(SUBSTITUTE(MID(L392,SEARCH("(",L392)+1,SEARCH(")",L392)-SEARCH("(",L392)-1),"$",""),",","")," ","")),0),0))</f>
        <v>0</v>
      </c>
    </row>
    <row r="393" spans="1:27">
      <c r="A393" s="76">
        <v>45903</v>
      </c>
      <c r="B393" s="77" t="s">
        <v>1622</v>
      </c>
      <c r="C393" s="77" t="s">
        <v>1623</v>
      </c>
      <c r="D393" s="77" t="s">
        <v>63</v>
      </c>
      <c r="E393" s="77">
        <v>85029</v>
      </c>
      <c r="F393" s="77" t="s">
        <v>1624</v>
      </c>
      <c r="G393" s="77" t="s">
        <v>1593</v>
      </c>
      <c r="H393" s="77" t="s">
        <v>1625</v>
      </c>
      <c r="I393" s="77" t="s">
        <v>418</v>
      </c>
      <c r="J393" s="77" t="s">
        <v>37</v>
      </c>
      <c r="K393" s="77" t="s">
        <v>37</v>
      </c>
      <c r="L393" s="77" t="s">
        <v>389</v>
      </c>
      <c r="M393" s="77" t="s">
        <v>37</v>
      </c>
      <c r="N393" s="77" t="s">
        <v>37</v>
      </c>
      <c r="O393" s="77" t="s">
        <v>38</v>
      </c>
      <c r="P393" s="77" t="s">
        <v>39</v>
      </c>
      <c r="Q393" s="76">
        <v>45966</v>
      </c>
      <c r="R393" s="77"/>
      <c r="S393" s="77"/>
      <c r="T393" s="77"/>
      <c r="U393" s="77"/>
      <c r="V393" s="78"/>
      <c r="W393" s="79"/>
      <c r="X393" s="78"/>
      <c r="Y393" s="78"/>
      <c r="Z393" s="78"/>
      <c r="AA393">
        <f>IF(COUNTIF('Call Queue'!$H$6:$H$20,V393)&gt;0,0,IF(AND(ISNUMBER(N393),N393&gt;0),10000000+N393,IF(ISNUMBER(N393*1),IF(N393*1&gt;0,10000000+N393*1,0),0))+IF(ISNUMBER(SEARCH("(",L393)),1000000+IFERROR(VALUE(SUBSTITUTE(SUBSTITUTE(SUBSTITUTE(MID(L393,SEARCH("(",L393)+1,SEARCH(")",L393)-SEARCH("(",L393)-1),"$",""),",","")," ","")),0),0))</f>
        <v>0</v>
      </c>
    </row>
    <row r="394" spans="1:27">
      <c r="A394" s="76">
        <v>45903</v>
      </c>
      <c r="B394" s="77" t="s">
        <v>1627</v>
      </c>
      <c r="C394" s="77" t="s">
        <v>1628</v>
      </c>
      <c r="D394" s="77" t="s">
        <v>63</v>
      </c>
      <c r="E394" s="77">
        <v>85014</v>
      </c>
      <c r="F394" s="77" t="s">
        <v>31</v>
      </c>
      <c r="G394" s="77" t="s">
        <v>1593</v>
      </c>
      <c r="H394" s="77">
        <v>6594526342</v>
      </c>
      <c r="I394" s="77" t="s">
        <v>541</v>
      </c>
      <c r="J394" s="77" t="s">
        <v>37</v>
      </c>
      <c r="K394" s="77" t="s">
        <v>37</v>
      </c>
      <c r="L394" s="77" t="s">
        <v>389</v>
      </c>
      <c r="M394" s="77" t="s">
        <v>37</v>
      </c>
      <c r="N394" s="77" t="s">
        <v>37</v>
      </c>
      <c r="O394" s="77" t="s">
        <v>38</v>
      </c>
      <c r="P394" s="77" t="s">
        <v>39</v>
      </c>
      <c r="Q394" s="76">
        <v>45966</v>
      </c>
      <c r="R394" s="77"/>
      <c r="S394" s="77"/>
      <c r="T394" s="77"/>
      <c r="U394" s="77"/>
      <c r="V394" s="78"/>
      <c r="W394" s="79"/>
      <c r="X394" s="78"/>
      <c r="Y394" s="78"/>
      <c r="Z394" s="78"/>
      <c r="AA394">
        <f>IF(COUNTIF('Call Queue'!$H$6:$H$20,V394)&gt;0,0,IF(AND(ISNUMBER(N394),N394&gt;0),10000000+N394,IF(ISNUMBER(N394*1),IF(N394*1&gt;0,10000000+N394*1,0),0))+IF(ISNUMBER(SEARCH("(",L394)),1000000+IFERROR(VALUE(SUBSTITUTE(SUBSTITUTE(SUBSTITUTE(MID(L394,SEARCH("(",L394)+1,SEARCH(")",L394)-SEARCH("(",L394)-1),"$",""),",","")," ","")),0),0))</f>
        <v>0</v>
      </c>
    </row>
    <row r="395" spans="1:27">
      <c r="A395" s="76">
        <v>45903</v>
      </c>
      <c r="B395" s="77" t="s">
        <v>1629</v>
      </c>
      <c r="C395" s="77" t="s">
        <v>1140</v>
      </c>
      <c r="D395" s="77" t="s">
        <v>63</v>
      </c>
      <c r="E395" s="77">
        <v>85053</v>
      </c>
      <c r="F395" s="77" t="s">
        <v>1630</v>
      </c>
      <c r="G395" s="77" t="s">
        <v>1593</v>
      </c>
      <c r="H395" s="77" t="s">
        <v>1631</v>
      </c>
      <c r="I395" s="77" t="s">
        <v>36</v>
      </c>
      <c r="J395" s="77" t="s">
        <v>37</v>
      </c>
      <c r="K395" s="77" t="s">
        <v>37</v>
      </c>
      <c r="L395" s="77" t="s">
        <v>1632</v>
      </c>
      <c r="M395" s="77" t="s">
        <v>37</v>
      </c>
      <c r="N395" s="77" t="s">
        <v>37</v>
      </c>
      <c r="O395" s="77" t="s">
        <v>38</v>
      </c>
      <c r="P395" s="77" t="s">
        <v>39</v>
      </c>
      <c r="Q395" s="76">
        <v>45966</v>
      </c>
      <c r="R395" s="77"/>
      <c r="S395" s="77"/>
      <c r="T395" s="77"/>
      <c r="U395" s="77"/>
      <c r="V395" s="78" t="s">
        <v>117</v>
      </c>
      <c r="W395" s="79">
        <v>46046</v>
      </c>
      <c r="X395" s="78" t="s">
        <v>37</v>
      </c>
      <c r="Y395" s="78"/>
      <c r="Z395" s="78"/>
      <c r="AA395">
        <f>IF(COUNTIF('Call Queue'!$H$6:$H$20,V395)&gt;0,0,IF(AND(ISNUMBER(N395),N395&gt;0),10000000+N395,IF(ISNUMBER(N395*1),IF(N395*1&gt;0,10000000+N395*1,0),0))+IF(ISNUMBER(SEARCH("(",L395)),1000000+IFERROR(VALUE(SUBSTITUTE(SUBSTITUTE(SUBSTITUTE(MID(L395,SEARCH("(",L395)+1,SEARCH(")",L395)-SEARCH("(",L395)-1),"$",""),",","")," ","")),0),0))</f>
        <v>0</v>
      </c>
    </row>
    <row r="396" spans="1:27">
      <c r="A396" s="76">
        <v>45903</v>
      </c>
      <c r="B396" s="77" t="s">
        <v>1638</v>
      </c>
      <c r="C396" s="77" t="s">
        <v>1639</v>
      </c>
      <c r="D396" s="77" t="s">
        <v>63</v>
      </c>
      <c r="E396" s="77">
        <v>85085</v>
      </c>
      <c r="F396" s="77" t="s">
        <v>31</v>
      </c>
      <c r="G396" s="77" t="s">
        <v>1593</v>
      </c>
      <c r="H396" s="77" t="s">
        <v>1640</v>
      </c>
      <c r="I396" s="77" t="s">
        <v>418</v>
      </c>
      <c r="J396" s="77" t="s">
        <v>37</v>
      </c>
      <c r="K396" s="77" t="s">
        <v>37</v>
      </c>
      <c r="L396" s="77" t="s">
        <v>389</v>
      </c>
      <c r="M396" s="77" t="s">
        <v>37</v>
      </c>
      <c r="N396" s="77" t="s">
        <v>37</v>
      </c>
      <c r="O396" s="77" t="s">
        <v>38</v>
      </c>
      <c r="P396" s="77" t="s">
        <v>39</v>
      </c>
      <c r="Q396" s="76">
        <v>45966</v>
      </c>
      <c r="R396" s="77"/>
      <c r="S396" s="77"/>
      <c r="T396" s="77"/>
      <c r="U396" s="77"/>
      <c r="V396" s="78"/>
      <c r="W396" s="79"/>
      <c r="X396" s="78"/>
      <c r="Y396" s="78"/>
      <c r="Z396" s="78"/>
      <c r="AA396">
        <f>IF(COUNTIF('Call Queue'!$H$6:$H$20,V396)&gt;0,0,IF(AND(ISNUMBER(N396),N396&gt;0),10000000+N396,IF(ISNUMBER(N396*1),IF(N396*1&gt;0,10000000+N396*1,0),0))+IF(ISNUMBER(SEARCH("(",L396)),1000000+IFERROR(VALUE(SUBSTITUTE(SUBSTITUTE(SUBSTITUTE(MID(L396,SEARCH("(",L396)+1,SEARCH(")",L396)-SEARCH("(",L396)-1),"$",""),",","")," ","")),0),0))</f>
        <v>0</v>
      </c>
    </row>
    <row r="397" spans="1:27">
      <c r="A397" s="76">
        <v>45903</v>
      </c>
      <c r="B397" s="77" t="s">
        <v>480</v>
      </c>
      <c r="C397" s="77" t="s">
        <v>481</v>
      </c>
      <c r="D397" s="77" t="s">
        <v>63</v>
      </c>
      <c r="E397" s="77">
        <v>85083</v>
      </c>
      <c r="F397" s="77" t="s">
        <v>31</v>
      </c>
      <c r="G397" s="77" t="s">
        <v>1593</v>
      </c>
      <c r="H397" s="77" t="s">
        <v>1641</v>
      </c>
      <c r="I397" s="77" t="s">
        <v>46</v>
      </c>
      <c r="J397" s="77" t="s">
        <v>37</v>
      </c>
      <c r="K397" s="77" t="s">
        <v>37</v>
      </c>
      <c r="L397" s="77" t="s">
        <v>483</v>
      </c>
      <c r="M397" s="77" t="s">
        <v>37</v>
      </c>
      <c r="N397" s="77" t="s">
        <v>37</v>
      </c>
      <c r="O397" s="77" t="s">
        <v>38</v>
      </c>
      <c r="P397" s="77" t="s">
        <v>39</v>
      </c>
      <c r="Q397" s="76">
        <v>45966</v>
      </c>
      <c r="R397" s="77"/>
      <c r="S397" s="77"/>
      <c r="T397" s="77"/>
      <c r="U397" s="77"/>
      <c r="V397" s="78"/>
      <c r="W397" s="79"/>
      <c r="X397" s="78"/>
      <c r="Y397" s="78"/>
      <c r="Z397" s="78"/>
      <c r="AA397">
        <f>IF(COUNTIF('Call Queue'!$H$6:$H$20,V397)&gt;0,0,IF(AND(ISNUMBER(N397),N397&gt;0),10000000+N397,IF(ISNUMBER(N397*1),IF(N397*1&gt;0,10000000+N397*1,0),0))+IF(ISNUMBER(SEARCH("(",L397)),1000000+IFERROR(VALUE(SUBSTITUTE(SUBSTITUTE(SUBSTITUTE(MID(L397,SEARCH("(",L397)+1,SEARCH(")",L397)-SEARCH("(",L397)-1),"$",""),",","")," ","")),0),0))</f>
        <v>1000123.47</v>
      </c>
    </row>
    <row r="398" spans="1:27">
      <c r="A398" s="76">
        <v>45903</v>
      </c>
      <c r="B398" s="77" t="s">
        <v>1134</v>
      </c>
      <c r="C398" s="77" t="s">
        <v>1642</v>
      </c>
      <c r="D398" s="77" t="s">
        <v>240</v>
      </c>
      <c r="E398" s="77">
        <v>85340</v>
      </c>
      <c r="F398" s="77" t="s">
        <v>741</v>
      </c>
      <c r="G398" s="77" t="s">
        <v>1593</v>
      </c>
      <c r="H398" s="77" t="s">
        <v>1643</v>
      </c>
      <c r="I398" s="77" t="s">
        <v>36</v>
      </c>
      <c r="J398" s="77" t="s">
        <v>37</v>
      </c>
      <c r="K398" s="77" t="s">
        <v>37</v>
      </c>
      <c r="L398" s="77" t="s">
        <v>38</v>
      </c>
      <c r="M398" s="77" t="s">
        <v>37</v>
      </c>
      <c r="N398" s="77" t="s">
        <v>37</v>
      </c>
      <c r="O398" s="77" t="s">
        <v>38</v>
      </c>
      <c r="P398" s="77" t="s">
        <v>39</v>
      </c>
      <c r="Q398" s="76">
        <v>45966</v>
      </c>
      <c r="R398" s="77"/>
      <c r="S398" s="77"/>
      <c r="T398" s="77"/>
      <c r="U398" s="77"/>
      <c r="V398" s="78"/>
      <c r="W398" s="79"/>
      <c r="X398" s="78"/>
      <c r="Y398" s="78"/>
      <c r="Z398" s="78"/>
      <c r="AA398">
        <f>IF(COUNTIF('Call Queue'!$H$6:$H$20,V398)&gt;0,0,IF(AND(ISNUMBER(N398),N398&gt;0),10000000+N398,IF(ISNUMBER(N398*1),IF(N398*1&gt;0,10000000+N398*1,0),0))+IF(ISNUMBER(SEARCH("(",L398)),1000000+IFERROR(VALUE(SUBSTITUTE(SUBSTITUTE(SUBSTITUTE(MID(L398,SEARCH("(",L398)+1,SEARCH(")",L398)-SEARCH("(",L398)-1),"$",""),",","")," ","")),0),0))</f>
        <v>0</v>
      </c>
    </row>
    <row r="399" spans="1:27">
      <c r="A399" s="76">
        <v>45903</v>
      </c>
      <c r="B399" s="77" t="s">
        <v>1644</v>
      </c>
      <c r="C399" s="77" t="s">
        <v>135</v>
      </c>
      <c r="D399" s="77" t="s">
        <v>169</v>
      </c>
      <c r="E399" s="77">
        <v>85338</v>
      </c>
      <c r="F399" s="77" t="s">
        <v>31</v>
      </c>
      <c r="G399" s="77" t="s">
        <v>1593</v>
      </c>
      <c r="H399" s="77" t="s">
        <v>1645</v>
      </c>
      <c r="I399" s="77" t="s">
        <v>418</v>
      </c>
      <c r="J399" s="77" t="s">
        <v>37</v>
      </c>
      <c r="K399" s="77" t="s">
        <v>37</v>
      </c>
      <c r="L399" s="77" t="s">
        <v>389</v>
      </c>
      <c r="M399" s="77" t="s">
        <v>38</v>
      </c>
      <c r="N399" s="77">
        <v>102.79</v>
      </c>
      <c r="O399" s="77" t="s">
        <v>38</v>
      </c>
      <c r="P399" s="77" t="s">
        <v>39</v>
      </c>
      <c r="Q399" s="76">
        <v>45966</v>
      </c>
      <c r="R399" s="77"/>
      <c r="S399" s="77"/>
      <c r="T399" s="77"/>
      <c r="U399" s="77"/>
      <c r="V399" s="78" t="s">
        <v>117</v>
      </c>
      <c r="W399" s="79">
        <v>45997</v>
      </c>
      <c r="X399" s="78" t="s">
        <v>37</v>
      </c>
      <c r="Y399" s="78"/>
      <c r="Z399" s="78" t="s">
        <v>5434</v>
      </c>
      <c r="AA399">
        <f>IF(COUNTIF('Call Queue'!$H$6:$H$20,V399)&gt;0,0,IF(AND(ISNUMBER(N399),N399&gt;0),10000000+N399,IF(ISNUMBER(N399*1),IF(N399*1&gt;0,10000000+N399*1,0),0))+IF(ISNUMBER(SEARCH("(",L399)),1000000+IFERROR(VALUE(SUBSTITUTE(SUBSTITUTE(SUBSTITUTE(MID(L399,SEARCH("(",L399)+1,SEARCH(")",L399)-SEARCH("(",L399)-1),"$",""),",","")," ","")),0),0))</f>
        <v>0</v>
      </c>
    </row>
    <row r="400" spans="1:27">
      <c r="A400" s="76">
        <v>45903</v>
      </c>
      <c r="B400" s="77" t="s">
        <v>1646</v>
      </c>
      <c r="C400" s="77" t="s">
        <v>1647</v>
      </c>
      <c r="D400" s="77" t="s">
        <v>63</v>
      </c>
      <c r="E400" s="77">
        <v>85028</v>
      </c>
      <c r="F400" s="77" t="s">
        <v>310</v>
      </c>
      <c r="G400" s="77" t="s">
        <v>1593</v>
      </c>
      <c r="H400" s="77" t="s">
        <v>1648</v>
      </c>
      <c r="I400" s="77" t="s">
        <v>418</v>
      </c>
      <c r="J400" s="77" t="s">
        <v>37</v>
      </c>
      <c r="K400" s="77" t="s">
        <v>37</v>
      </c>
      <c r="L400" s="77" t="s">
        <v>389</v>
      </c>
      <c r="M400" s="77" t="s">
        <v>37</v>
      </c>
      <c r="N400" s="77" t="s">
        <v>37</v>
      </c>
      <c r="O400" s="77" t="s">
        <v>38</v>
      </c>
      <c r="P400" s="77" t="s">
        <v>39</v>
      </c>
      <c r="Q400" s="76">
        <v>45966</v>
      </c>
      <c r="R400" s="77"/>
      <c r="S400" s="77"/>
      <c r="T400" s="77"/>
      <c r="U400" s="77"/>
      <c r="V400" s="78"/>
      <c r="W400" s="79"/>
      <c r="X400" s="78"/>
      <c r="Y400" s="78"/>
      <c r="Z400" s="78"/>
      <c r="AA400">
        <f>IF(COUNTIF('Call Queue'!$H$6:$H$20,V400)&gt;0,0,IF(AND(ISNUMBER(N400),N400&gt;0),10000000+N400,IF(ISNUMBER(N400*1),IF(N400*1&gt;0,10000000+N400*1,0),0))+IF(ISNUMBER(SEARCH("(",L400)),1000000+IFERROR(VALUE(SUBSTITUTE(SUBSTITUTE(SUBSTITUTE(MID(L400,SEARCH("(",L400)+1,SEARCH(")",L400)-SEARCH("(",L400)-1),"$",""),",","")," ","")),0),0))</f>
        <v>0</v>
      </c>
    </row>
    <row r="401" spans="1:27">
      <c r="A401" s="76">
        <v>45903</v>
      </c>
      <c r="B401" s="77" t="s">
        <v>135</v>
      </c>
      <c r="C401" s="77" t="s">
        <v>1649</v>
      </c>
      <c r="D401" s="77" t="s">
        <v>125</v>
      </c>
      <c r="E401" s="77">
        <v>85260</v>
      </c>
      <c r="F401" s="77" t="s">
        <v>31</v>
      </c>
      <c r="G401" s="77" t="s">
        <v>1593</v>
      </c>
      <c r="H401" s="77" t="s">
        <v>1650</v>
      </c>
      <c r="I401" s="77" t="s">
        <v>36</v>
      </c>
      <c r="J401" s="77" t="s">
        <v>37</v>
      </c>
      <c r="K401" s="77" t="s">
        <v>37</v>
      </c>
      <c r="L401" s="77" t="s">
        <v>38</v>
      </c>
      <c r="M401" s="77" t="s">
        <v>37</v>
      </c>
      <c r="N401" s="77" t="s">
        <v>37</v>
      </c>
      <c r="O401" s="77" t="s">
        <v>38</v>
      </c>
      <c r="P401" s="77" t="s">
        <v>39</v>
      </c>
      <c r="Q401" s="76">
        <v>45966</v>
      </c>
      <c r="R401" s="77"/>
      <c r="S401" s="77"/>
      <c r="T401" s="77"/>
      <c r="U401" s="77"/>
      <c r="V401" s="78"/>
      <c r="W401" s="79"/>
      <c r="X401" s="78"/>
      <c r="Y401" s="78"/>
      <c r="Z401" s="78"/>
      <c r="AA401">
        <f>IF(COUNTIF('Call Queue'!$H$6:$H$20,V401)&gt;0,0,IF(AND(ISNUMBER(N401),N401&gt;0),10000000+N401,IF(ISNUMBER(N401*1),IF(N401*1&gt;0,10000000+N401*1,0),0))+IF(ISNUMBER(SEARCH("(",L401)),1000000+IFERROR(VALUE(SUBSTITUTE(SUBSTITUTE(SUBSTITUTE(MID(L401,SEARCH("(",L401)+1,SEARCH(")",L401)-SEARCH("(",L401)-1),"$",""),",","")," ","")),0),0))</f>
        <v>0</v>
      </c>
    </row>
    <row r="402" spans="1:27">
      <c r="A402" s="76">
        <v>45903</v>
      </c>
      <c r="B402" s="77" t="s">
        <v>1651</v>
      </c>
      <c r="C402" s="77" t="s">
        <v>1652</v>
      </c>
      <c r="D402" s="77" t="s">
        <v>202</v>
      </c>
      <c r="E402" s="77">
        <v>85383</v>
      </c>
      <c r="F402" s="77" t="s">
        <v>310</v>
      </c>
      <c r="G402" s="77" t="s">
        <v>1593</v>
      </c>
      <c r="H402" s="77" t="s">
        <v>1653</v>
      </c>
      <c r="I402" s="77" t="s">
        <v>57</v>
      </c>
      <c r="J402" s="77" t="s">
        <v>37</v>
      </c>
      <c r="K402" s="77" t="s">
        <v>37</v>
      </c>
      <c r="L402" s="77" t="s">
        <v>1654</v>
      </c>
      <c r="M402" s="77" t="s">
        <v>37</v>
      </c>
      <c r="N402" s="77" t="s">
        <v>37</v>
      </c>
      <c r="O402" s="77" t="s">
        <v>38</v>
      </c>
      <c r="P402" s="77" t="s">
        <v>39</v>
      </c>
      <c r="Q402" s="76">
        <v>45966</v>
      </c>
      <c r="R402" s="77" t="s">
        <v>1655</v>
      </c>
      <c r="S402" s="77"/>
      <c r="T402" s="77"/>
      <c r="U402" s="77"/>
      <c r="V402" s="78" t="s">
        <v>117</v>
      </c>
      <c r="W402" s="79">
        <v>46046</v>
      </c>
      <c r="X402" s="78" t="s">
        <v>38</v>
      </c>
      <c r="Y402" s="78"/>
      <c r="Z402" s="78"/>
      <c r="AA402">
        <f>IF(COUNTIF('Call Queue'!$H$6:$H$20,V402)&gt;0,0,IF(AND(ISNUMBER(N402),N402&gt;0),10000000+N402,IF(ISNUMBER(N402*1),IF(N402*1&gt;0,10000000+N402*1,0),0))+IF(ISNUMBER(SEARCH("(",L402)),1000000+IFERROR(VALUE(SUBSTITUTE(SUBSTITUTE(SUBSTITUTE(MID(L402,SEARCH("(",L402)+1,SEARCH(")",L402)-SEARCH("(",L402)-1),"$",""),",","")," ","")),0),0))</f>
        <v>0</v>
      </c>
    </row>
    <row r="403" spans="1:27">
      <c r="A403" s="76">
        <v>45903</v>
      </c>
      <c r="B403" s="77" t="s">
        <v>1656</v>
      </c>
      <c r="C403" s="77" t="s">
        <v>225</v>
      </c>
      <c r="D403" s="77" t="s">
        <v>63</v>
      </c>
      <c r="E403" s="77">
        <v>85024</v>
      </c>
      <c r="F403" s="77" t="s">
        <v>310</v>
      </c>
      <c r="G403" s="77" t="s">
        <v>1593</v>
      </c>
      <c r="H403" s="77" t="s">
        <v>209</v>
      </c>
      <c r="I403" s="77"/>
      <c r="J403" s="77"/>
      <c r="K403" s="77"/>
      <c r="L403" s="77"/>
      <c r="M403" s="77"/>
      <c r="N403" s="77"/>
      <c r="O403" s="77"/>
      <c r="P403" s="77"/>
      <c r="Q403" s="76"/>
      <c r="R403" s="77"/>
      <c r="S403" s="77"/>
      <c r="T403" s="77"/>
      <c r="U403" s="77"/>
      <c r="V403" s="78"/>
      <c r="W403" s="79"/>
      <c r="X403" s="78"/>
      <c r="Y403" s="78"/>
      <c r="Z403" s="78"/>
      <c r="AA403">
        <f>IF(COUNTIF('Call Queue'!$H$6:$H$20,V403)&gt;0,0,IF(AND(ISNUMBER(N403),N403&gt;0),10000000+N403,IF(ISNUMBER(N403*1),IF(N403*1&gt;0,10000000+N403*1,0),0))+IF(ISNUMBER(SEARCH("(",L403)),1000000+IFERROR(VALUE(SUBSTITUTE(SUBSTITUTE(SUBSTITUTE(MID(L403,SEARCH("(",L403)+1,SEARCH(")",L403)-SEARCH("(",L403)-1),"$",""),",","")," ","")),0),0))</f>
        <v>0</v>
      </c>
    </row>
    <row r="404" spans="1:27">
      <c r="A404" s="76">
        <v>45903</v>
      </c>
      <c r="B404" s="77" t="s">
        <v>1084</v>
      </c>
      <c r="C404" s="77" t="s">
        <v>548</v>
      </c>
      <c r="D404" s="77" t="s">
        <v>63</v>
      </c>
      <c r="E404" s="77">
        <v>85029</v>
      </c>
      <c r="F404" s="77" t="s">
        <v>310</v>
      </c>
      <c r="G404" s="77" t="s">
        <v>1593</v>
      </c>
      <c r="H404" s="77" t="s">
        <v>209</v>
      </c>
      <c r="I404" s="77"/>
      <c r="J404" s="77"/>
      <c r="K404" s="77"/>
      <c r="L404" s="77"/>
      <c r="M404" s="77"/>
      <c r="N404" s="77"/>
      <c r="O404" s="77"/>
      <c r="P404" s="77"/>
      <c r="Q404" s="76"/>
      <c r="R404" s="77"/>
      <c r="S404" s="77"/>
      <c r="T404" s="77"/>
      <c r="U404" s="77"/>
      <c r="V404" s="78"/>
      <c r="W404" s="79"/>
      <c r="X404" s="78"/>
      <c r="Y404" s="78"/>
      <c r="Z404" s="78"/>
      <c r="AA404">
        <f>IF(COUNTIF('Call Queue'!$H$6:$H$20,V404)&gt;0,0,IF(AND(ISNUMBER(N404),N404&gt;0),10000000+N404,IF(ISNUMBER(N404*1),IF(N404*1&gt;0,10000000+N404*1,0),0))+IF(ISNUMBER(SEARCH("(",L404)),1000000+IFERROR(VALUE(SUBSTITUTE(SUBSTITUTE(SUBSTITUTE(MID(L404,SEARCH("(",L404)+1,SEARCH(")",L404)-SEARCH("(",L404)-1),"$",""),",","")," ","")),0),0))</f>
        <v>0</v>
      </c>
    </row>
    <row r="405" spans="1:27">
      <c r="A405" s="76">
        <v>45903</v>
      </c>
      <c r="B405" s="77" t="s">
        <v>1657</v>
      </c>
      <c r="C405" s="77" t="s">
        <v>1658</v>
      </c>
      <c r="D405" s="77" t="s">
        <v>202</v>
      </c>
      <c r="E405" s="77">
        <v>85382</v>
      </c>
      <c r="F405" s="77" t="s">
        <v>310</v>
      </c>
      <c r="G405" s="77" t="s">
        <v>1593</v>
      </c>
      <c r="H405" s="77" t="s">
        <v>1659</v>
      </c>
      <c r="I405" s="77" t="s">
        <v>73</v>
      </c>
      <c r="J405" s="77" t="s">
        <v>37</v>
      </c>
      <c r="K405" s="77" t="s">
        <v>37</v>
      </c>
      <c r="L405" s="77" t="s">
        <v>38</v>
      </c>
      <c r="M405" s="77" t="s">
        <v>37</v>
      </c>
      <c r="N405" s="77" t="s">
        <v>37</v>
      </c>
      <c r="O405" s="77" t="s">
        <v>38</v>
      </c>
      <c r="P405" s="77" t="s">
        <v>39</v>
      </c>
      <c r="Q405" s="76">
        <v>45966</v>
      </c>
      <c r="R405" s="77"/>
      <c r="S405" s="77"/>
      <c r="T405" s="77"/>
      <c r="U405" s="77"/>
      <c r="V405" s="78"/>
      <c r="W405" s="79"/>
      <c r="X405" s="78"/>
      <c r="Y405" s="78"/>
      <c r="Z405" s="78"/>
      <c r="AA405">
        <f>IF(COUNTIF('Call Queue'!$H$6:$H$20,V405)&gt;0,0,IF(AND(ISNUMBER(N405),N405&gt;0),10000000+N405,IF(ISNUMBER(N405*1),IF(N405*1&gt;0,10000000+N405*1,0),0))+IF(ISNUMBER(SEARCH("(",L405)),1000000+IFERROR(VALUE(SUBSTITUTE(SUBSTITUTE(SUBSTITUTE(MID(L405,SEARCH("(",L405)+1,SEARCH(")",L405)-SEARCH("(",L405)-1),"$",""),",","")," ","")),0),0))</f>
        <v>0</v>
      </c>
    </row>
    <row r="406" spans="1:27">
      <c r="A406" s="76">
        <v>45903</v>
      </c>
      <c r="B406" s="77" t="s">
        <v>1660</v>
      </c>
      <c r="C406" s="77" t="s">
        <v>1661</v>
      </c>
      <c r="D406" s="77" t="s">
        <v>202</v>
      </c>
      <c r="E406" s="77">
        <v>85345</v>
      </c>
      <c r="F406" s="77" t="s">
        <v>31</v>
      </c>
      <c r="G406" s="77" t="s">
        <v>1593</v>
      </c>
      <c r="H406" s="77" t="s">
        <v>1662</v>
      </c>
      <c r="I406" s="77" t="s">
        <v>36</v>
      </c>
      <c r="J406" s="77" t="s">
        <v>37</v>
      </c>
      <c r="K406" s="77" t="s">
        <v>37</v>
      </c>
      <c r="L406" s="77" t="s">
        <v>38</v>
      </c>
      <c r="M406" s="77" t="s">
        <v>37</v>
      </c>
      <c r="N406" s="77" t="s">
        <v>37</v>
      </c>
      <c r="O406" s="77" t="s">
        <v>38</v>
      </c>
      <c r="P406" s="77" t="s">
        <v>39</v>
      </c>
      <c r="Q406" s="76">
        <v>45966</v>
      </c>
      <c r="R406" s="77"/>
      <c r="S406" s="77"/>
      <c r="T406" s="77"/>
      <c r="U406" s="77"/>
      <c r="V406" s="78"/>
      <c r="W406" s="79"/>
      <c r="X406" s="78"/>
      <c r="Y406" s="78"/>
      <c r="Z406" s="78"/>
      <c r="AA406">
        <f>IF(COUNTIF('Call Queue'!$H$6:$H$20,V406)&gt;0,0,IF(AND(ISNUMBER(N406),N406&gt;0),10000000+N406,IF(ISNUMBER(N406*1),IF(N406*1&gt;0,10000000+N406*1,0),0))+IF(ISNUMBER(SEARCH("(",L406)),1000000+IFERROR(VALUE(SUBSTITUTE(SUBSTITUTE(SUBSTITUTE(MID(L406,SEARCH("(",L406)+1,SEARCH(")",L406)-SEARCH("(",L406)-1),"$",""),",","")," ","")),0),0))</f>
        <v>0</v>
      </c>
    </row>
    <row r="407" spans="1:27">
      <c r="A407" s="76">
        <v>45903</v>
      </c>
      <c r="B407" s="77" t="s">
        <v>1663</v>
      </c>
      <c r="C407" s="77" t="s">
        <v>135</v>
      </c>
      <c r="D407" s="77" t="s">
        <v>261</v>
      </c>
      <c r="E407" s="77">
        <v>86315</v>
      </c>
      <c r="F407" s="77" t="s">
        <v>31</v>
      </c>
      <c r="G407" s="77" t="s">
        <v>1593</v>
      </c>
      <c r="H407" s="77" t="s">
        <v>1664</v>
      </c>
      <c r="I407" s="77" t="s">
        <v>46</v>
      </c>
      <c r="J407" s="77" t="s">
        <v>37</v>
      </c>
      <c r="K407" s="77" t="s">
        <v>37</v>
      </c>
      <c r="L407" s="77" t="s">
        <v>38</v>
      </c>
      <c r="M407" s="77" t="s">
        <v>38</v>
      </c>
      <c r="N407" s="77">
        <v>105.18</v>
      </c>
      <c r="O407" s="77" t="s">
        <v>38</v>
      </c>
      <c r="P407" s="77" t="s">
        <v>39</v>
      </c>
      <c r="Q407" s="76">
        <v>45966</v>
      </c>
      <c r="R407" s="77"/>
      <c r="S407" s="77"/>
      <c r="T407" s="77"/>
      <c r="U407" s="77"/>
      <c r="V407" s="78" t="s">
        <v>117</v>
      </c>
      <c r="W407" s="79">
        <v>45997</v>
      </c>
      <c r="X407" s="78" t="s">
        <v>38</v>
      </c>
      <c r="Y407" s="78"/>
      <c r="Z407" s="78" t="s">
        <v>5434</v>
      </c>
      <c r="AA407">
        <f>IF(COUNTIF('Call Queue'!$H$6:$H$20,V407)&gt;0,0,IF(AND(ISNUMBER(N407),N407&gt;0),10000000+N407,IF(ISNUMBER(N407*1),IF(N407*1&gt;0,10000000+N407*1,0),0))+IF(ISNUMBER(SEARCH("(",L407)),1000000+IFERROR(VALUE(SUBSTITUTE(SUBSTITUTE(SUBSTITUTE(MID(L407,SEARCH("(",L407)+1,SEARCH(")",L407)-SEARCH("(",L407)-1),"$",""),",","")," ","")),0),0))</f>
        <v>0</v>
      </c>
    </row>
    <row r="408" spans="1:27">
      <c r="A408" s="76">
        <v>45904</v>
      </c>
      <c r="B408" s="77" t="s">
        <v>1665</v>
      </c>
      <c r="C408" s="77" t="s">
        <v>1666</v>
      </c>
      <c r="D408" s="77" t="s">
        <v>125</v>
      </c>
      <c r="E408" s="77">
        <v>85251</v>
      </c>
      <c r="F408" s="77" t="s">
        <v>1604</v>
      </c>
      <c r="G408" s="77" t="s">
        <v>1593</v>
      </c>
      <c r="H408" s="77" t="s">
        <v>1667</v>
      </c>
      <c r="I408" s="77" t="s">
        <v>73</v>
      </c>
      <c r="J408" s="77" t="s">
        <v>37</v>
      </c>
      <c r="K408" s="77" t="s">
        <v>37</v>
      </c>
      <c r="L408" s="77" t="s">
        <v>38</v>
      </c>
      <c r="M408" s="77" t="s">
        <v>37</v>
      </c>
      <c r="N408" s="77" t="s">
        <v>37</v>
      </c>
      <c r="O408" s="77" t="s">
        <v>38</v>
      </c>
      <c r="P408" s="77" t="s">
        <v>39</v>
      </c>
      <c r="Q408" s="76">
        <v>45966</v>
      </c>
      <c r="R408" s="77"/>
      <c r="S408" s="77"/>
      <c r="T408" s="77"/>
      <c r="U408" s="77"/>
      <c r="V408" s="78"/>
      <c r="W408" s="79"/>
      <c r="X408" s="78"/>
      <c r="Y408" s="78"/>
      <c r="Z408" s="78"/>
      <c r="AA408">
        <f>IF(COUNTIF('Call Queue'!$H$6:$H$20,V408)&gt;0,0,IF(AND(ISNUMBER(N408),N408&gt;0),10000000+N408,IF(ISNUMBER(N408*1),IF(N408*1&gt;0,10000000+N408*1,0),0))+IF(ISNUMBER(SEARCH("(",L408)),1000000+IFERROR(VALUE(SUBSTITUTE(SUBSTITUTE(SUBSTITUTE(MID(L408,SEARCH("(",L408)+1,SEARCH(")",L408)-SEARCH("(",L408)-1),"$",""),",","")," ","")),0),0))</f>
        <v>0</v>
      </c>
    </row>
    <row r="409" spans="1:27">
      <c r="A409" s="76">
        <v>45904</v>
      </c>
      <c r="B409" s="77" t="s">
        <v>1668</v>
      </c>
      <c r="C409" s="77" t="s">
        <v>1232</v>
      </c>
      <c r="D409" s="77" t="s">
        <v>112</v>
      </c>
      <c r="E409" s="77">
        <v>85387</v>
      </c>
      <c r="F409" s="77" t="s">
        <v>31</v>
      </c>
      <c r="G409" s="77" t="s">
        <v>1593</v>
      </c>
      <c r="H409" s="77" t="s">
        <v>1669</v>
      </c>
      <c r="I409" s="77" t="s">
        <v>541</v>
      </c>
      <c r="J409" s="77" t="s">
        <v>37</v>
      </c>
      <c r="K409" s="77" t="s">
        <v>37</v>
      </c>
      <c r="L409" s="77" t="s">
        <v>389</v>
      </c>
      <c r="M409" s="77" t="s">
        <v>37</v>
      </c>
      <c r="N409" s="77" t="s">
        <v>37</v>
      </c>
      <c r="O409" s="77" t="s">
        <v>38</v>
      </c>
      <c r="P409" s="77" t="s">
        <v>39</v>
      </c>
      <c r="Q409" s="76">
        <v>45966</v>
      </c>
      <c r="R409" s="77"/>
      <c r="S409" s="77"/>
      <c r="T409" s="77"/>
      <c r="U409" s="77"/>
      <c r="V409" s="78"/>
      <c r="W409" s="79"/>
      <c r="X409" s="78"/>
      <c r="Y409" s="78"/>
      <c r="Z409" s="78"/>
      <c r="AA409">
        <f>IF(COUNTIF('Call Queue'!$H$6:$H$20,V409)&gt;0,0,IF(AND(ISNUMBER(N409),N409&gt;0),10000000+N409,IF(ISNUMBER(N409*1),IF(N409*1&gt;0,10000000+N409*1,0),0))+IF(ISNUMBER(SEARCH("(",L409)),1000000+IFERROR(VALUE(SUBSTITUTE(SUBSTITUTE(SUBSTITUTE(MID(L409,SEARCH("(",L409)+1,SEARCH(")",L409)-SEARCH("(",L409)-1),"$",""),",","")," ","")),0),0))</f>
        <v>0</v>
      </c>
    </row>
    <row r="410" spans="1:27">
      <c r="A410" s="76">
        <v>45904</v>
      </c>
      <c r="B410" s="77" t="s">
        <v>1670</v>
      </c>
      <c r="C410" s="77" t="s">
        <v>1671</v>
      </c>
      <c r="D410" s="77" t="s">
        <v>261</v>
      </c>
      <c r="E410" s="77">
        <v>86314</v>
      </c>
      <c r="F410" s="77" t="s">
        <v>310</v>
      </c>
      <c r="G410" s="77" t="s">
        <v>1593</v>
      </c>
      <c r="H410" s="77">
        <v>1772154718</v>
      </c>
      <c r="I410" s="77" t="s">
        <v>73</v>
      </c>
      <c r="J410" s="77" t="s">
        <v>37</v>
      </c>
      <c r="K410" s="77" t="s">
        <v>37</v>
      </c>
      <c r="L410" s="77" t="s">
        <v>38</v>
      </c>
      <c r="M410" s="77" t="s">
        <v>37</v>
      </c>
      <c r="N410" s="77" t="s">
        <v>37</v>
      </c>
      <c r="O410" s="77" t="s">
        <v>38</v>
      </c>
      <c r="P410" s="77" t="s">
        <v>39</v>
      </c>
      <c r="Q410" s="76">
        <v>45966</v>
      </c>
      <c r="R410" s="77"/>
      <c r="S410" s="77"/>
      <c r="T410" s="77"/>
      <c r="U410" s="77"/>
      <c r="V410" s="78"/>
      <c r="W410" s="79"/>
      <c r="X410" s="78"/>
      <c r="Y410" s="78"/>
      <c r="Z410" s="78"/>
      <c r="AA410">
        <f>IF(COUNTIF('Call Queue'!$H$6:$H$20,V410)&gt;0,0,IF(AND(ISNUMBER(N410),N410&gt;0),10000000+N410,IF(ISNUMBER(N410*1),IF(N410*1&gt;0,10000000+N410*1,0),0))+IF(ISNUMBER(SEARCH("(",L410)),1000000+IFERROR(VALUE(SUBSTITUTE(SUBSTITUTE(SUBSTITUTE(MID(L410,SEARCH("(",L410)+1,SEARCH(")",L410)-SEARCH("(",L410)-1),"$",""),",","")," ","")),0),0))</f>
        <v>0</v>
      </c>
    </row>
    <row r="411" spans="1:27">
      <c r="A411" s="76">
        <v>45904</v>
      </c>
      <c r="B411" s="77" t="s">
        <v>1675</v>
      </c>
      <c r="C411" s="77" t="s">
        <v>1007</v>
      </c>
      <c r="D411" s="77" t="s">
        <v>240</v>
      </c>
      <c r="E411" s="77">
        <v>85340</v>
      </c>
      <c r="F411" s="77" t="s">
        <v>31</v>
      </c>
      <c r="G411" s="77" t="s">
        <v>1593</v>
      </c>
      <c r="H411" s="77" t="s">
        <v>1676</v>
      </c>
      <c r="I411" s="77" t="s">
        <v>541</v>
      </c>
      <c r="J411" s="77" t="s">
        <v>38</v>
      </c>
      <c r="K411" s="77" t="s">
        <v>37</v>
      </c>
      <c r="L411" s="77" t="s">
        <v>389</v>
      </c>
      <c r="M411" s="77" t="s">
        <v>38</v>
      </c>
      <c r="N411" s="77">
        <v>1106.1300000000001</v>
      </c>
      <c r="O411" s="77" t="s">
        <v>38</v>
      </c>
      <c r="P411" s="77"/>
      <c r="Q411" s="76">
        <v>45966</v>
      </c>
      <c r="R411" s="77" t="s">
        <v>1677</v>
      </c>
      <c r="S411" s="77"/>
      <c r="T411" s="77"/>
      <c r="U411" s="77"/>
      <c r="V411" s="78" t="s">
        <v>117</v>
      </c>
      <c r="W411" s="79">
        <v>46053</v>
      </c>
      <c r="X411" s="78" t="s">
        <v>38</v>
      </c>
      <c r="Y411" s="78"/>
      <c r="Z411" s="78"/>
      <c r="AA411">
        <f>IF(COUNTIF('Call Queue'!$H$6:$H$20,V411)&gt;0,0,IF(AND(ISNUMBER(N411),N411&gt;0),10000000+N411,IF(ISNUMBER(N411*1),IF(N411*1&gt;0,10000000+N411*1,0),0))+IF(ISNUMBER(SEARCH("(",L411)),1000000+IFERROR(VALUE(SUBSTITUTE(SUBSTITUTE(SUBSTITUTE(MID(L411,SEARCH("(",L411)+1,SEARCH(")",L411)-SEARCH("(",L411)-1),"$",""),",","")," ","")),0),0))</f>
        <v>0</v>
      </c>
    </row>
    <row r="412" spans="1:27">
      <c r="A412" s="76">
        <v>45904</v>
      </c>
      <c r="B412" s="77" t="s">
        <v>1679</v>
      </c>
      <c r="C412" s="77" t="s">
        <v>194</v>
      </c>
      <c r="D412" s="77" t="s">
        <v>370</v>
      </c>
      <c r="E412" s="77">
        <v>85225</v>
      </c>
      <c r="F412" s="77" t="s">
        <v>310</v>
      </c>
      <c r="G412" s="77" t="s">
        <v>1593</v>
      </c>
      <c r="H412" s="77">
        <v>9474035507</v>
      </c>
      <c r="I412" s="77" t="s">
        <v>36</v>
      </c>
      <c r="J412" s="77" t="s">
        <v>37</v>
      </c>
      <c r="K412" s="77" t="s">
        <v>37</v>
      </c>
      <c r="L412" s="77" t="s">
        <v>1681</v>
      </c>
      <c r="M412" s="77" t="s">
        <v>37</v>
      </c>
      <c r="N412" s="77" t="s">
        <v>37</v>
      </c>
      <c r="O412" s="77" t="s">
        <v>38</v>
      </c>
      <c r="P412" s="77">
        <v>45936</v>
      </c>
      <c r="Q412" s="76">
        <v>45966</v>
      </c>
      <c r="R412" s="77" t="s">
        <v>1429</v>
      </c>
      <c r="S412" s="77"/>
      <c r="T412" s="77"/>
      <c r="U412" s="77"/>
      <c r="V412" s="78" t="s">
        <v>117</v>
      </c>
      <c r="W412" s="79">
        <v>45997</v>
      </c>
      <c r="X412" s="78" t="s">
        <v>38</v>
      </c>
      <c r="Y412" s="78"/>
      <c r="Z412" s="78" t="s">
        <v>5447</v>
      </c>
      <c r="AA412">
        <f>IF(COUNTIF('Call Queue'!$H$6:$H$20,V412)&gt;0,0,IF(AND(ISNUMBER(N412),N412&gt;0),10000000+N412,IF(ISNUMBER(N412*1),IF(N412*1&gt;0,10000000+N412*1,0),0))+IF(ISNUMBER(SEARCH("(",L412)),1000000+IFERROR(VALUE(SUBSTITUTE(SUBSTITUTE(SUBSTITUTE(MID(L412,SEARCH("(",L412)+1,SEARCH(")",L412)-SEARCH("(",L412)-1),"$",""),",","")," ","")),0),0))</f>
        <v>0</v>
      </c>
    </row>
    <row r="413" spans="1:27">
      <c r="A413" s="76">
        <v>45904</v>
      </c>
      <c r="B413" s="77" t="s">
        <v>1682</v>
      </c>
      <c r="C413" s="77" t="s">
        <v>503</v>
      </c>
      <c r="D413" s="77" t="s">
        <v>125</v>
      </c>
      <c r="E413" s="77">
        <v>85260</v>
      </c>
      <c r="F413" s="77" t="s">
        <v>31</v>
      </c>
      <c r="G413" s="77" t="s">
        <v>1593</v>
      </c>
      <c r="H413" s="77">
        <v>7135590000</v>
      </c>
      <c r="I413" s="77" t="s">
        <v>1684</v>
      </c>
      <c r="J413" s="77" t="s">
        <v>37</v>
      </c>
      <c r="K413" s="77" t="s">
        <v>37</v>
      </c>
      <c r="L413" s="77" t="s">
        <v>38</v>
      </c>
      <c r="M413" s="77" t="s">
        <v>37</v>
      </c>
      <c r="N413" s="77" t="s">
        <v>37</v>
      </c>
      <c r="O413" s="77" t="s">
        <v>38</v>
      </c>
      <c r="P413" s="77" t="s">
        <v>39</v>
      </c>
      <c r="Q413" s="76">
        <v>45966</v>
      </c>
      <c r="R413" s="77"/>
      <c r="S413" s="77"/>
      <c r="T413" s="77"/>
      <c r="U413" s="77"/>
      <c r="V413" s="78"/>
      <c r="W413" s="79"/>
      <c r="X413" s="78"/>
      <c r="Y413" s="78"/>
      <c r="Z413" s="78"/>
      <c r="AA413">
        <f>IF(COUNTIF('Call Queue'!$H$6:$H$20,V413)&gt;0,0,IF(AND(ISNUMBER(N413),N413&gt;0),10000000+N413,IF(ISNUMBER(N413*1),IF(N413*1&gt;0,10000000+N413*1,0),0))+IF(ISNUMBER(SEARCH("(",L413)),1000000+IFERROR(VALUE(SUBSTITUTE(SUBSTITUTE(SUBSTITUTE(MID(L413,SEARCH("(",L413)+1,SEARCH(")",L413)-SEARCH("(",L413)-1),"$",""),",","")," ","")),0),0))</f>
        <v>0</v>
      </c>
    </row>
    <row r="414" spans="1:27">
      <c r="A414" s="76">
        <v>45904</v>
      </c>
      <c r="B414" s="77" t="s">
        <v>1685</v>
      </c>
      <c r="C414" s="77" t="s">
        <v>1686</v>
      </c>
      <c r="D414" s="77" t="s">
        <v>169</v>
      </c>
      <c r="E414" s="77">
        <v>85338</v>
      </c>
      <c r="F414" s="77" t="s">
        <v>31</v>
      </c>
      <c r="G414" s="77" t="s">
        <v>1593</v>
      </c>
      <c r="H414" s="77">
        <v>4997806847</v>
      </c>
      <c r="I414" s="77" t="s">
        <v>57</v>
      </c>
      <c r="J414" s="77" t="s">
        <v>37</v>
      </c>
      <c r="K414" s="77" t="s">
        <v>37</v>
      </c>
      <c r="L414" s="77" t="s">
        <v>1688</v>
      </c>
      <c r="M414" s="77" t="s">
        <v>37</v>
      </c>
      <c r="N414" s="77" t="s">
        <v>37</v>
      </c>
      <c r="O414" s="77" t="s">
        <v>38</v>
      </c>
      <c r="P414" s="77" t="s">
        <v>39</v>
      </c>
      <c r="Q414" s="76">
        <v>45966</v>
      </c>
      <c r="R414" s="77"/>
      <c r="S414" s="77"/>
      <c r="T414" s="77"/>
      <c r="U414" s="77"/>
      <c r="V414" s="78" t="s">
        <v>117</v>
      </c>
      <c r="W414" s="79">
        <v>46046</v>
      </c>
      <c r="X414" s="78" t="s">
        <v>37</v>
      </c>
      <c r="Y414" s="78"/>
      <c r="Z414" s="78" t="s">
        <v>5461</v>
      </c>
      <c r="AA414">
        <f>IF(COUNTIF('Call Queue'!$H$6:$H$20,V414)&gt;0,0,IF(AND(ISNUMBER(N414),N414&gt;0),10000000+N414,IF(ISNUMBER(N414*1),IF(N414*1&gt;0,10000000+N414*1,0),0))+IF(ISNUMBER(SEARCH("(",L414)),1000000+IFERROR(VALUE(SUBSTITUTE(SUBSTITUTE(SUBSTITUTE(MID(L414,SEARCH("(",L414)+1,SEARCH(")",L414)-SEARCH("(",L414)-1),"$",""),",","")," ","")),0),0))</f>
        <v>0</v>
      </c>
    </row>
    <row r="415" spans="1:27">
      <c r="A415" s="76">
        <v>45904</v>
      </c>
      <c r="B415" s="77" t="s">
        <v>1689</v>
      </c>
      <c r="C415" s="77" t="s">
        <v>1690</v>
      </c>
      <c r="D415" s="77" t="s">
        <v>63</v>
      </c>
      <c r="E415" s="77">
        <v>85016</v>
      </c>
      <c r="F415" s="77" t="s">
        <v>310</v>
      </c>
      <c r="G415" s="77" t="s">
        <v>1593</v>
      </c>
      <c r="H415" s="77">
        <v>3244078434</v>
      </c>
      <c r="I415" s="77" t="s">
        <v>46</v>
      </c>
      <c r="J415" s="77" t="s">
        <v>37</v>
      </c>
      <c r="K415" s="77" t="s">
        <v>38</v>
      </c>
      <c r="L415" s="77" t="s">
        <v>38</v>
      </c>
      <c r="M415" s="77" t="s">
        <v>37</v>
      </c>
      <c r="N415" s="77" t="s">
        <v>37</v>
      </c>
      <c r="O415" s="77" t="s">
        <v>38</v>
      </c>
      <c r="P415" s="77" t="s">
        <v>39</v>
      </c>
      <c r="Q415" s="76">
        <v>45966</v>
      </c>
      <c r="R415" s="77"/>
      <c r="S415" s="77"/>
      <c r="T415" s="77"/>
      <c r="U415" s="77"/>
      <c r="V415" s="78"/>
      <c r="W415" s="79"/>
      <c r="X415" s="78"/>
      <c r="Y415" s="78"/>
      <c r="Z415" s="78"/>
      <c r="AA415">
        <f>IF(COUNTIF('Call Queue'!$H$6:$H$20,V415)&gt;0,0,IF(AND(ISNUMBER(N415),N415&gt;0),10000000+N415,IF(ISNUMBER(N415*1),IF(N415*1&gt;0,10000000+N415*1,0),0))+IF(ISNUMBER(SEARCH("(",L415)),1000000+IFERROR(VALUE(SUBSTITUTE(SUBSTITUTE(SUBSTITUTE(MID(L415,SEARCH("(",L415)+1,SEARCH(")",L415)-SEARCH("(",L415)-1),"$",""),",","")," ","")),0),0))</f>
        <v>0</v>
      </c>
    </row>
    <row r="416" spans="1:27">
      <c r="A416" s="76">
        <v>45904</v>
      </c>
      <c r="B416" s="77" t="s">
        <v>1694</v>
      </c>
      <c r="C416" s="77" t="s">
        <v>1486</v>
      </c>
      <c r="D416" s="77" t="s">
        <v>63</v>
      </c>
      <c r="E416" s="77">
        <v>85020</v>
      </c>
      <c r="F416" s="77" t="s">
        <v>310</v>
      </c>
      <c r="G416" s="77" t="s">
        <v>1593</v>
      </c>
      <c r="H416" s="77">
        <v>8166327537</v>
      </c>
      <c r="I416" s="77" t="s">
        <v>73</v>
      </c>
      <c r="J416" s="77" t="s">
        <v>37</v>
      </c>
      <c r="K416" s="77" t="s">
        <v>37</v>
      </c>
      <c r="L416" s="77" t="s">
        <v>38</v>
      </c>
      <c r="M416" s="77" t="s">
        <v>37</v>
      </c>
      <c r="N416" s="77" t="s">
        <v>37</v>
      </c>
      <c r="O416" s="77" t="s">
        <v>38</v>
      </c>
      <c r="P416" s="77" t="s">
        <v>39</v>
      </c>
      <c r="Q416" s="76">
        <v>45966</v>
      </c>
      <c r="R416" s="77"/>
      <c r="S416" s="77"/>
      <c r="T416" s="77"/>
      <c r="U416" s="77"/>
      <c r="V416" s="78"/>
      <c r="W416" s="79"/>
      <c r="X416" s="78"/>
      <c r="Y416" s="78"/>
      <c r="Z416" s="78"/>
      <c r="AA416">
        <f>IF(COUNTIF('Call Queue'!$H$6:$H$20,V416)&gt;0,0,IF(AND(ISNUMBER(N416),N416&gt;0),10000000+N416,IF(ISNUMBER(N416*1),IF(N416*1&gt;0,10000000+N416*1,0),0))+IF(ISNUMBER(SEARCH("(",L416)),1000000+IFERROR(VALUE(SUBSTITUTE(SUBSTITUTE(SUBSTITUTE(MID(L416,SEARCH("(",L416)+1,SEARCH(")",L416)-SEARCH("(",L416)-1),"$",""),",","")," ","")),0),0))</f>
        <v>0</v>
      </c>
    </row>
    <row r="417" spans="1:27">
      <c r="A417" s="76">
        <v>45904</v>
      </c>
      <c r="B417" s="77" t="s">
        <v>1696</v>
      </c>
      <c r="C417" s="77" t="s">
        <v>1686</v>
      </c>
      <c r="D417" s="77" t="s">
        <v>1693</v>
      </c>
      <c r="E417" s="77">
        <v>85373</v>
      </c>
      <c r="F417" s="77" t="s">
        <v>310</v>
      </c>
      <c r="G417" s="77" t="s">
        <v>1593</v>
      </c>
      <c r="H417" s="77">
        <v>4308401000</v>
      </c>
      <c r="I417" s="77" t="s">
        <v>418</v>
      </c>
      <c r="J417" s="77" t="s">
        <v>37</v>
      </c>
      <c r="K417" s="77" t="s">
        <v>37</v>
      </c>
      <c r="L417" s="77" t="s">
        <v>389</v>
      </c>
      <c r="M417" s="77" t="s">
        <v>37</v>
      </c>
      <c r="N417" s="77" t="s">
        <v>37</v>
      </c>
      <c r="O417" s="77" t="s">
        <v>38</v>
      </c>
      <c r="P417" s="77" t="s">
        <v>39</v>
      </c>
      <c r="Q417" s="76">
        <v>45966</v>
      </c>
      <c r="R417" s="77"/>
      <c r="S417" s="77"/>
      <c r="T417" s="77"/>
      <c r="U417" s="77"/>
      <c r="V417" s="78"/>
      <c r="W417" s="79"/>
      <c r="X417" s="78"/>
      <c r="Y417" s="78"/>
      <c r="Z417" s="78"/>
      <c r="AA417">
        <f>IF(COUNTIF('Call Queue'!$H$6:$H$20,V417)&gt;0,0,IF(AND(ISNUMBER(N417),N417&gt;0),10000000+N417,IF(ISNUMBER(N417*1),IF(N417*1&gt;0,10000000+N417*1,0),0))+IF(ISNUMBER(SEARCH("(",L417)),1000000+IFERROR(VALUE(SUBSTITUTE(SUBSTITUTE(SUBSTITUTE(MID(L417,SEARCH("(",L417)+1,SEARCH(")",L417)-SEARCH("(",L417)-1),"$",""),",","")," ","")),0),0))</f>
        <v>0</v>
      </c>
    </row>
    <row r="418" spans="1:27">
      <c r="A418" s="76">
        <v>45904</v>
      </c>
      <c r="B418" s="77" t="s">
        <v>1195</v>
      </c>
      <c r="C418" s="77" t="s">
        <v>789</v>
      </c>
      <c r="D418" s="77" t="s">
        <v>24</v>
      </c>
      <c r="E418" s="77">
        <v>85306</v>
      </c>
      <c r="F418" s="77" t="s">
        <v>1698</v>
      </c>
      <c r="G418" s="77" t="s">
        <v>1593</v>
      </c>
      <c r="H418" s="77">
        <v>2166343167</v>
      </c>
      <c r="I418" s="77" t="s">
        <v>57</v>
      </c>
      <c r="J418" s="77" t="s">
        <v>37</v>
      </c>
      <c r="K418" s="77" t="s">
        <v>37</v>
      </c>
      <c r="L418" s="77" t="s">
        <v>1700</v>
      </c>
      <c r="M418" s="77" t="s">
        <v>37</v>
      </c>
      <c r="N418" s="77" t="s">
        <v>37</v>
      </c>
      <c r="O418" s="77" t="s">
        <v>38</v>
      </c>
      <c r="P418" s="77">
        <v>45936</v>
      </c>
      <c r="Q418" s="76">
        <v>45966</v>
      </c>
      <c r="R418" s="77" t="s">
        <v>1429</v>
      </c>
      <c r="S418" s="77"/>
      <c r="T418" s="77"/>
      <c r="U418" s="77"/>
      <c r="V418" s="78" t="s">
        <v>117</v>
      </c>
      <c r="W418" s="79">
        <v>46046</v>
      </c>
      <c r="X418" s="78" t="s">
        <v>38</v>
      </c>
      <c r="Y418" s="78"/>
      <c r="Z418" s="78"/>
      <c r="AA418">
        <f>IF(COUNTIF('Call Queue'!$H$6:$H$20,V418)&gt;0,0,IF(AND(ISNUMBER(N418),N418&gt;0),10000000+N418,IF(ISNUMBER(N418*1),IF(N418*1&gt;0,10000000+N418*1,0),0))+IF(ISNUMBER(SEARCH("(",L418)),1000000+IFERROR(VALUE(SUBSTITUTE(SUBSTITUTE(SUBSTITUTE(MID(L418,SEARCH("(",L418)+1,SEARCH(")",L418)-SEARCH("(",L418)-1),"$",""),",","")," ","")),0),0))</f>
        <v>0</v>
      </c>
    </row>
    <row r="419" spans="1:27">
      <c r="A419" s="76">
        <v>45904</v>
      </c>
      <c r="B419" s="77" t="s">
        <v>1701</v>
      </c>
      <c r="C419" s="77" t="s">
        <v>838</v>
      </c>
      <c r="D419" s="77" t="s">
        <v>125</v>
      </c>
      <c r="E419" s="77">
        <v>85258</v>
      </c>
      <c r="F419" s="77" t="s">
        <v>31</v>
      </c>
      <c r="G419" s="77" t="s">
        <v>1702</v>
      </c>
      <c r="H419" s="77">
        <v>3485675279</v>
      </c>
      <c r="I419" s="77" t="s">
        <v>126</v>
      </c>
      <c r="J419" s="77" t="s">
        <v>37</v>
      </c>
      <c r="K419" s="77" t="s">
        <v>37</v>
      </c>
      <c r="L419" s="77" t="s">
        <v>38</v>
      </c>
      <c r="M419" s="77" t="s">
        <v>37</v>
      </c>
      <c r="N419" s="77" t="s">
        <v>37</v>
      </c>
      <c r="O419" s="77" t="s">
        <v>38</v>
      </c>
      <c r="P419" s="77" t="s">
        <v>39</v>
      </c>
      <c r="Q419" s="76">
        <v>45966</v>
      </c>
      <c r="R419" s="77"/>
      <c r="S419" s="77"/>
      <c r="T419" s="77"/>
      <c r="U419" s="77"/>
      <c r="V419" s="78"/>
      <c r="W419" s="79"/>
      <c r="X419" s="78"/>
      <c r="Y419" s="78"/>
      <c r="Z419" s="78"/>
      <c r="AA419">
        <f>IF(COUNTIF('Call Queue'!$H$6:$H$20,V419)&gt;0,0,IF(AND(ISNUMBER(N419),N419&gt;0),10000000+N419,IF(ISNUMBER(N419*1),IF(N419*1&gt;0,10000000+N419*1,0),0))+IF(ISNUMBER(SEARCH("(",L419)),1000000+IFERROR(VALUE(SUBSTITUTE(SUBSTITUTE(SUBSTITUTE(MID(L419,SEARCH("(",L419)+1,SEARCH(")",L419)-SEARCH("(",L419)-1),"$",""),",","")," ","")),0),0))</f>
        <v>0</v>
      </c>
    </row>
    <row r="420" spans="1:27">
      <c r="A420" s="76">
        <v>45904</v>
      </c>
      <c r="B420" s="77" t="s">
        <v>1706</v>
      </c>
      <c r="C420" s="77" t="s">
        <v>1707</v>
      </c>
      <c r="D420" s="77"/>
      <c r="E420" s="77"/>
      <c r="F420" s="77"/>
      <c r="G420" s="77" t="s">
        <v>1705</v>
      </c>
      <c r="H420" s="77" t="s">
        <v>209</v>
      </c>
      <c r="I420" s="77"/>
      <c r="J420" s="77"/>
      <c r="K420" s="77"/>
      <c r="L420" s="77"/>
      <c r="M420" s="77"/>
      <c r="N420" s="77"/>
      <c r="O420" s="77"/>
      <c r="P420" s="77"/>
      <c r="Q420" s="76"/>
      <c r="R420" s="77"/>
      <c r="S420" s="77"/>
      <c r="T420" s="77"/>
      <c r="U420" s="77"/>
      <c r="V420" s="78"/>
      <c r="W420" s="79"/>
      <c r="X420" s="78"/>
      <c r="Y420" s="78"/>
      <c r="Z420" s="78"/>
      <c r="AA420">
        <f>IF(COUNTIF('Call Queue'!$H$6:$H$20,V420)&gt;0,0,IF(AND(ISNUMBER(N420),N420&gt;0),10000000+N420,IF(ISNUMBER(N420*1),IF(N420*1&gt;0,10000000+N420*1,0),0))+IF(ISNUMBER(SEARCH("(",L420)),1000000+IFERROR(VALUE(SUBSTITUTE(SUBSTITUTE(SUBSTITUTE(MID(L420,SEARCH("(",L420)+1,SEARCH(")",L420)-SEARCH("(",L420)-1),"$",""),",","")," ","")),0),0))</f>
        <v>0</v>
      </c>
    </row>
    <row r="421" spans="1:27">
      <c r="A421" s="76">
        <v>45904</v>
      </c>
      <c r="B421" s="77" t="s">
        <v>1710</v>
      </c>
      <c r="C421" s="77" t="s">
        <v>1711</v>
      </c>
      <c r="D421" s="77" t="s">
        <v>125</v>
      </c>
      <c r="E421" s="77">
        <v>85258</v>
      </c>
      <c r="F421" s="77" t="s">
        <v>31</v>
      </c>
      <c r="G421" s="77" t="s">
        <v>1705</v>
      </c>
      <c r="H421" s="77">
        <v>6907731000</v>
      </c>
      <c r="I421" s="77" t="s">
        <v>196</v>
      </c>
      <c r="J421" s="77" t="s">
        <v>37</v>
      </c>
      <c r="K421" s="77" t="s">
        <v>37</v>
      </c>
      <c r="L421" s="77" t="s">
        <v>1712</v>
      </c>
      <c r="M421" s="77" t="s">
        <v>37</v>
      </c>
      <c r="N421" s="77" t="s">
        <v>37</v>
      </c>
      <c r="O421" s="77" t="s">
        <v>38</v>
      </c>
      <c r="P421" s="77">
        <v>45936</v>
      </c>
      <c r="Q421" s="76">
        <v>45966</v>
      </c>
      <c r="R421" s="77" t="s">
        <v>1429</v>
      </c>
      <c r="S421" s="77"/>
      <c r="T421" s="77"/>
      <c r="U421" s="77"/>
      <c r="V421" s="78" t="s">
        <v>5432</v>
      </c>
      <c r="W421" s="79">
        <v>46060</v>
      </c>
      <c r="X421" s="78" t="s">
        <v>38</v>
      </c>
      <c r="Y421" s="78"/>
      <c r="Z421" s="78" t="s">
        <v>5555</v>
      </c>
      <c r="AA421">
        <f>IF(COUNTIF('Call Queue'!$H$6:$H$20,V421)&gt;0,0,IF(AND(ISNUMBER(N421),N421&gt;0),10000000+N421,IF(ISNUMBER(N421*1),IF(N421*1&gt;0,10000000+N421*1,0),0))+IF(ISNUMBER(SEARCH("(",L421)),1000000+IFERROR(VALUE(SUBSTITUTE(SUBSTITUTE(SUBSTITUTE(MID(L421,SEARCH("(",L421)+1,SEARCH(")",L421)-SEARCH("(",L421)-1),"$",""),",","")," ","")),0),0))</f>
        <v>0</v>
      </c>
    </row>
    <row r="422" spans="1:27">
      <c r="A422" s="76">
        <v>45904</v>
      </c>
      <c r="B422" s="77" t="s">
        <v>1713</v>
      </c>
      <c r="C422" s="77" t="s">
        <v>1714</v>
      </c>
      <c r="D422" s="77"/>
      <c r="E422" s="77"/>
      <c r="F422" s="77" t="s">
        <v>31</v>
      </c>
      <c r="G422" s="77" t="s">
        <v>1705</v>
      </c>
      <c r="H422" s="77" t="s">
        <v>209</v>
      </c>
      <c r="I422" s="77"/>
      <c r="J422" s="77"/>
      <c r="K422" s="77"/>
      <c r="L422" s="77"/>
      <c r="M422" s="77"/>
      <c r="N422" s="77"/>
      <c r="O422" s="77"/>
      <c r="P422" s="77"/>
      <c r="Q422" s="76"/>
      <c r="R422" s="77"/>
      <c r="S422" s="77"/>
      <c r="T422" s="77"/>
      <c r="U422" s="77"/>
      <c r="V422" s="78"/>
      <c r="W422" s="79"/>
      <c r="X422" s="78"/>
      <c r="Y422" s="78"/>
      <c r="Z422" s="78"/>
      <c r="AA422">
        <f>IF(COUNTIF('Call Queue'!$H$6:$H$20,V422)&gt;0,0,IF(AND(ISNUMBER(N422),N422&gt;0),10000000+N422,IF(ISNUMBER(N422*1),IF(N422*1&gt;0,10000000+N422*1,0),0))+IF(ISNUMBER(SEARCH("(",L422)),1000000+IFERROR(VALUE(SUBSTITUTE(SUBSTITUTE(SUBSTITUTE(MID(L422,SEARCH("(",L422)+1,SEARCH(")",L422)-SEARCH("(",L422)-1),"$",""),",","")," ","")),0),0))</f>
        <v>0</v>
      </c>
    </row>
    <row r="423" spans="1:27">
      <c r="A423" s="76">
        <v>45904</v>
      </c>
      <c r="B423" s="77" t="s">
        <v>1718</v>
      </c>
      <c r="C423" s="77" t="s">
        <v>650</v>
      </c>
      <c r="D423" s="77" t="s">
        <v>1719</v>
      </c>
      <c r="E423" s="77">
        <v>85615</v>
      </c>
      <c r="F423" s="77" t="s">
        <v>31</v>
      </c>
      <c r="G423" s="77" t="s">
        <v>1705</v>
      </c>
      <c r="H423" s="77">
        <v>1710517819</v>
      </c>
      <c r="I423" s="77" t="s">
        <v>541</v>
      </c>
      <c r="J423" s="77" t="s">
        <v>38</v>
      </c>
      <c r="K423" s="77" t="s">
        <v>37</v>
      </c>
      <c r="L423" s="77" t="s">
        <v>389</v>
      </c>
      <c r="M423" s="77" t="s">
        <v>37</v>
      </c>
      <c r="N423" s="77" t="s">
        <v>37</v>
      </c>
      <c r="O423" s="77" t="s">
        <v>38</v>
      </c>
      <c r="P423" s="77" t="s">
        <v>39</v>
      </c>
      <c r="Q423" s="76">
        <v>45966</v>
      </c>
      <c r="R423" s="77"/>
      <c r="S423" s="77"/>
      <c r="T423" s="77"/>
      <c r="U423" s="77"/>
      <c r="V423" s="78"/>
      <c r="W423" s="79"/>
      <c r="X423" s="78"/>
      <c r="Y423" s="78"/>
      <c r="Z423" s="78"/>
      <c r="AA423">
        <f>IF(COUNTIF('Call Queue'!$H$6:$H$20,V423)&gt;0,0,IF(AND(ISNUMBER(N423),N423&gt;0),10000000+N423,IF(ISNUMBER(N423*1),IF(N423*1&gt;0,10000000+N423*1,0),0))+IF(ISNUMBER(SEARCH("(",L423)),1000000+IFERROR(VALUE(SUBSTITUTE(SUBSTITUTE(SUBSTITUTE(MID(L423,SEARCH("(",L423)+1,SEARCH(")",L423)-SEARCH("(",L423)-1),"$",""),",","")," ","")),0),0))</f>
        <v>0</v>
      </c>
    </row>
    <row r="424" spans="1:27">
      <c r="A424" s="76">
        <v>45905</v>
      </c>
      <c r="B424" s="77" t="s">
        <v>1720</v>
      </c>
      <c r="C424" s="77" t="s">
        <v>1444</v>
      </c>
      <c r="D424" s="77"/>
      <c r="E424" s="77"/>
      <c r="F424" s="77"/>
      <c r="G424" s="77" t="s">
        <v>1721</v>
      </c>
      <c r="H424" s="77" t="s">
        <v>209</v>
      </c>
      <c r="I424" s="77"/>
      <c r="J424" s="77"/>
      <c r="K424" s="77"/>
      <c r="L424" s="77"/>
      <c r="M424" s="77"/>
      <c r="N424" s="77"/>
      <c r="O424" s="77"/>
      <c r="P424" s="77"/>
      <c r="Q424" s="76"/>
      <c r="R424" s="77"/>
      <c r="S424" s="77"/>
      <c r="T424" s="77"/>
      <c r="U424" s="77"/>
      <c r="V424" s="78"/>
      <c r="W424" s="79"/>
      <c r="X424" s="78"/>
      <c r="Y424" s="78"/>
      <c r="Z424" s="78"/>
      <c r="AA424">
        <f>IF(COUNTIF('Call Queue'!$H$6:$H$20,V424)&gt;0,0,IF(AND(ISNUMBER(N424),N424&gt;0),10000000+N424,IF(ISNUMBER(N424*1),IF(N424*1&gt;0,10000000+N424*1,0),0))+IF(ISNUMBER(SEARCH("(",L424)),1000000+IFERROR(VALUE(SUBSTITUTE(SUBSTITUTE(SUBSTITUTE(MID(L424,SEARCH("(",L424)+1,SEARCH(")",L424)-SEARCH("(",L424)-1),"$",""),",","")," ","")),0),0))</f>
        <v>0</v>
      </c>
    </row>
    <row r="425" spans="1:27">
      <c r="A425" s="76">
        <v>45905</v>
      </c>
      <c r="B425" s="77" t="s">
        <v>1722</v>
      </c>
      <c r="C425" s="77" t="s">
        <v>194</v>
      </c>
      <c r="D425" s="77" t="s">
        <v>240</v>
      </c>
      <c r="E425" s="77">
        <v>85340</v>
      </c>
      <c r="F425" s="77" t="s">
        <v>31</v>
      </c>
      <c r="G425" s="77" t="s">
        <v>1723</v>
      </c>
      <c r="H425" s="77">
        <v>6218364523</v>
      </c>
      <c r="I425" s="77" t="s">
        <v>73</v>
      </c>
      <c r="J425" s="77" t="s">
        <v>37</v>
      </c>
      <c r="K425" s="77" t="s">
        <v>37</v>
      </c>
      <c r="L425" s="77" t="s">
        <v>38</v>
      </c>
      <c r="M425" s="77" t="s">
        <v>37</v>
      </c>
      <c r="N425" s="77" t="s">
        <v>37</v>
      </c>
      <c r="O425" s="77" t="s">
        <v>38</v>
      </c>
      <c r="P425" s="77" t="s">
        <v>39</v>
      </c>
      <c r="Q425" s="76">
        <v>45966</v>
      </c>
      <c r="R425" s="77"/>
      <c r="S425" s="77"/>
      <c r="T425" s="77"/>
      <c r="U425" s="77"/>
      <c r="V425" s="78"/>
      <c r="W425" s="79"/>
      <c r="X425" s="78"/>
      <c r="Y425" s="78"/>
      <c r="Z425" s="78"/>
      <c r="AA425">
        <f>IF(COUNTIF('Call Queue'!$H$6:$H$20,V425)&gt;0,0,IF(AND(ISNUMBER(N425),N425&gt;0),10000000+N425,IF(ISNUMBER(N425*1),IF(N425*1&gt;0,10000000+N425*1,0),0))+IF(ISNUMBER(SEARCH("(",L425)),1000000+IFERROR(VALUE(SUBSTITUTE(SUBSTITUTE(SUBSTITUTE(MID(L425,SEARCH("(",L425)+1,SEARCH(")",L425)-SEARCH("(",L425)-1),"$",""),",","")," ","")),0),0))</f>
        <v>0</v>
      </c>
    </row>
    <row r="426" spans="1:27">
      <c r="A426" s="76">
        <v>45905</v>
      </c>
      <c r="B426" s="77" t="s">
        <v>1725</v>
      </c>
      <c r="C426" s="77" t="s">
        <v>1726</v>
      </c>
      <c r="D426" s="77" t="s">
        <v>169</v>
      </c>
      <c r="E426" s="77">
        <v>85395</v>
      </c>
      <c r="F426" s="77" t="s">
        <v>1727</v>
      </c>
      <c r="G426" s="77" t="s">
        <v>1723</v>
      </c>
      <c r="H426" s="77">
        <v>40730000</v>
      </c>
      <c r="I426" s="77" t="s">
        <v>418</v>
      </c>
      <c r="J426" s="77" t="s">
        <v>37</v>
      </c>
      <c r="K426" s="77" t="s">
        <v>37</v>
      </c>
      <c r="L426" s="77" t="s">
        <v>389</v>
      </c>
      <c r="M426" s="77" t="s">
        <v>37</v>
      </c>
      <c r="N426" s="77" t="s">
        <v>37</v>
      </c>
      <c r="O426" s="77" t="s">
        <v>38</v>
      </c>
      <c r="P426" s="77" t="s">
        <v>39</v>
      </c>
      <c r="Q426" s="76">
        <v>45966</v>
      </c>
      <c r="R426" s="77"/>
      <c r="S426" s="77"/>
      <c r="T426" s="77"/>
      <c r="U426" s="77"/>
      <c r="V426" s="78"/>
      <c r="W426" s="79"/>
      <c r="X426" s="78"/>
      <c r="Y426" s="78"/>
      <c r="Z426" s="78"/>
      <c r="AA426">
        <f>IF(COUNTIF('Call Queue'!$H$6:$H$20,V426)&gt;0,0,IF(AND(ISNUMBER(N426),N426&gt;0),10000000+N426,IF(ISNUMBER(N426*1),IF(N426*1&gt;0,10000000+N426*1,0),0))+IF(ISNUMBER(SEARCH("(",L426)),1000000+IFERROR(VALUE(SUBSTITUTE(SUBSTITUTE(SUBSTITUTE(MID(L426,SEARCH("(",L426)+1,SEARCH(")",L426)-SEARCH("(",L426)-1),"$",""),",","")," ","")),0),0))</f>
        <v>0</v>
      </c>
    </row>
    <row r="427" spans="1:27">
      <c r="A427" s="76">
        <v>45905</v>
      </c>
      <c r="B427" s="77" t="s">
        <v>1729</v>
      </c>
      <c r="C427" s="77" t="s">
        <v>177</v>
      </c>
      <c r="D427" s="77" t="s">
        <v>63</v>
      </c>
      <c r="E427" s="77">
        <v>85028</v>
      </c>
      <c r="F427" s="77" t="s">
        <v>310</v>
      </c>
      <c r="G427" s="77" t="s">
        <v>1723</v>
      </c>
      <c r="H427" s="77">
        <v>555026441</v>
      </c>
      <c r="I427" s="77" t="s">
        <v>196</v>
      </c>
      <c r="J427" s="77" t="s">
        <v>37</v>
      </c>
      <c r="K427" s="77" t="s">
        <v>37</v>
      </c>
      <c r="L427" s="77" t="s">
        <v>1731</v>
      </c>
      <c r="M427" s="77" t="s">
        <v>37</v>
      </c>
      <c r="N427" s="77" t="s">
        <v>37</v>
      </c>
      <c r="O427" s="77" t="s">
        <v>38</v>
      </c>
      <c r="P427" s="77">
        <v>45936</v>
      </c>
      <c r="Q427" s="76">
        <v>45966</v>
      </c>
      <c r="R427" s="77" t="s">
        <v>1732</v>
      </c>
      <c r="S427" s="77"/>
      <c r="T427" s="77"/>
      <c r="U427" s="77"/>
      <c r="V427" s="78" t="s">
        <v>117</v>
      </c>
      <c r="W427" s="79">
        <v>46060</v>
      </c>
      <c r="X427" s="78" t="s">
        <v>38</v>
      </c>
      <c r="Y427" s="78"/>
      <c r="Z427" s="78"/>
      <c r="AA427">
        <f>IF(COUNTIF('Call Queue'!$H$6:$H$20,V427)&gt;0,0,IF(AND(ISNUMBER(N427),N427&gt;0),10000000+N427,IF(ISNUMBER(N427*1),IF(N427*1&gt;0,10000000+N427*1,0),0))+IF(ISNUMBER(SEARCH("(",L427)),1000000+IFERROR(VALUE(SUBSTITUTE(SUBSTITUTE(SUBSTITUTE(MID(L427,SEARCH("(",L427)+1,SEARCH(")",L427)-SEARCH("(",L427)-1),"$",""),",","")," ","")),0),0))</f>
        <v>0</v>
      </c>
    </row>
    <row r="428" spans="1:27">
      <c r="A428" s="76">
        <v>45905</v>
      </c>
      <c r="B428" s="77" t="s">
        <v>1733</v>
      </c>
      <c r="C428" s="77" t="s">
        <v>328</v>
      </c>
      <c r="D428" s="77" t="s">
        <v>63</v>
      </c>
      <c r="E428" s="77">
        <v>85008</v>
      </c>
      <c r="F428" s="77" t="s">
        <v>310</v>
      </c>
      <c r="G428" s="77" t="s">
        <v>1723</v>
      </c>
      <c r="H428" s="77">
        <v>5372102528</v>
      </c>
      <c r="I428" s="77" t="s">
        <v>36</v>
      </c>
      <c r="J428" s="77" t="s">
        <v>38</v>
      </c>
      <c r="K428" s="77" t="s">
        <v>37</v>
      </c>
      <c r="L428" s="77" t="s">
        <v>1735</v>
      </c>
      <c r="M428" s="77" t="s">
        <v>38</v>
      </c>
      <c r="N428" s="77">
        <v>487.48</v>
      </c>
      <c r="O428" s="77" t="s">
        <v>38</v>
      </c>
      <c r="P428" s="77"/>
      <c r="Q428" s="76">
        <v>45966</v>
      </c>
      <c r="R428" s="77" t="s">
        <v>495</v>
      </c>
      <c r="S428" s="77"/>
      <c r="T428" s="77"/>
      <c r="U428" s="77"/>
      <c r="V428" s="78" t="s">
        <v>117</v>
      </c>
      <c r="W428" s="79">
        <v>46046</v>
      </c>
      <c r="X428" s="78" t="s">
        <v>37</v>
      </c>
      <c r="Y428" s="78" t="s">
        <v>5462</v>
      </c>
      <c r="Z428" s="78"/>
      <c r="AA428">
        <f>IF(COUNTIF('Call Queue'!$H$6:$H$20,V428)&gt;0,0,IF(AND(ISNUMBER(N428),N428&gt;0),10000000+N428,IF(ISNUMBER(N428*1),IF(N428*1&gt;0,10000000+N428*1,0),0))+IF(ISNUMBER(SEARCH("(",L428)),1000000+IFERROR(VALUE(SUBSTITUTE(SUBSTITUTE(SUBSTITUTE(MID(L428,SEARCH("(",L428)+1,SEARCH(")",L428)-SEARCH("(",L428)-1),"$",""),",","")," ","")),0),0))</f>
        <v>0</v>
      </c>
    </row>
    <row r="429" spans="1:27">
      <c r="A429" s="76">
        <v>45905</v>
      </c>
      <c r="B429" s="77" t="s">
        <v>1736</v>
      </c>
      <c r="C429" s="77" t="s">
        <v>1737</v>
      </c>
      <c r="D429" s="77" t="s">
        <v>125</v>
      </c>
      <c r="E429" s="77">
        <v>85260</v>
      </c>
      <c r="F429" s="77" t="s">
        <v>310</v>
      </c>
      <c r="G429" s="77" t="s">
        <v>1723</v>
      </c>
      <c r="H429" s="77">
        <v>3305713016</v>
      </c>
      <c r="I429" s="77" t="s">
        <v>196</v>
      </c>
      <c r="J429" s="77" t="s">
        <v>37</v>
      </c>
      <c r="K429" s="77" t="s">
        <v>37</v>
      </c>
      <c r="L429" s="77" t="s">
        <v>1739</v>
      </c>
      <c r="M429" s="77" t="s">
        <v>37</v>
      </c>
      <c r="N429" s="77" t="s">
        <v>37</v>
      </c>
      <c r="O429" s="77" t="s">
        <v>38</v>
      </c>
      <c r="P429" s="77" t="s">
        <v>39</v>
      </c>
      <c r="Q429" s="76">
        <v>45966</v>
      </c>
      <c r="R429" s="77"/>
      <c r="S429" s="77"/>
      <c r="T429" s="77"/>
      <c r="U429" s="77"/>
      <c r="V429" s="78" t="s">
        <v>117</v>
      </c>
      <c r="W429" s="79">
        <v>46046</v>
      </c>
      <c r="X429" s="78" t="s">
        <v>37</v>
      </c>
      <c r="Y429" s="78"/>
      <c r="Z429" s="78" t="s">
        <v>5463</v>
      </c>
      <c r="AA429">
        <f>IF(COUNTIF('Call Queue'!$H$6:$H$20,V429)&gt;0,0,IF(AND(ISNUMBER(N429),N429&gt;0),10000000+N429,IF(ISNUMBER(N429*1),IF(N429*1&gt;0,10000000+N429*1,0),0))+IF(ISNUMBER(SEARCH("(",L429)),1000000+IFERROR(VALUE(SUBSTITUTE(SUBSTITUTE(SUBSTITUTE(MID(L429,SEARCH("(",L429)+1,SEARCH(")",L429)-SEARCH("(",L429)-1),"$",""),",","")," ","")),0),0))</f>
        <v>0</v>
      </c>
    </row>
    <row r="430" spans="1:27">
      <c r="A430" s="76">
        <v>45905</v>
      </c>
      <c r="B430" s="77" t="s">
        <v>1740</v>
      </c>
      <c r="C430" s="77" t="s">
        <v>1741</v>
      </c>
      <c r="D430" s="77" t="s">
        <v>63</v>
      </c>
      <c r="E430" s="77">
        <v>85013</v>
      </c>
      <c r="F430" s="77" t="s">
        <v>1742</v>
      </c>
      <c r="G430" s="77" t="s">
        <v>1723</v>
      </c>
      <c r="H430" s="77">
        <v>8801331688</v>
      </c>
      <c r="I430" s="77" t="s">
        <v>36</v>
      </c>
      <c r="J430" s="77" t="s">
        <v>37</v>
      </c>
      <c r="K430" s="77" t="s">
        <v>37</v>
      </c>
      <c r="L430" s="77" t="s">
        <v>38</v>
      </c>
      <c r="M430" s="77" t="s">
        <v>37</v>
      </c>
      <c r="N430" s="77" t="s">
        <v>37</v>
      </c>
      <c r="O430" s="77" t="s">
        <v>38</v>
      </c>
      <c r="P430" s="77" t="s">
        <v>39</v>
      </c>
      <c r="Q430" s="76">
        <v>45966</v>
      </c>
      <c r="R430" s="77"/>
      <c r="S430" s="77"/>
      <c r="T430" s="77"/>
      <c r="U430" s="77"/>
      <c r="V430" s="78"/>
      <c r="W430" s="79"/>
      <c r="X430" s="78"/>
      <c r="Y430" s="78"/>
      <c r="Z430" s="78"/>
      <c r="AA430">
        <f>IF(COUNTIF('Call Queue'!$H$6:$H$20,V430)&gt;0,0,IF(AND(ISNUMBER(N430),N430&gt;0),10000000+N430,IF(ISNUMBER(N430*1),IF(N430*1&gt;0,10000000+N430*1,0),0))+IF(ISNUMBER(SEARCH("(",L430)),1000000+IFERROR(VALUE(SUBSTITUTE(SUBSTITUTE(SUBSTITUTE(MID(L430,SEARCH("(",L430)+1,SEARCH(")",L430)-SEARCH("(",L430)-1),"$",""),",","")," ","")),0),0))</f>
        <v>0</v>
      </c>
    </row>
    <row r="431" spans="1:27">
      <c r="A431" s="76">
        <v>45905</v>
      </c>
      <c r="B431" s="77" t="s">
        <v>1744</v>
      </c>
      <c r="C431" s="77" t="s">
        <v>1745</v>
      </c>
      <c r="D431" s="77" t="s">
        <v>635</v>
      </c>
      <c r="E431" s="77">
        <v>85281</v>
      </c>
      <c r="F431" s="77" t="s">
        <v>310</v>
      </c>
      <c r="G431" s="77" t="s">
        <v>1723</v>
      </c>
      <c r="H431" s="77">
        <v>1687826451</v>
      </c>
      <c r="I431" s="77" t="s">
        <v>196</v>
      </c>
      <c r="J431" s="77" t="s">
        <v>37</v>
      </c>
      <c r="K431" s="77" t="s">
        <v>37</v>
      </c>
      <c r="L431" s="77" t="s">
        <v>1747</v>
      </c>
      <c r="M431" s="77" t="s">
        <v>37</v>
      </c>
      <c r="N431" s="77" t="s">
        <v>37</v>
      </c>
      <c r="O431" s="77" t="s">
        <v>38</v>
      </c>
      <c r="P431" s="77" t="s">
        <v>39</v>
      </c>
      <c r="Q431" s="76">
        <v>45966</v>
      </c>
      <c r="R431" s="77"/>
      <c r="S431" s="77"/>
      <c r="T431" s="77"/>
      <c r="U431" s="77"/>
      <c r="V431" s="78" t="s">
        <v>117</v>
      </c>
      <c r="W431" s="79">
        <v>46060</v>
      </c>
      <c r="X431" s="78" t="s">
        <v>37</v>
      </c>
      <c r="Y431" s="78"/>
      <c r="Z431" s="78" t="s">
        <v>5464</v>
      </c>
      <c r="AA431">
        <f>IF(COUNTIF('Call Queue'!$H$6:$H$20,V431)&gt;0,0,IF(AND(ISNUMBER(N431),N431&gt;0),10000000+N431,IF(ISNUMBER(N431*1),IF(N431*1&gt;0,10000000+N431*1,0),0))+IF(ISNUMBER(SEARCH("(",L431)),1000000+IFERROR(VALUE(SUBSTITUTE(SUBSTITUTE(SUBSTITUTE(MID(L431,SEARCH("(",L431)+1,SEARCH(")",L431)-SEARCH("(",L431)-1),"$",""),",","")," ","")),0),0))</f>
        <v>0</v>
      </c>
    </row>
    <row r="432" spans="1:27">
      <c r="A432" s="76">
        <v>45905</v>
      </c>
      <c r="B432" s="77" t="s">
        <v>1748</v>
      </c>
      <c r="C432" s="77" t="s">
        <v>1749</v>
      </c>
      <c r="D432" s="77" t="s">
        <v>63</v>
      </c>
      <c r="E432" s="77">
        <v>85083</v>
      </c>
      <c r="F432" s="77" t="s">
        <v>31</v>
      </c>
      <c r="G432" s="77" t="s">
        <v>1723</v>
      </c>
      <c r="H432" s="77">
        <v>185829085</v>
      </c>
      <c r="I432" s="77" t="s">
        <v>250</v>
      </c>
      <c r="J432" s="77" t="s">
        <v>37</v>
      </c>
      <c r="K432" s="77" t="s">
        <v>37</v>
      </c>
      <c r="L432" s="77" t="s">
        <v>38</v>
      </c>
      <c r="M432" s="77" t="s">
        <v>37</v>
      </c>
      <c r="N432" s="77" t="s">
        <v>37</v>
      </c>
      <c r="O432" s="77" t="s">
        <v>38</v>
      </c>
      <c r="P432" s="77" t="s">
        <v>39</v>
      </c>
      <c r="Q432" s="76">
        <v>45966</v>
      </c>
      <c r="R432" s="77"/>
      <c r="S432" s="77"/>
      <c r="T432" s="77"/>
      <c r="U432" s="77"/>
      <c r="V432" s="78"/>
      <c r="W432" s="79"/>
      <c r="X432" s="78"/>
      <c r="Y432" s="78"/>
      <c r="Z432" s="78"/>
      <c r="AA432">
        <f>IF(COUNTIF('Call Queue'!$H$6:$H$20,V432)&gt;0,0,IF(AND(ISNUMBER(N432),N432&gt;0),10000000+N432,IF(ISNUMBER(N432*1),IF(N432*1&gt;0,10000000+N432*1,0),0))+IF(ISNUMBER(SEARCH("(",L432)),1000000+IFERROR(VALUE(SUBSTITUTE(SUBSTITUTE(SUBSTITUTE(MID(L432,SEARCH("(",L432)+1,SEARCH(")",L432)-SEARCH("(",L432)-1),"$",""),",","")," ","")),0),0))</f>
        <v>0</v>
      </c>
    </row>
    <row r="433" spans="1:27">
      <c r="A433" s="76">
        <v>45905</v>
      </c>
      <c r="B433" s="77" t="s">
        <v>1703</v>
      </c>
      <c r="C433" s="77" t="s">
        <v>705</v>
      </c>
      <c r="D433" s="77" t="s">
        <v>63</v>
      </c>
      <c r="E433" s="77">
        <v>85032</v>
      </c>
      <c r="F433" s="77" t="s">
        <v>310</v>
      </c>
      <c r="G433" s="77" t="s">
        <v>1723</v>
      </c>
      <c r="H433" s="77">
        <v>6640329915</v>
      </c>
      <c r="I433" s="77" t="s">
        <v>196</v>
      </c>
      <c r="J433" s="77" t="s">
        <v>37</v>
      </c>
      <c r="K433" s="77" t="s">
        <v>37</v>
      </c>
      <c r="L433" s="77" t="s">
        <v>38</v>
      </c>
      <c r="M433" s="77" t="s">
        <v>37</v>
      </c>
      <c r="N433" s="77" t="s">
        <v>37</v>
      </c>
      <c r="O433" s="77" t="s">
        <v>38</v>
      </c>
      <c r="P433" s="77" t="s">
        <v>39</v>
      </c>
      <c r="Q433" s="76">
        <v>45966</v>
      </c>
      <c r="R433" s="77"/>
      <c r="S433" s="77"/>
      <c r="T433" s="77"/>
      <c r="U433" s="77"/>
      <c r="V433" s="78"/>
      <c r="W433" s="79"/>
      <c r="X433" s="78"/>
      <c r="Y433" s="78"/>
      <c r="Z433" s="78"/>
      <c r="AA433">
        <f>IF(COUNTIF('Call Queue'!$H$6:$H$20,V433)&gt;0,0,IF(AND(ISNUMBER(N433),N433&gt;0),10000000+N433,IF(ISNUMBER(N433*1),IF(N433*1&gt;0,10000000+N433*1,0),0))+IF(ISNUMBER(SEARCH("(",L433)),1000000+IFERROR(VALUE(SUBSTITUTE(SUBSTITUTE(SUBSTITUTE(MID(L433,SEARCH("(",L433)+1,SEARCH(")",L433)-SEARCH("(",L433)-1),"$",""),",","")," ","")),0),0))</f>
        <v>0</v>
      </c>
    </row>
    <row r="434" spans="1:27">
      <c r="A434" s="76">
        <v>45905</v>
      </c>
      <c r="B434" s="77" t="s">
        <v>1754</v>
      </c>
      <c r="C434" s="77" t="s">
        <v>1755</v>
      </c>
      <c r="D434" s="77" t="s">
        <v>112</v>
      </c>
      <c r="E434" s="77">
        <v>85388</v>
      </c>
      <c r="F434" s="77" t="s">
        <v>310</v>
      </c>
      <c r="G434" s="77" t="s">
        <v>1723</v>
      </c>
      <c r="H434" s="77">
        <v>8993658310</v>
      </c>
      <c r="I434" s="77" t="s">
        <v>36</v>
      </c>
      <c r="J434" s="77" t="s">
        <v>37</v>
      </c>
      <c r="K434" s="77" t="s">
        <v>37</v>
      </c>
      <c r="L434" s="77" t="s">
        <v>38</v>
      </c>
      <c r="M434" s="77" t="s">
        <v>37</v>
      </c>
      <c r="N434" s="77" t="s">
        <v>37</v>
      </c>
      <c r="O434" s="77" t="s">
        <v>38</v>
      </c>
      <c r="P434" s="77" t="s">
        <v>39</v>
      </c>
      <c r="Q434" s="76">
        <v>45966</v>
      </c>
      <c r="R434" s="77"/>
      <c r="S434" s="77"/>
      <c r="T434" s="77"/>
      <c r="U434" s="77"/>
      <c r="V434" s="78"/>
      <c r="W434" s="79"/>
      <c r="X434" s="78"/>
      <c r="Y434" s="78"/>
      <c r="Z434" s="78"/>
      <c r="AA434">
        <f>IF(COUNTIF('Call Queue'!$H$6:$H$20,V434)&gt;0,0,IF(AND(ISNUMBER(N434),N434&gt;0),10000000+N434,IF(ISNUMBER(N434*1),IF(N434*1&gt;0,10000000+N434*1,0),0))+IF(ISNUMBER(SEARCH("(",L434)),1000000+IFERROR(VALUE(SUBSTITUTE(SUBSTITUTE(SUBSTITUTE(MID(L434,SEARCH("(",L434)+1,SEARCH(")",L434)-SEARCH("(",L434)-1),"$",""),",","")," ","")),0),0))</f>
        <v>0</v>
      </c>
    </row>
    <row r="435" spans="1:27">
      <c r="A435" s="76">
        <v>45905</v>
      </c>
      <c r="B435" s="77" t="s">
        <v>1759</v>
      </c>
      <c r="C435" s="77" t="s">
        <v>1760</v>
      </c>
      <c r="D435" s="77" t="s">
        <v>129</v>
      </c>
      <c r="E435" s="77">
        <v>85233</v>
      </c>
      <c r="F435" s="77" t="s">
        <v>31</v>
      </c>
      <c r="G435" s="77" t="s">
        <v>1723</v>
      </c>
      <c r="H435" s="77">
        <v>2550279335</v>
      </c>
      <c r="I435" s="77" t="s">
        <v>36</v>
      </c>
      <c r="J435" s="77" t="s">
        <v>37</v>
      </c>
      <c r="K435" s="77" t="s">
        <v>37</v>
      </c>
      <c r="L435" s="77" t="s">
        <v>38</v>
      </c>
      <c r="M435" s="77" t="s">
        <v>37</v>
      </c>
      <c r="N435" s="77" t="s">
        <v>37</v>
      </c>
      <c r="O435" s="77" t="s">
        <v>38</v>
      </c>
      <c r="P435" s="77" t="s">
        <v>39</v>
      </c>
      <c r="Q435" s="76">
        <v>45966</v>
      </c>
      <c r="R435" s="77"/>
      <c r="S435" s="77"/>
      <c r="T435" s="77"/>
      <c r="U435" s="77"/>
      <c r="V435" s="78"/>
      <c r="W435" s="79"/>
      <c r="X435" s="78"/>
      <c r="Y435" s="78"/>
      <c r="Z435" s="78"/>
      <c r="AA435">
        <f>IF(COUNTIF('Call Queue'!$H$6:$H$20,V435)&gt;0,0,IF(AND(ISNUMBER(N435),N435&gt;0),10000000+N435,IF(ISNUMBER(N435*1),IF(N435*1&gt;0,10000000+N435*1,0),0))+IF(ISNUMBER(SEARCH("(",L435)),1000000+IFERROR(VALUE(SUBSTITUTE(SUBSTITUTE(SUBSTITUTE(MID(L435,SEARCH("(",L435)+1,SEARCH(")",L435)-SEARCH("(",L435)-1),"$",""),",","")," ","")),0),0))</f>
        <v>0</v>
      </c>
    </row>
    <row r="436" spans="1:27">
      <c r="A436" s="76">
        <v>45905</v>
      </c>
      <c r="B436" s="77" t="s">
        <v>1762</v>
      </c>
      <c r="C436" s="77" t="s">
        <v>771</v>
      </c>
      <c r="D436" s="77" t="s">
        <v>63</v>
      </c>
      <c r="E436" s="77">
        <v>85020</v>
      </c>
      <c r="F436" s="77" t="s">
        <v>310</v>
      </c>
      <c r="G436" s="77" t="s">
        <v>1723</v>
      </c>
      <c r="H436" s="77">
        <v>5718650660</v>
      </c>
      <c r="I436" s="77" t="s">
        <v>196</v>
      </c>
      <c r="J436" s="77" t="s">
        <v>37</v>
      </c>
      <c r="K436" s="77" t="s">
        <v>37</v>
      </c>
      <c r="L436" s="77" t="s">
        <v>1764</v>
      </c>
      <c r="M436" s="77" t="s">
        <v>37</v>
      </c>
      <c r="N436" s="77" t="s">
        <v>37</v>
      </c>
      <c r="O436" s="77" t="s">
        <v>38</v>
      </c>
      <c r="P436" s="77" t="s">
        <v>39</v>
      </c>
      <c r="Q436" s="76">
        <v>45966</v>
      </c>
      <c r="R436" s="77"/>
      <c r="S436" s="77"/>
      <c r="T436" s="77"/>
      <c r="U436" s="77"/>
      <c r="V436" s="78" t="s">
        <v>117</v>
      </c>
      <c r="W436" s="79">
        <v>46046</v>
      </c>
      <c r="X436" s="78" t="s">
        <v>38</v>
      </c>
      <c r="Y436" s="78"/>
      <c r="Z436" s="78"/>
      <c r="AA436">
        <f>IF(COUNTIF('Call Queue'!$H$6:$H$20,V436)&gt;0,0,IF(AND(ISNUMBER(N436),N436&gt;0),10000000+N436,IF(ISNUMBER(N436*1),IF(N436*1&gt;0,10000000+N436*1,0),0))+IF(ISNUMBER(SEARCH("(",L436)),1000000+IFERROR(VALUE(SUBSTITUTE(SUBSTITUTE(SUBSTITUTE(MID(L436,SEARCH("(",L436)+1,SEARCH(")",L436)-SEARCH("(",L436)-1),"$",""),",","")," ","")),0),0))</f>
        <v>0</v>
      </c>
    </row>
    <row r="437" spans="1:27">
      <c r="A437" s="76">
        <v>45905</v>
      </c>
      <c r="B437" s="77" t="s">
        <v>1765</v>
      </c>
      <c r="C437" s="77" t="s">
        <v>42</v>
      </c>
      <c r="D437" s="77" t="s">
        <v>169</v>
      </c>
      <c r="E437" s="77">
        <v>85338</v>
      </c>
      <c r="F437" s="77" t="s">
        <v>31</v>
      </c>
      <c r="G437" s="77" t="s">
        <v>1723</v>
      </c>
      <c r="H437" s="77" t="s">
        <v>209</v>
      </c>
      <c r="I437" s="77"/>
      <c r="J437" s="77"/>
      <c r="K437" s="77"/>
      <c r="L437" s="77"/>
      <c r="M437" s="77"/>
      <c r="N437" s="77"/>
      <c r="O437" s="77"/>
      <c r="P437" s="77"/>
      <c r="Q437" s="76"/>
      <c r="R437" s="77"/>
      <c r="S437" s="77"/>
      <c r="T437" s="77"/>
      <c r="U437" s="77"/>
      <c r="V437" s="78"/>
      <c r="W437" s="79"/>
      <c r="X437" s="78"/>
      <c r="Y437" s="78"/>
      <c r="Z437" s="78"/>
      <c r="AA437">
        <f>IF(COUNTIF('Call Queue'!$H$6:$H$20,V437)&gt;0,0,IF(AND(ISNUMBER(N437),N437&gt;0),10000000+N437,IF(ISNUMBER(N437*1),IF(N437*1&gt;0,10000000+N437*1,0),0))+IF(ISNUMBER(SEARCH("(",L437)),1000000+IFERROR(VALUE(SUBSTITUTE(SUBSTITUTE(SUBSTITUTE(MID(L437,SEARCH("(",L437)+1,SEARCH(")",L437)-SEARCH("(",L437)-1),"$",""),",","")," ","")),0),0))</f>
        <v>0</v>
      </c>
    </row>
    <row r="438" spans="1:27">
      <c r="A438" s="76">
        <v>45905</v>
      </c>
      <c r="B438" s="77" t="s">
        <v>1766</v>
      </c>
      <c r="C438" s="77" t="s">
        <v>550</v>
      </c>
      <c r="D438" s="77" t="s">
        <v>112</v>
      </c>
      <c r="E438" s="77">
        <v>85387</v>
      </c>
      <c r="F438" s="77" t="s">
        <v>310</v>
      </c>
      <c r="G438" s="77" t="s">
        <v>1723</v>
      </c>
      <c r="H438" s="77">
        <v>9800380431</v>
      </c>
      <c r="I438" s="77" t="s">
        <v>196</v>
      </c>
      <c r="J438" s="77" t="s">
        <v>37</v>
      </c>
      <c r="K438" s="77" t="s">
        <v>37</v>
      </c>
      <c r="L438" s="77" t="s">
        <v>1768</v>
      </c>
      <c r="M438" s="77" t="s">
        <v>37</v>
      </c>
      <c r="N438" s="77" t="s">
        <v>37</v>
      </c>
      <c r="O438" s="77" t="s">
        <v>38</v>
      </c>
      <c r="P438" s="77">
        <v>45936</v>
      </c>
      <c r="Q438" s="76">
        <v>45966</v>
      </c>
      <c r="R438" s="77" t="s">
        <v>1769</v>
      </c>
      <c r="S438" s="77"/>
      <c r="T438" s="77"/>
      <c r="U438" s="77"/>
      <c r="V438" s="78" t="s">
        <v>117</v>
      </c>
      <c r="W438" s="79">
        <v>46060</v>
      </c>
      <c r="X438" s="78" t="s">
        <v>38</v>
      </c>
      <c r="Y438" s="78"/>
      <c r="Z438" s="78"/>
      <c r="AA438">
        <f>IF(COUNTIF('Call Queue'!$H$6:$H$20,V438)&gt;0,0,IF(AND(ISNUMBER(N438),N438&gt;0),10000000+N438,IF(ISNUMBER(N438*1),IF(N438*1&gt;0,10000000+N438*1,0),0))+IF(ISNUMBER(SEARCH("(",L438)),1000000+IFERROR(VALUE(SUBSTITUTE(SUBSTITUTE(SUBSTITUTE(MID(L438,SEARCH("(",L438)+1,SEARCH(")",L438)-SEARCH("(",L438)-1),"$",""),",","")," ","")),0),0))</f>
        <v>0</v>
      </c>
    </row>
    <row r="439" spans="1:27">
      <c r="A439" s="76">
        <v>45905</v>
      </c>
      <c r="B439" s="77" t="s">
        <v>1770</v>
      </c>
      <c r="C439" s="77" t="s">
        <v>922</v>
      </c>
      <c r="D439" s="77" t="s">
        <v>63</v>
      </c>
      <c r="E439" s="77">
        <v>85024</v>
      </c>
      <c r="F439" s="77" t="s">
        <v>310</v>
      </c>
      <c r="G439" s="77" t="s">
        <v>1723</v>
      </c>
      <c r="H439" s="77">
        <v>3505331000</v>
      </c>
      <c r="I439" s="77" t="s">
        <v>36</v>
      </c>
      <c r="J439" s="77" t="s">
        <v>37</v>
      </c>
      <c r="K439" s="77" t="s">
        <v>37</v>
      </c>
      <c r="L439" s="77" t="s">
        <v>38</v>
      </c>
      <c r="M439" s="77" t="s">
        <v>37</v>
      </c>
      <c r="N439" s="77" t="s">
        <v>37</v>
      </c>
      <c r="O439" s="77" t="s">
        <v>38</v>
      </c>
      <c r="P439" s="77" t="s">
        <v>39</v>
      </c>
      <c r="Q439" s="76">
        <v>45966</v>
      </c>
      <c r="R439" s="77"/>
      <c r="S439" s="77"/>
      <c r="T439" s="77"/>
      <c r="U439" s="77"/>
      <c r="V439" s="78"/>
      <c r="W439" s="79"/>
      <c r="X439" s="78"/>
      <c r="Y439" s="78"/>
      <c r="Z439" s="78"/>
      <c r="AA439">
        <f>IF(COUNTIF('Call Queue'!$H$6:$H$20,V439)&gt;0,0,IF(AND(ISNUMBER(N439),N439&gt;0),10000000+N439,IF(ISNUMBER(N439*1),IF(N439*1&gt;0,10000000+N439*1,0),0))+IF(ISNUMBER(SEARCH("(",L439)),1000000+IFERROR(VALUE(SUBSTITUTE(SUBSTITUTE(SUBSTITUTE(MID(L439,SEARCH("(",L439)+1,SEARCH(")",L439)-SEARCH("(",L439)-1),"$",""),",","")," ","")),0),0))</f>
        <v>0</v>
      </c>
    </row>
    <row r="440" spans="1:27">
      <c r="A440" s="76">
        <v>45905</v>
      </c>
      <c r="B440" s="77" t="s">
        <v>1772</v>
      </c>
      <c r="C440" s="77" t="s">
        <v>597</v>
      </c>
      <c r="D440" s="77" t="s">
        <v>523</v>
      </c>
      <c r="E440" s="77">
        <v>85392</v>
      </c>
      <c r="F440" s="77" t="s">
        <v>31</v>
      </c>
      <c r="G440" s="77" t="s">
        <v>1723</v>
      </c>
      <c r="H440" s="77" t="s">
        <v>1773</v>
      </c>
      <c r="I440" s="77" t="s">
        <v>196</v>
      </c>
      <c r="J440" s="77" t="s">
        <v>37</v>
      </c>
      <c r="K440" s="77" t="s">
        <v>37</v>
      </c>
      <c r="L440" s="77" t="s">
        <v>1774</v>
      </c>
      <c r="M440" s="77" t="s">
        <v>37</v>
      </c>
      <c r="N440" s="77" t="s">
        <v>37</v>
      </c>
      <c r="O440" s="77" t="s">
        <v>38</v>
      </c>
      <c r="P440" s="77">
        <v>45936</v>
      </c>
      <c r="Q440" s="76">
        <v>45966</v>
      </c>
      <c r="R440" s="77" t="s">
        <v>1732</v>
      </c>
      <c r="S440" s="77"/>
      <c r="T440" s="77"/>
      <c r="U440" s="77"/>
      <c r="V440" s="78" t="s">
        <v>117</v>
      </c>
      <c r="W440" s="79">
        <v>46046</v>
      </c>
      <c r="X440" s="78" t="s">
        <v>38</v>
      </c>
      <c r="Y440" s="78"/>
      <c r="Z440" s="78"/>
      <c r="AA440">
        <f>IF(COUNTIF('Call Queue'!$H$6:$H$20,V440)&gt;0,0,IF(AND(ISNUMBER(N440),N440&gt;0),10000000+N440,IF(ISNUMBER(N440*1),IF(N440*1&gt;0,10000000+N440*1,0),0))+IF(ISNUMBER(SEARCH("(",L440)),1000000+IFERROR(VALUE(SUBSTITUTE(SUBSTITUTE(SUBSTITUTE(MID(L440,SEARCH("(",L440)+1,SEARCH(")",L440)-SEARCH("(",L440)-1),"$",""),",","")," ","")),0),0))</f>
        <v>0</v>
      </c>
    </row>
    <row r="441" spans="1:27">
      <c r="A441" s="76">
        <v>45905</v>
      </c>
      <c r="B441" s="77" t="s">
        <v>1776</v>
      </c>
      <c r="C441" s="77" t="s">
        <v>821</v>
      </c>
      <c r="D441" s="77" t="s">
        <v>169</v>
      </c>
      <c r="E441" s="77">
        <v>85338</v>
      </c>
      <c r="F441" s="77" t="s">
        <v>1777</v>
      </c>
      <c r="G441" s="77" t="s">
        <v>1723</v>
      </c>
      <c r="H441" s="77">
        <v>7114611000</v>
      </c>
      <c r="I441" s="77" t="s">
        <v>36</v>
      </c>
      <c r="J441" s="77" t="s">
        <v>37</v>
      </c>
      <c r="K441" s="77" t="s">
        <v>37</v>
      </c>
      <c r="L441" s="77" t="s">
        <v>38</v>
      </c>
      <c r="M441" s="77" t="s">
        <v>37</v>
      </c>
      <c r="N441" s="77" t="s">
        <v>37</v>
      </c>
      <c r="O441" s="77" t="s">
        <v>38</v>
      </c>
      <c r="P441" s="77" t="s">
        <v>39</v>
      </c>
      <c r="Q441" s="76">
        <v>45966</v>
      </c>
      <c r="R441" s="77"/>
      <c r="S441" s="77"/>
      <c r="T441" s="77"/>
      <c r="U441" s="77"/>
      <c r="V441" s="78"/>
      <c r="W441" s="79"/>
      <c r="X441" s="78"/>
      <c r="Y441" s="78"/>
      <c r="Z441" s="78"/>
      <c r="AA441">
        <f>IF(COUNTIF('Call Queue'!$H$6:$H$20,V441)&gt;0,0,IF(AND(ISNUMBER(N441),N441&gt;0),10000000+N441,IF(ISNUMBER(N441*1),IF(N441*1&gt;0,10000000+N441*1,0),0))+IF(ISNUMBER(SEARCH("(",L441)),1000000+IFERROR(VALUE(SUBSTITUTE(SUBSTITUTE(SUBSTITUTE(MID(L441,SEARCH("(",L441)+1,SEARCH(")",L441)-SEARCH("(",L441)-1),"$",""),",","")," ","")),0),0))</f>
        <v>0</v>
      </c>
    </row>
    <row r="442" spans="1:27">
      <c r="A442" s="76">
        <v>45905</v>
      </c>
      <c r="B442" s="77" t="s">
        <v>1779</v>
      </c>
      <c r="C442" s="77" t="s">
        <v>1780</v>
      </c>
      <c r="D442" s="77" t="s">
        <v>169</v>
      </c>
      <c r="E442" s="77">
        <v>85338</v>
      </c>
      <c r="F442" s="77" t="s">
        <v>1556</v>
      </c>
      <c r="G442" s="77" t="s">
        <v>1723</v>
      </c>
      <c r="H442" s="77">
        <v>2942450000</v>
      </c>
      <c r="I442" s="77" t="s">
        <v>418</v>
      </c>
      <c r="J442" s="77" t="s">
        <v>37</v>
      </c>
      <c r="K442" s="77" t="s">
        <v>37</v>
      </c>
      <c r="L442" s="77" t="s">
        <v>389</v>
      </c>
      <c r="M442" s="77" t="s">
        <v>37</v>
      </c>
      <c r="N442" s="77" t="s">
        <v>37</v>
      </c>
      <c r="O442" s="77" t="s">
        <v>38</v>
      </c>
      <c r="P442" s="77" t="s">
        <v>39</v>
      </c>
      <c r="Q442" s="76">
        <v>45966</v>
      </c>
      <c r="R442" s="77"/>
      <c r="S442" s="77"/>
      <c r="T442" s="77"/>
      <c r="U442" s="77"/>
      <c r="V442" s="78"/>
      <c r="W442" s="79"/>
      <c r="X442" s="78"/>
      <c r="Y442" s="78"/>
      <c r="Z442" s="78"/>
      <c r="AA442">
        <f>IF(COUNTIF('Call Queue'!$H$6:$H$20,V442)&gt;0,0,IF(AND(ISNUMBER(N442),N442&gt;0),10000000+N442,IF(ISNUMBER(N442*1),IF(N442*1&gt;0,10000000+N442*1,0),0))+IF(ISNUMBER(SEARCH("(",L442)),1000000+IFERROR(VALUE(SUBSTITUTE(SUBSTITUTE(SUBSTITUTE(MID(L442,SEARCH("(",L442)+1,SEARCH(")",L442)-SEARCH("(",L442)-1),"$",""),",","")," ","")),0),0))</f>
        <v>0</v>
      </c>
    </row>
    <row r="443" spans="1:27">
      <c r="A443" s="76">
        <v>45905</v>
      </c>
      <c r="B443" s="77" t="s">
        <v>1782</v>
      </c>
      <c r="C443" s="77" t="s">
        <v>1574</v>
      </c>
      <c r="D443" s="77" t="s">
        <v>370</v>
      </c>
      <c r="E443" s="77">
        <v>85225</v>
      </c>
      <c r="F443" s="77" t="s">
        <v>310</v>
      </c>
      <c r="G443" s="77" t="s">
        <v>1723</v>
      </c>
      <c r="H443" s="77">
        <v>998552497</v>
      </c>
      <c r="I443" s="77" t="s">
        <v>36</v>
      </c>
      <c r="J443" s="77" t="s">
        <v>38</v>
      </c>
      <c r="K443" s="77" t="s">
        <v>37</v>
      </c>
      <c r="L443" s="77" t="s">
        <v>1784</v>
      </c>
      <c r="M443" s="77" t="s">
        <v>37</v>
      </c>
      <c r="N443" s="77" t="s">
        <v>37</v>
      </c>
      <c r="O443" s="77" t="s">
        <v>38</v>
      </c>
      <c r="P443" s="77" t="s">
        <v>39</v>
      </c>
      <c r="Q443" s="76">
        <v>45966</v>
      </c>
      <c r="R443" s="77"/>
      <c r="S443" s="77"/>
      <c r="T443" s="77"/>
      <c r="U443" s="77"/>
      <c r="V443" s="78" t="s">
        <v>117</v>
      </c>
      <c r="W443" s="79">
        <v>46053</v>
      </c>
      <c r="X443" s="78" t="s">
        <v>38</v>
      </c>
      <c r="Y443" s="78"/>
      <c r="Z443" s="78"/>
      <c r="AA443">
        <f>IF(COUNTIF('Call Queue'!$H$6:$H$20,V443)&gt;0,0,IF(AND(ISNUMBER(N443),N443&gt;0),10000000+N443,IF(ISNUMBER(N443*1),IF(N443*1&gt;0,10000000+N443*1,0),0))+IF(ISNUMBER(SEARCH("(",L443)),1000000+IFERROR(VALUE(SUBSTITUTE(SUBSTITUTE(SUBSTITUTE(MID(L443,SEARCH("(",L443)+1,SEARCH(")",L443)-SEARCH("(",L443)-1),"$",""),",","")," ","")),0),0))</f>
        <v>0</v>
      </c>
    </row>
    <row r="444" spans="1:27">
      <c r="A444" s="76">
        <v>45905</v>
      </c>
      <c r="B444" s="77" t="s">
        <v>1703</v>
      </c>
      <c r="C444" s="77" t="s">
        <v>1444</v>
      </c>
      <c r="D444" s="77" t="s">
        <v>125</v>
      </c>
      <c r="E444" s="77">
        <v>85254</v>
      </c>
      <c r="F444" s="77" t="s">
        <v>310</v>
      </c>
      <c r="G444" s="77" t="s">
        <v>1723</v>
      </c>
      <c r="H444" s="77" t="s">
        <v>1786</v>
      </c>
      <c r="I444" s="77" t="s">
        <v>36</v>
      </c>
      <c r="J444" s="77" t="s">
        <v>37</v>
      </c>
      <c r="K444" s="77" t="s">
        <v>37</v>
      </c>
      <c r="L444" s="77" t="s">
        <v>38</v>
      </c>
      <c r="M444" s="77" t="s">
        <v>37</v>
      </c>
      <c r="N444" s="77" t="s">
        <v>37</v>
      </c>
      <c r="O444" s="77" t="s">
        <v>38</v>
      </c>
      <c r="P444" s="77" t="s">
        <v>39</v>
      </c>
      <c r="Q444" s="76">
        <v>45966</v>
      </c>
      <c r="R444" s="77"/>
      <c r="S444" s="77"/>
      <c r="T444" s="77"/>
      <c r="U444" s="77"/>
      <c r="V444" s="78"/>
      <c r="W444" s="79"/>
      <c r="X444" s="78"/>
      <c r="Y444" s="78"/>
      <c r="Z444" s="78"/>
      <c r="AA444">
        <f>IF(COUNTIF('Call Queue'!$H$6:$H$20,V444)&gt;0,0,IF(AND(ISNUMBER(N444),N444&gt;0),10000000+N444,IF(ISNUMBER(N444*1),IF(N444*1&gt;0,10000000+N444*1,0),0))+IF(ISNUMBER(SEARCH("(",L444)),1000000+IFERROR(VALUE(SUBSTITUTE(SUBSTITUTE(SUBSTITUTE(MID(L444,SEARCH("(",L444)+1,SEARCH(")",L444)-SEARCH("(",L444)-1),"$",""),",","")," ","")),0),0))</f>
        <v>0</v>
      </c>
    </row>
    <row r="445" spans="1:27">
      <c r="A445" s="76">
        <v>45905</v>
      </c>
      <c r="B445" s="77" t="s">
        <v>1787</v>
      </c>
      <c r="C445" s="77" t="s">
        <v>491</v>
      </c>
      <c r="D445" s="77" t="s">
        <v>169</v>
      </c>
      <c r="E445" s="77">
        <v>85395</v>
      </c>
      <c r="F445" s="77" t="s">
        <v>31</v>
      </c>
      <c r="G445" s="77" t="s">
        <v>1723</v>
      </c>
      <c r="H445" s="77">
        <v>4490163832</v>
      </c>
      <c r="I445" s="77" t="s">
        <v>73</v>
      </c>
      <c r="J445" s="77" t="s">
        <v>37</v>
      </c>
      <c r="K445" s="77" t="s">
        <v>37</v>
      </c>
      <c r="L445" s="77" t="s">
        <v>38</v>
      </c>
      <c r="M445" s="77" t="s">
        <v>37</v>
      </c>
      <c r="N445" s="77" t="s">
        <v>37</v>
      </c>
      <c r="O445" s="77" t="s">
        <v>38</v>
      </c>
      <c r="P445" s="77" t="s">
        <v>39</v>
      </c>
      <c r="Q445" s="76">
        <v>45966</v>
      </c>
      <c r="R445" s="77"/>
      <c r="S445" s="77"/>
      <c r="T445" s="77"/>
      <c r="U445" s="77"/>
      <c r="V445" s="78"/>
      <c r="W445" s="79"/>
      <c r="X445" s="78"/>
      <c r="Y445" s="78"/>
      <c r="Z445" s="78"/>
      <c r="AA445">
        <f>IF(COUNTIF('Call Queue'!$H$6:$H$20,V445)&gt;0,0,IF(AND(ISNUMBER(N445),N445&gt;0),10000000+N445,IF(ISNUMBER(N445*1),IF(N445*1&gt;0,10000000+N445*1,0),0))+IF(ISNUMBER(SEARCH("(",L445)),1000000+IFERROR(VALUE(SUBSTITUTE(SUBSTITUTE(SUBSTITUTE(MID(L445,SEARCH("(",L445)+1,SEARCH(")",L445)-SEARCH("(",L445)-1),"$",""),",","")," ","")),0),0))</f>
        <v>0</v>
      </c>
    </row>
    <row r="446" spans="1:27">
      <c r="A446" s="76">
        <v>45905</v>
      </c>
      <c r="B446" s="77" t="s">
        <v>1789</v>
      </c>
      <c r="C446" s="77" t="s">
        <v>962</v>
      </c>
      <c r="D446" s="77" t="s">
        <v>63</v>
      </c>
      <c r="E446" s="77">
        <v>85028</v>
      </c>
      <c r="F446" s="77" t="s">
        <v>1790</v>
      </c>
      <c r="G446" s="77" t="s">
        <v>1723</v>
      </c>
      <c r="H446" s="77">
        <v>1880001294</v>
      </c>
      <c r="I446" s="77" t="s">
        <v>36</v>
      </c>
      <c r="J446" s="77" t="s">
        <v>38</v>
      </c>
      <c r="K446" s="77" t="s">
        <v>37</v>
      </c>
      <c r="L446" s="77" t="s">
        <v>38</v>
      </c>
      <c r="M446" s="77" t="s">
        <v>38</v>
      </c>
      <c r="N446" s="77">
        <v>414.43</v>
      </c>
      <c r="O446" s="77" t="s">
        <v>38</v>
      </c>
      <c r="P446" s="77"/>
      <c r="Q446" s="76">
        <v>45966</v>
      </c>
      <c r="R446" s="77" t="s">
        <v>495</v>
      </c>
      <c r="S446" s="77"/>
      <c r="T446" s="77"/>
      <c r="U446" s="77"/>
      <c r="V446" s="78" t="s">
        <v>117</v>
      </c>
      <c r="W446" s="79">
        <v>46053</v>
      </c>
      <c r="X446" s="78" t="s">
        <v>37</v>
      </c>
      <c r="Y446" s="78"/>
      <c r="Z446" s="78" t="s">
        <v>5465</v>
      </c>
      <c r="AA446">
        <f>IF(COUNTIF('Call Queue'!$H$6:$H$20,V446)&gt;0,0,IF(AND(ISNUMBER(N446),N446&gt;0),10000000+N446,IF(ISNUMBER(N446*1),IF(N446*1&gt;0,10000000+N446*1,0),0))+IF(ISNUMBER(SEARCH("(",L446)),1000000+IFERROR(VALUE(SUBSTITUTE(SUBSTITUTE(SUBSTITUTE(MID(L446,SEARCH("(",L446)+1,SEARCH(")",L446)-SEARCH("(",L446)-1),"$",""),",","")," ","")),0),0))</f>
        <v>0</v>
      </c>
    </row>
    <row r="447" spans="1:27">
      <c r="A447" s="76">
        <v>45905</v>
      </c>
      <c r="B447" s="77" t="s">
        <v>1792</v>
      </c>
      <c r="C447" s="77" t="s">
        <v>1793</v>
      </c>
      <c r="D447" s="77" t="s">
        <v>169</v>
      </c>
      <c r="E447" s="77">
        <v>85395</v>
      </c>
      <c r="F447" s="77" t="s">
        <v>1794</v>
      </c>
      <c r="G447" s="77" t="s">
        <v>1723</v>
      </c>
      <c r="H447" s="77">
        <v>8806340000</v>
      </c>
      <c r="I447" s="77" t="s">
        <v>196</v>
      </c>
      <c r="J447" s="77" t="s">
        <v>37</v>
      </c>
      <c r="K447" s="77" t="s">
        <v>37</v>
      </c>
      <c r="L447" s="77" t="s">
        <v>38</v>
      </c>
      <c r="M447" s="77" t="s">
        <v>37</v>
      </c>
      <c r="N447" s="77" t="s">
        <v>37</v>
      </c>
      <c r="O447" s="77" t="s">
        <v>38</v>
      </c>
      <c r="P447" s="77" t="s">
        <v>39</v>
      </c>
      <c r="Q447" s="76">
        <v>45966</v>
      </c>
      <c r="R447" s="77"/>
      <c r="S447" s="77"/>
      <c r="T447" s="77"/>
      <c r="U447" s="77"/>
      <c r="V447" s="78"/>
      <c r="W447" s="79"/>
      <c r="X447" s="78"/>
      <c r="Y447" s="78"/>
      <c r="Z447" s="78"/>
      <c r="AA447">
        <f>IF(COUNTIF('Call Queue'!$H$6:$H$20,V447)&gt;0,0,IF(AND(ISNUMBER(N447),N447&gt;0),10000000+N447,IF(ISNUMBER(N447*1),IF(N447*1&gt;0,10000000+N447*1,0),0))+IF(ISNUMBER(SEARCH("(",L447)),1000000+IFERROR(VALUE(SUBSTITUTE(SUBSTITUTE(SUBSTITUTE(MID(L447,SEARCH("(",L447)+1,SEARCH(")",L447)-SEARCH("(",L447)-1),"$",""),",","")," ","")),0),0))</f>
        <v>0</v>
      </c>
    </row>
    <row r="448" spans="1:27">
      <c r="A448" s="76">
        <v>45905</v>
      </c>
      <c r="B448" s="77" t="s">
        <v>1796</v>
      </c>
      <c r="C448" s="77" t="s">
        <v>1797</v>
      </c>
      <c r="D448" s="77" t="s">
        <v>63</v>
      </c>
      <c r="E448" s="77">
        <v>85032</v>
      </c>
      <c r="F448" s="77" t="s">
        <v>310</v>
      </c>
      <c r="G448" s="77" t="s">
        <v>1723</v>
      </c>
      <c r="H448" s="77">
        <v>7096364439</v>
      </c>
      <c r="I448" s="77" t="s">
        <v>36</v>
      </c>
      <c r="J448" s="77" t="s">
        <v>37</v>
      </c>
      <c r="K448" s="77" t="s">
        <v>37</v>
      </c>
      <c r="L448" s="77" t="s">
        <v>38</v>
      </c>
      <c r="M448" s="77" t="s">
        <v>37</v>
      </c>
      <c r="N448" s="77" t="s">
        <v>37</v>
      </c>
      <c r="O448" s="77" t="s">
        <v>38</v>
      </c>
      <c r="P448" s="77" t="s">
        <v>39</v>
      </c>
      <c r="Q448" s="76">
        <v>45966</v>
      </c>
      <c r="R448" s="77"/>
      <c r="S448" s="77"/>
      <c r="T448" s="77"/>
      <c r="U448" s="77"/>
      <c r="V448" s="78"/>
      <c r="W448" s="79"/>
      <c r="X448" s="78"/>
      <c r="Y448" s="78"/>
      <c r="Z448" s="78"/>
      <c r="AA448">
        <f>IF(COUNTIF('Call Queue'!$H$6:$H$20,V448)&gt;0,0,IF(AND(ISNUMBER(N448),N448&gt;0),10000000+N448,IF(ISNUMBER(N448*1),IF(N448*1&gt;0,10000000+N448*1,0),0))+IF(ISNUMBER(SEARCH("(",L448)),1000000+IFERROR(VALUE(SUBSTITUTE(SUBSTITUTE(SUBSTITUTE(MID(L448,SEARCH("(",L448)+1,SEARCH(")",L448)-SEARCH("(",L448)-1),"$",""),",","")," ","")),0),0))</f>
        <v>0</v>
      </c>
    </row>
    <row r="449" spans="1:27">
      <c r="A449" s="76">
        <v>45905</v>
      </c>
      <c r="B449" s="77" t="s">
        <v>1799</v>
      </c>
      <c r="C449" s="77" t="s">
        <v>690</v>
      </c>
      <c r="D449" s="77" t="s">
        <v>169</v>
      </c>
      <c r="E449" s="77">
        <v>85395</v>
      </c>
      <c r="F449" s="77" t="s">
        <v>31</v>
      </c>
      <c r="G449" s="77" t="s">
        <v>1723</v>
      </c>
      <c r="H449" s="77">
        <v>2746863</v>
      </c>
      <c r="I449" s="77" t="s">
        <v>36</v>
      </c>
      <c r="J449" s="77" t="s">
        <v>37</v>
      </c>
      <c r="K449" s="77" t="s">
        <v>37</v>
      </c>
      <c r="L449" s="77" t="s">
        <v>38</v>
      </c>
      <c r="M449" s="77" t="s">
        <v>37</v>
      </c>
      <c r="N449" s="77" t="s">
        <v>37</v>
      </c>
      <c r="O449" s="77" t="s">
        <v>38</v>
      </c>
      <c r="P449" s="77" t="s">
        <v>39</v>
      </c>
      <c r="Q449" s="76">
        <v>45966</v>
      </c>
      <c r="R449" s="77"/>
      <c r="S449" s="77"/>
      <c r="T449" s="77"/>
      <c r="U449" s="77"/>
      <c r="V449" s="78"/>
      <c r="W449" s="79"/>
      <c r="X449" s="78"/>
      <c r="Y449" s="78"/>
      <c r="Z449" s="78"/>
      <c r="AA449">
        <f>IF(COUNTIF('Call Queue'!$H$6:$H$20,V449)&gt;0,0,IF(AND(ISNUMBER(N449),N449&gt;0),10000000+N449,IF(ISNUMBER(N449*1),IF(N449*1&gt;0,10000000+N449*1,0),0))+IF(ISNUMBER(SEARCH("(",L449)),1000000+IFERROR(VALUE(SUBSTITUTE(SUBSTITUTE(SUBSTITUTE(MID(L449,SEARCH("(",L449)+1,SEARCH(")",L449)-SEARCH("(",L449)-1),"$",""),",","")," ","")),0),0))</f>
        <v>0</v>
      </c>
    </row>
    <row r="450" spans="1:27">
      <c r="A450" s="76">
        <v>45905</v>
      </c>
      <c r="B450" s="77" t="s">
        <v>686</v>
      </c>
      <c r="C450" s="77" t="s">
        <v>246</v>
      </c>
      <c r="D450" s="77" t="s">
        <v>169</v>
      </c>
      <c r="E450" s="77">
        <v>85395</v>
      </c>
      <c r="F450" s="77" t="s">
        <v>31</v>
      </c>
      <c r="G450" s="77" t="s">
        <v>1723</v>
      </c>
      <c r="H450" s="77" t="s">
        <v>209</v>
      </c>
      <c r="I450" s="77"/>
      <c r="J450" s="77"/>
      <c r="K450" s="77"/>
      <c r="L450" s="77"/>
      <c r="M450" s="77"/>
      <c r="N450" s="77"/>
      <c r="O450" s="77"/>
      <c r="P450" s="77"/>
      <c r="Q450" s="76"/>
      <c r="R450" s="77"/>
      <c r="S450" s="77"/>
      <c r="T450" s="77"/>
      <c r="U450" s="77"/>
      <c r="V450" s="78"/>
      <c r="W450" s="79"/>
      <c r="X450" s="78"/>
      <c r="Y450" s="78"/>
      <c r="Z450" s="78"/>
      <c r="AA450">
        <f>IF(COUNTIF('Call Queue'!$H$6:$H$20,V450)&gt;0,0,IF(AND(ISNUMBER(N450),N450&gt;0),10000000+N450,IF(ISNUMBER(N450*1),IF(N450*1&gt;0,10000000+N450*1,0),0))+IF(ISNUMBER(SEARCH("(",L450)),1000000+IFERROR(VALUE(SUBSTITUTE(SUBSTITUTE(SUBSTITUTE(MID(L450,SEARCH("(",L450)+1,SEARCH(")",L450)-SEARCH("(",L450)-1),"$",""),",","")," ","")),0),0))</f>
        <v>0</v>
      </c>
    </row>
    <row r="451" spans="1:27">
      <c r="A451" s="76">
        <v>45905</v>
      </c>
      <c r="B451" s="77" t="s">
        <v>1803</v>
      </c>
      <c r="C451" s="77" t="s">
        <v>1804</v>
      </c>
      <c r="D451" s="77" t="s">
        <v>125</v>
      </c>
      <c r="E451" s="77">
        <v>85254</v>
      </c>
      <c r="F451" s="77" t="s">
        <v>31</v>
      </c>
      <c r="G451" s="77" t="s">
        <v>1723</v>
      </c>
      <c r="H451" s="77">
        <v>2122958371</v>
      </c>
      <c r="I451" s="77" t="s">
        <v>36</v>
      </c>
      <c r="J451" s="77" t="s">
        <v>37</v>
      </c>
      <c r="K451" s="77" t="s">
        <v>37</v>
      </c>
      <c r="L451" s="77" t="s">
        <v>38</v>
      </c>
      <c r="M451" s="77" t="s">
        <v>37</v>
      </c>
      <c r="N451" s="77" t="s">
        <v>37</v>
      </c>
      <c r="O451" s="77" t="s">
        <v>38</v>
      </c>
      <c r="P451" s="77" t="s">
        <v>39</v>
      </c>
      <c r="Q451" s="76">
        <v>45966</v>
      </c>
      <c r="R451" s="77"/>
      <c r="S451" s="77"/>
      <c r="T451" s="77"/>
      <c r="U451" s="77"/>
      <c r="V451" s="78"/>
      <c r="W451" s="79"/>
      <c r="X451" s="78"/>
      <c r="Y451" s="78"/>
      <c r="Z451" s="78"/>
      <c r="AA451">
        <f>IF(COUNTIF('Call Queue'!$H$6:$H$20,V451)&gt;0,0,IF(AND(ISNUMBER(N451),N451&gt;0),10000000+N451,IF(ISNUMBER(N451*1),IF(N451*1&gt;0,10000000+N451*1,0),0))+IF(ISNUMBER(SEARCH("(",L451)),1000000+IFERROR(VALUE(SUBSTITUTE(SUBSTITUTE(SUBSTITUTE(MID(L451,SEARCH("(",L451)+1,SEARCH(")",L451)-SEARCH("(",L451)-1),"$",""),",","")," ","")),0),0))</f>
        <v>0</v>
      </c>
    </row>
    <row r="452" spans="1:27">
      <c r="A452" s="76">
        <v>45905</v>
      </c>
      <c r="B452" s="77" t="s">
        <v>604</v>
      </c>
      <c r="C452" s="77" t="s">
        <v>1806</v>
      </c>
      <c r="D452" s="77" t="s">
        <v>169</v>
      </c>
      <c r="E452" s="77">
        <v>85395</v>
      </c>
      <c r="F452" s="77" t="s">
        <v>31</v>
      </c>
      <c r="G452" s="77" t="s">
        <v>1723</v>
      </c>
      <c r="H452" s="77">
        <v>5769060000</v>
      </c>
      <c r="I452" s="77" t="s">
        <v>81</v>
      </c>
      <c r="J452" s="77" t="s">
        <v>37</v>
      </c>
      <c r="K452" s="77" t="s">
        <v>37</v>
      </c>
      <c r="L452" s="77" t="s">
        <v>389</v>
      </c>
      <c r="M452" s="77" t="s">
        <v>37</v>
      </c>
      <c r="N452" s="77" t="s">
        <v>37</v>
      </c>
      <c r="O452" s="77" t="s">
        <v>38</v>
      </c>
      <c r="P452" s="77" t="s">
        <v>39</v>
      </c>
      <c r="Q452" s="76">
        <v>45966</v>
      </c>
      <c r="R452" s="77"/>
      <c r="S452" s="77"/>
      <c r="T452" s="77"/>
      <c r="U452" s="77"/>
      <c r="V452" s="78"/>
      <c r="W452" s="79"/>
      <c r="X452" s="78"/>
      <c r="Y452" s="78"/>
      <c r="Z452" s="78"/>
      <c r="AA452">
        <f>IF(COUNTIF('Call Queue'!$H$6:$H$20,V452)&gt;0,0,IF(AND(ISNUMBER(N452),N452&gt;0),10000000+N452,IF(ISNUMBER(N452*1),IF(N452*1&gt;0,10000000+N452*1,0),0))+IF(ISNUMBER(SEARCH("(",L452)),1000000+IFERROR(VALUE(SUBSTITUTE(SUBSTITUTE(SUBSTITUTE(MID(L452,SEARCH("(",L452)+1,SEARCH(")",L452)-SEARCH("(",L452)-1),"$",""),",","")," ","")),0),0))</f>
        <v>0</v>
      </c>
    </row>
    <row r="453" spans="1:27">
      <c r="A453" s="76">
        <v>45905</v>
      </c>
      <c r="B453" s="77" t="s">
        <v>1808</v>
      </c>
      <c r="C453" s="77" t="s">
        <v>1809</v>
      </c>
      <c r="D453" s="77" t="s">
        <v>125</v>
      </c>
      <c r="E453" s="77">
        <v>85255</v>
      </c>
      <c r="F453" s="77" t="s">
        <v>31</v>
      </c>
      <c r="G453" s="77" t="s">
        <v>1723</v>
      </c>
      <c r="H453" s="77">
        <v>5214610000</v>
      </c>
      <c r="I453" s="77" t="s">
        <v>36</v>
      </c>
      <c r="J453" s="77" t="s">
        <v>37</v>
      </c>
      <c r="K453" s="77" t="s">
        <v>37</v>
      </c>
      <c r="L453" s="77" t="s">
        <v>38</v>
      </c>
      <c r="M453" s="77" t="s">
        <v>37</v>
      </c>
      <c r="N453" s="77" t="s">
        <v>37</v>
      </c>
      <c r="O453" s="77" t="s">
        <v>38</v>
      </c>
      <c r="P453" s="77" t="s">
        <v>39</v>
      </c>
      <c r="Q453" s="76">
        <v>45966</v>
      </c>
      <c r="R453" s="77"/>
      <c r="S453" s="77"/>
      <c r="T453" s="77"/>
      <c r="U453" s="77"/>
      <c r="V453" s="78"/>
      <c r="W453" s="79"/>
      <c r="X453" s="78"/>
      <c r="Y453" s="78"/>
      <c r="Z453" s="78"/>
      <c r="AA453">
        <f>IF(COUNTIF('Call Queue'!$H$6:$H$20,V453)&gt;0,0,IF(AND(ISNUMBER(N453),N453&gt;0),10000000+N453,IF(ISNUMBER(N453*1),IF(N453*1&gt;0,10000000+N453*1,0),0))+IF(ISNUMBER(SEARCH("(",L453)),1000000+IFERROR(VALUE(SUBSTITUTE(SUBSTITUTE(SUBSTITUTE(MID(L453,SEARCH("(",L453)+1,SEARCH(")",L453)-SEARCH("(",L453)-1),"$",""),",","")," ","")),0),0))</f>
        <v>0</v>
      </c>
    </row>
    <row r="454" spans="1:27">
      <c r="A454" s="76">
        <v>45905</v>
      </c>
      <c r="B454" s="77" t="s">
        <v>1812</v>
      </c>
      <c r="C454" s="77" t="s">
        <v>1813</v>
      </c>
      <c r="D454" s="77" t="s">
        <v>63</v>
      </c>
      <c r="E454" s="77">
        <v>85018</v>
      </c>
      <c r="F454" s="77" t="s">
        <v>310</v>
      </c>
      <c r="G454" s="77" t="s">
        <v>1723</v>
      </c>
      <c r="H454" s="77">
        <v>9294235852</v>
      </c>
      <c r="I454" s="77" t="s">
        <v>36</v>
      </c>
      <c r="J454" s="77" t="s">
        <v>37</v>
      </c>
      <c r="K454" s="77" t="s">
        <v>37</v>
      </c>
      <c r="L454" s="77" t="s">
        <v>38</v>
      </c>
      <c r="M454" s="77" t="s">
        <v>37</v>
      </c>
      <c r="N454" s="77" t="s">
        <v>37</v>
      </c>
      <c r="O454" s="77" t="s">
        <v>38</v>
      </c>
      <c r="P454" s="77" t="s">
        <v>39</v>
      </c>
      <c r="Q454" s="76">
        <v>45966</v>
      </c>
      <c r="R454" s="77"/>
      <c r="S454" s="77"/>
      <c r="T454" s="77"/>
      <c r="U454" s="77"/>
      <c r="V454" s="78"/>
      <c r="W454" s="79"/>
      <c r="X454" s="78"/>
      <c r="Y454" s="78"/>
      <c r="Z454" s="78"/>
      <c r="AA454">
        <f>IF(COUNTIF('Call Queue'!$H$6:$H$20,V454)&gt;0,0,IF(AND(ISNUMBER(N454),N454&gt;0),10000000+N454,IF(ISNUMBER(N454*1),IF(N454*1&gt;0,10000000+N454*1,0),0))+IF(ISNUMBER(SEARCH("(",L454)),1000000+IFERROR(VALUE(SUBSTITUTE(SUBSTITUTE(SUBSTITUTE(MID(L454,SEARCH("(",L454)+1,SEARCH(")",L454)-SEARCH("(",L454)-1),"$",""),",","")," ","")),0),0))</f>
        <v>0</v>
      </c>
    </row>
    <row r="455" spans="1:27">
      <c r="A455" s="76">
        <v>45905</v>
      </c>
      <c r="B455" s="77" t="s">
        <v>358</v>
      </c>
      <c r="C455" s="77" t="s">
        <v>1815</v>
      </c>
      <c r="D455" s="77" t="s">
        <v>63</v>
      </c>
      <c r="E455" s="77">
        <v>85007</v>
      </c>
      <c r="F455" s="77" t="s">
        <v>310</v>
      </c>
      <c r="G455" s="77" t="s">
        <v>1723</v>
      </c>
      <c r="H455" s="77">
        <v>9660984623</v>
      </c>
      <c r="I455" s="77" t="s">
        <v>196</v>
      </c>
      <c r="J455" s="77" t="s">
        <v>37</v>
      </c>
      <c r="K455" s="77" t="s">
        <v>37</v>
      </c>
      <c r="L455" s="77" t="s">
        <v>1817</v>
      </c>
      <c r="M455" s="77" t="s">
        <v>37</v>
      </c>
      <c r="N455" s="77" t="s">
        <v>37</v>
      </c>
      <c r="O455" s="77" t="s">
        <v>38</v>
      </c>
      <c r="P455" s="77" t="s">
        <v>39</v>
      </c>
      <c r="Q455" s="76">
        <v>45966</v>
      </c>
      <c r="R455" s="77"/>
      <c r="S455" s="77"/>
      <c r="T455" s="77"/>
      <c r="U455" s="77"/>
      <c r="V455" s="78" t="s">
        <v>117</v>
      </c>
      <c r="W455" s="79">
        <v>46053</v>
      </c>
      <c r="X455" s="78" t="s">
        <v>38</v>
      </c>
      <c r="Y455" s="78"/>
      <c r="Z455" s="78"/>
      <c r="AA455">
        <f>IF(COUNTIF('Call Queue'!$H$6:$H$20,V455)&gt;0,0,IF(AND(ISNUMBER(N455),N455&gt;0),10000000+N455,IF(ISNUMBER(N455*1),IF(N455*1&gt;0,10000000+N455*1,0),0))+IF(ISNUMBER(SEARCH("(",L455)),1000000+IFERROR(VALUE(SUBSTITUTE(SUBSTITUTE(SUBSTITUTE(MID(L455,SEARCH("(",L455)+1,SEARCH(")",L455)-SEARCH("(",L455)-1),"$",""),",","")," ","")),0),0))</f>
        <v>0</v>
      </c>
    </row>
    <row r="456" spans="1:27">
      <c r="A456" s="76">
        <v>45905</v>
      </c>
      <c r="B456" s="77" t="s">
        <v>1818</v>
      </c>
      <c r="C456" s="77" t="s">
        <v>1819</v>
      </c>
      <c r="D456" s="77" t="s">
        <v>619</v>
      </c>
      <c r="E456" s="77">
        <v>85365</v>
      </c>
      <c r="F456" s="77" t="s">
        <v>310</v>
      </c>
      <c r="G456" s="77" t="s">
        <v>1723</v>
      </c>
      <c r="H456" s="77">
        <v>887574779</v>
      </c>
      <c r="I456" s="77" t="s">
        <v>126</v>
      </c>
      <c r="J456" s="77" t="s">
        <v>37</v>
      </c>
      <c r="K456" s="77" t="s">
        <v>37</v>
      </c>
      <c r="L456" s="77" t="s">
        <v>38</v>
      </c>
      <c r="M456" s="77" t="s">
        <v>37</v>
      </c>
      <c r="N456" s="77" t="s">
        <v>37</v>
      </c>
      <c r="O456" s="77" t="s">
        <v>38</v>
      </c>
      <c r="P456" s="77" t="s">
        <v>39</v>
      </c>
      <c r="Q456" s="76">
        <v>45966</v>
      </c>
      <c r="R456" s="77"/>
      <c r="S456" s="77"/>
      <c r="T456" s="77"/>
      <c r="U456" s="77"/>
      <c r="V456" s="78"/>
      <c r="W456" s="79"/>
      <c r="X456" s="78"/>
      <c r="Y456" s="78"/>
      <c r="Z456" s="78"/>
      <c r="AA456">
        <f>IF(COUNTIF('Call Queue'!$H$6:$H$20,V456)&gt;0,0,IF(AND(ISNUMBER(N456),N456&gt;0),10000000+N456,IF(ISNUMBER(N456*1),IF(N456*1&gt;0,10000000+N456*1,0),0))+IF(ISNUMBER(SEARCH("(",L456)),1000000+IFERROR(VALUE(SUBSTITUTE(SUBSTITUTE(SUBSTITUTE(MID(L456,SEARCH("(",L456)+1,SEARCH(")",L456)-SEARCH("(",L456)-1),"$",""),",","")," ","")),0),0))</f>
        <v>0</v>
      </c>
    </row>
    <row r="457" spans="1:27">
      <c r="A457" s="76">
        <v>45905</v>
      </c>
      <c r="B457" s="77" t="s">
        <v>208</v>
      </c>
      <c r="C457" s="77" t="s">
        <v>1099</v>
      </c>
      <c r="D457" s="77" t="s">
        <v>264</v>
      </c>
      <c r="E457" s="77">
        <v>85541</v>
      </c>
      <c r="F457" s="77" t="s">
        <v>31</v>
      </c>
      <c r="G457" s="77" t="s">
        <v>1723</v>
      </c>
      <c r="H457" s="77">
        <v>5278430000</v>
      </c>
      <c r="I457" s="77" t="s">
        <v>196</v>
      </c>
      <c r="J457" s="77" t="s">
        <v>37</v>
      </c>
      <c r="K457" s="77" t="s">
        <v>37</v>
      </c>
      <c r="L457" s="77" t="s">
        <v>1822</v>
      </c>
      <c r="M457" s="77" t="s">
        <v>37</v>
      </c>
      <c r="N457" s="77" t="s">
        <v>37</v>
      </c>
      <c r="O457" s="77" t="s">
        <v>38</v>
      </c>
      <c r="P457" s="77" t="s">
        <v>39</v>
      </c>
      <c r="Q457" s="76">
        <v>45966</v>
      </c>
      <c r="R457" s="77"/>
      <c r="S457" s="77"/>
      <c r="T457" s="77"/>
      <c r="U457" s="77"/>
      <c r="V457" s="78" t="s">
        <v>117</v>
      </c>
      <c r="W457" s="79">
        <v>46053</v>
      </c>
      <c r="X457" s="78" t="s">
        <v>38</v>
      </c>
      <c r="Y457" s="78"/>
      <c r="Z457" s="78"/>
      <c r="AA457">
        <f>IF(COUNTIF('Call Queue'!$H$6:$H$20,V457)&gt;0,0,IF(AND(ISNUMBER(N457),N457&gt;0),10000000+N457,IF(ISNUMBER(N457*1),IF(N457*1&gt;0,10000000+N457*1,0),0))+IF(ISNUMBER(SEARCH("(",L457)),1000000+IFERROR(VALUE(SUBSTITUTE(SUBSTITUTE(SUBSTITUTE(MID(L457,SEARCH("(",L457)+1,SEARCH(")",L457)-SEARCH("(",L457)-1),"$",""),",","")," ","")),0),0))</f>
        <v>0</v>
      </c>
    </row>
    <row r="458" spans="1:27">
      <c r="A458" s="76">
        <v>45905</v>
      </c>
      <c r="B458" s="77" t="s">
        <v>1823</v>
      </c>
      <c r="C458" s="77" t="s">
        <v>1824</v>
      </c>
      <c r="D458" s="77" t="s">
        <v>63</v>
      </c>
      <c r="E458" s="77">
        <v>85028</v>
      </c>
      <c r="F458" s="77" t="s">
        <v>310</v>
      </c>
      <c r="G458" s="77" t="s">
        <v>1723</v>
      </c>
      <c r="H458" s="77">
        <v>3884451846</v>
      </c>
      <c r="I458" s="77" t="s">
        <v>541</v>
      </c>
      <c r="J458" s="77" t="s">
        <v>37</v>
      </c>
      <c r="K458" s="77" t="s">
        <v>37</v>
      </c>
      <c r="L458" s="77" t="s">
        <v>389</v>
      </c>
      <c r="M458" s="77" t="s">
        <v>37</v>
      </c>
      <c r="N458" s="77" t="s">
        <v>37</v>
      </c>
      <c r="O458" s="77" t="s">
        <v>38</v>
      </c>
      <c r="P458" s="77" t="s">
        <v>39</v>
      </c>
      <c r="Q458" s="76">
        <v>45966</v>
      </c>
      <c r="R458" s="77"/>
      <c r="S458" s="77"/>
      <c r="T458" s="77"/>
      <c r="U458" s="77"/>
      <c r="V458" s="78"/>
      <c r="W458" s="79"/>
      <c r="X458" s="78"/>
      <c r="Y458" s="78"/>
      <c r="Z458" s="78"/>
      <c r="AA458">
        <f>IF(COUNTIF('Call Queue'!$H$6:$H$20,V458)&gt;0,0,IF(AND(ISNUMBER(N458),N458&gt;0),10000000+N458,IF(ISNUMBER(N458*1),IF(N458*1&gt;0,10000000+N458*1,0),0))+IF(ISNUMBER(SEARCH("(",L458)),1000000+IFERROR(VALUE(SUBSTITUTE(SUBSTITUTE(SUBSTITUTE(MID(L458,SEARCH("(",L458)+1,SEARCH(")",L458)-SEARCH("(",L458)-1),"$",""),",","")," ","")),0),0))</f>
        <v>0</v>
      </c>
    </row>
    <row r="459" spans="1:27">
      <c r="A459" s="76">
        <v>45905</v>
      </c>
      <c r="B459" s="77" t="s">
        <v>1826</v>
      </c>
      <c r="C459" s="77" t="s">
        <v>920</v>
      </c>
      <c r="D459" s="77" t="s">
        <v>63</v>
      </c>
      <c r="E459" s="77">
        <v>85083</v>
      </c>
      <c r="F459" s="77" t="s">
        <v>310</v>
      </c>
      <c r="G459" s="77" t="s">
        <v>1723</v>
      </c>
      <c r="H459" s="77">
        <v>9575044862</v>
      </c>
      <c r="I459" s="77" t="s">
        <v>57</v>
      </c>
      <c r="J459" s="77" t="s">
        <v>37</v>
      </c>
      <c r="K459" s="77" t="s">
        <v>37</v>
      </c>
      <c r="L459" s="77" t="s">
        <v>38</v>
      </c>
      <c r="M459" s="77" t="s">
        <v>37</v>
      </c>
      <c r="N459" s="77" t="s">
        <v>37</v>
      </c>
      <c r="O459" s="77" t="s">
        <v>38</v>
      </c>
      <c r="P459" s="77" t="s">
        <v>39</v>
      </c>
      <c r="Q459" s="76">
        <v>45966</v>
      </c>
      <c r="R459" s="77"/>
      <c r="S459" s="77"/>
      <c r="T459" s="77"/>
      <c r="U459" s="77"/>
      <c r="V459" s="78"/>
      <c r="W459" s="79"/>
      <c r="X459" s="78"/>
      <c r="Y459" s="78"/>
      <c r="Z459" s="78"/>
      <c r="AA459">
        <f>IF(COUNTIF('Call Queue'!$H$6:$H$20,V459)&gt;0,0,IF(AND(ISNUMBER(N459),N459&gt;0),10000000+N459,IF(ISNUMBER(N459*1),IF(N459*1&gt;0,10000000+N459*1,0),0))+IF(ISNUMBER(SEARCH("(",L459)),1000000+IFERROR(VALUE(SUBSTITUTE(SUBSTITUTE(SUBSTITUTE(MID(L459,SEARCH("(",L459)+1,SEARCH(")",L459)-SEARCH("(",L459)-1),"$",""),",","")," ","")),0),0))</f>
        <v>0</v>
      </c>
    </row>
    <row r="460" spans="1:27">
      <c r="A460" s="76">
        <v>45905</v>
      </c>
      <c r="B460" s="77" t="s">
        <v>1828</v>
      </c>
      <c r="C460" s="77" t="s">
        <v>1829</v>
      </c>
      <c r="D460" s="77" t="s">
        <v>63</v>
      </c>
      <c r="E460" s="77">
        <v>85032</v>
      </c>
      <c r="F460" s="77" t="s">
        <v>31</v>
      </c>
      <c r="G460" s="77" t="s">
        <v>1723</v>
      </c>
      <c r="H460" s="77" t="s">
        <v>1830</v>
      </c>
      <c r="I460" s="77" t="s">
        <v>126</v>
      </c>
      <c r="J460" s="77" t="s">
        <v>37</v>
      </c>
      <c r="K460" s="77" t="s">
        <v>37</v>
      </c>
      <c r="L460" s="77" t="s">
        <v>38</v>
      </c>
      <c r="M460" s="77" t="s">
        <v>37</v>
      </c>
      <c r="N460" s="77" t="s">
        <v>37</v>
      </c>
      <c r="O460" s="77" t="s">
        <v>38</v>
      </c>
      <c r="P460" s="77" t="s">
        <v>39</v>
      </c>
      <c r="Q460" s="76">
        <v>45966</v>
      </c>
      <c r="R460" s="77"/>
      <c r="S460" s="77"/>
      <c r="T460" s="77"/>
      <c r="U460" s="77"/>
      <c r="V460" s="78"/>
      <c r="W460" s="79"/>
      <c r="X460" s="78"/>
      <c r="Y460" s="78"/>
      <c r="Z460" s="78"/>
      <c r="AA460">
        <f>IF(COUNTIF('Call Queue'!$H$6:$H$20,V460)&gt;0,0,IF(AND(ISNUMBER(N460),N460&gt;0),10000000+N460,IF(ISNUMBER(N460*1),IF(N460*1&gt;0,10000000+N460*1,0),0))+IF(ISNUMBER(SEARCH("(",L460)),1000000+IFERROR(VALUE(SUBSTITUTE(SUBSTITUTE(SUBSTITUTE(MID(L460,SEARCH("(",L460)+1,SEARCH(")",L460)-SEARCH("(",L460)-1),"$",""),",","")," ","")),0),0))</f>
        <v>0</v>
      </c>
    </row>
    <row r="461" spans="1:27">
      <c r="A461" s="76">
        <v>45905</v>
      </c>
      <c r="B461" s="77" t="s">
        <v>1831</v>
      </c>
      <c r="C461" s="77" t="s">
        <v>1832</v>
      </c>
      <c r="D461" s="77" t="s">
        <v>169</v>
      </c>
      <c r="E461" s="77">
        <v>85395</v>
      </c>
      <c r="F461" s="77" t="s">
        <v>31</v>
      </c>
      <c r="G461" s="77" t="s">
        <v>1723</v>
      </c>
      <c r="H461" s="77" t="s">
        <v>1833</v>
      </c>
      <c r="I461" s="77" t="s">
        <v>418</v>
      </c>
      <c r="J461" s="77" t="s">
        <v>37</v>
      </c>
      <c r="K461" s="77" t="s">
        <v>37</v>
      </c>
      <c r="L461" s="77" t="s">
        <v>389</v>
      </c>
      <c r="M461" s="77" t="s">
        <v>37</v>
      </c>
      <c r="N461" s="77" t="s">
        <v>37</v>
      </c>
      <c r="O461" s="77" t="s">
        <v>38</v>
      </c>
      <c r="P461" s="77" t="s">
        <v>39</v>
      </c>
      <c r="Q461" s="76">
        <v>45966</v>
      </c>
      <c r="R461" s="77"/>
      <c r="S461" s="77"/>
      <c r="T461" s="77"/>
      <c r="U461" s="77"/>
      <c r="V461" s="78"/>
      <c r="W461" s="79"/>
      <c r="X461" s="78"/>
      <c r="Y461" s="78"/>
      <c r="Z461" s="78"/>
      <c r="AA461">
        <f>IF(COUNTIF('Call Queue'!$H$6:$H$20,V461)&gt;0,0,IF(AND(ISNUMBER(N461),N461&gt;0),10000000+N461,IF(ISNUMBER(N461*1),IF(N461*1&gt;0,10000000+N461*1,0),0))+IF(ISNUMBER(SEARCH("(",L461)),1000000+IFERROR(VALUE(SUBSTITUTE(SUBSTITUTE(SUBSTITUTE(MID(L461,SEARCH("(",L461)+1,SEARCH(")",L461)-SEARCH("(",L461)-1),"$",""),",","")," ","")),0),0))</f>
        <v>0</v>
      </c>
    </row>
    <row r="462" spans="1:27">
      <c r="A462" s="76">
        <v>45905</v>
      </c>
      <c r="B462" s="77" t="s">
        <v>1834</v>
      </c>
      <c r="C462" s="77" t="s">
        <v>780</v>
      </c>
      <c r="D462" s="77" t="s">
        <v>370</v>
      </c>
      <c r="E462" s="77">
        <v>85225</v>
      </c>
      <c r="F462" s="77" t="s">
        <v>310</v>
      </c>
      <c r="G462" s="77" t="s">
        <v>1723</v>
      </c>
      <c r="H462" s="77">
        <v>5622315139</v>
      </c>
      <c r="I462" s="77" t="s">
        <v>73</v>
      </c>
      <c r="J462" s="77" t="s">
        <v>37</v>
      </c>
      <c r="K462" s="77" t="s">
        <v>37</v>
      </c>
      <c r="L462" s="77" t="s">
        <v>38</v>
      </c>
      <c r="M462" s="77" t="s">
        <v>37</v>
      </c>
      <c r="N462" s="77" t="s">
        <v>37</v>
      </c>
      <c r="O462" s="77" t="s">
        <v>38</v>
      </c>
      <c r="P462" s="77" t="s">
        <v>39</v>
      </c>
      <c r="Q462" s="76">
        <v>45966</v>
      </c>
      <c r="R462" s="77"/>
      <c r="S462" s="77"/>
      <c r="T462" s="77"/>
      <c r="U462" s="77"/>
      <c r="V462" s="78"/>
      <c r="W462" s="79"/>
      <c r="X462" s="78"/>
      <c r="Y462" s="78"/>
      <c r="Z462" s="78"/>
      <c r="AA462">
        <f>IF(COUNTIF('Call Queue'!$H$6:$H$20,V462)&gt;0,0,IF(AND(ISNUMBER(N462),N462&gt;0),10000000+N462,IF(ISNUMBER(N462*1),IF(N462*1&gt;0,10000000+N462*1,0),0))+IF(ISNUMBER(SEARCH("(",L462)),1000000+IFERROR(VALUE(SUBSTITUTE(SUBSTITUTE(SUBSTITUTE(MID(L462,SEARCH("(",L462)+1,SEARCH(")",L462)-SEARCH("(",L462)-1),"$",""),",","")," ","")),0),0))</f>
        <v>0</v>
      </c>
    </row>
    <row r="463" spans="1:27">
      <c r="A463" s="76">
        <v>45905</v>
      </c>
      <c r="B463" s="77" t="s">
        <v>1836</v>
      </c>
      <c r="C463" s="77" t="s">
        <v>75</v>
      </c>
      <c r="D463" s="77" t="s">
        <v>539</v>
      </c>
      <c r="E463" s="77">
        <v>85194</v>
      </c>
      <c r="F463" s="77" t="s">
        <v>25</v>
      </c>
      <c r="G463" s="77" t="s">
        <v>1723</v>
      </c>
      <c r="H463" s="77">
        <v>6031103650</v>
      </c>
      <c r="I463" s="77" t="s">
        <v>36</v>
      </c>
      <c r="J463" s="77" t="s">
        <v>37</v>
      </c>
      <c r="K463" s="77" t="s">
        <v>37</v>
      </c>
      <c r="L463" s="77" t="s">
        <v>38</v>
      </c>
      <c r="M463" s="77" t="s">
        <v>37</v>
      </c>
      <c r="N463" s="77" t="s">
        <v>37</v>
      </c>
      <c r="O463" s="77" t="s">
        <v>38</v>
      </c>
      <c r="P463" s="77" t="s">
        <v>39</v>
      </c>
      <c r="Q463" s="76">
        <v>45966</v>
      </c>
      <c r="R463" s="77"/>
      <c r="S463" s="77"/>
      <c r="T463" s="77"/>
      <c r="U463" s="77"/>
      <c r="V463" s="78"/>
      <c r="W463" s="79"/>
      <c r="X463" s="78"/>
      <c r="Y463" s="78"/>
      <c r="Z463" s="78"/>
      <c r="AA463">
        <f>IF(COUNTIF('Call Queue'!$H$6:$H$20,V463)&gt;0,0,IF(AND(ISNUMBER(N463),N463&gt;0),10000000+N463,IF(ISNUMBER(N463*1),IF(N463*1&gt;0,10000000+N463*1,0),0))+IF(ISNUMBER(SEARCH("(",L463)),1000000+IFERROR(VALUE(SUBSTITUTE(SUBSTITUTE(SUBSTITUTE(MID(L463,SEARCH("(",L463)+1,SEARCH(")",L463)-SEARCH("(",L463)-1),"$",""),",","")," ","")),0),0))</f>
        <v>0</v>
      </c>
    </row>
    <row r="464" spans="1:27">
      <c r="A464" s="76">
        <v>45905</v>
      </c>
      <c r="B464" s="77" t="s">
        <v>1839</v>
      </c>
      <c r="C464" s="77" t="s">
        <v>1840</v>
      </c>
      <c r="D464" s="77" t="s">
        <v>63</v>
      </c>
      <c r="E464" s="77">
        <v>85024</v>
      </c>
      <c r="F464" s="77" t="s">
        <v>1841</v>
      </c>
      <c r="G464" s="77" t="s">
        <v>1723</v>
      </c>
      <c r="H464" s="77">
        <v>7532070000</v>
      </c>
      <c r="I464" s="77" t="s">
        <v>36</v>
      </c>
      <c r="J464" s="77" t="s">
        <v>37</v>
      </c>
      <c r="K464" s="77" t="s">
        <v>37</v>
      </c>
      <c r="L464" s="77" t="s">
        <v>38</v>
      </c>
      <c r="M464" s="77" t="s">
        <v>37</v>
      </c>
      <c r="N464" s="77" t="s">
        <v>37</v>
      </c>
      <c r="O464" s="77" t="s">
        <v>38</v>
      </c>
      <c r="P464" s="77" t="s">
        <v>39</v>
      </c>
      <c r="Q464" s="76">
        <v>45966</v>
      </c>
      <c r="R464" s="77"/>
      <c r="S464" s="77"/>
      <c r="T464" s="77"/>
      <c r="U464" s="77"/>
      <c r="V464" s="78"/>
      <c r="W464" s="79"/>
      <c r="X464" s="78"/>
      <c r="Y464" s="78"/>
      <c r="Z464" s="78"/>
      <c r="AA464">
        <f>IF(COUNTIF('Call Queue'!$H$6:$H$20,V464)&gt;0,0,IF(AND(ISNUMBER(N464),N464&gt;0),10000000+N464,IF(ISNUMBER(N464*1),IF(N464*1&gt;0,10000000+N464*1,0),0))+IF(ISNUMBER(SEARCH("(",L464)),1000000+IFERROR(VALUE(SUBSTITUTE(SUBSTITUTE(SUBSTITUTE(MID(L464,SEARCH("(",L464)+1,SEARCH(")",L464)-SEARCH("(",L464)-1),"$",""),",","")," ","")),0),0))</f>
        <v>0</v>
      </c>
    </row>
    <row r="465" spans="1:27">
      <c r="A465" s="76">
        <v>45905</v>
      </c>
      <c r="B465" s="77" t="s">
        <v>1846</v>
      </c>
      <c r="C465" s="77" t="s">
        <v>1847</v>
      </c>
      <c r="D465" s="77" t="s">
        <v>63</v>
      </c>
      <c r="E465" s="77">
        <v>85022</v>
      </c>
      <c r="F465" s="77" t="s">
        <v>310</v>
      </c>
      <c r="G465" s="77" t="s">
        <v>1723</v>
      </c>
      <c r="H465" s="77">
        <v>5526300000</v>
      </c>
      <c r="I465" s="77" t="s">
        <v>36</v>
      </c>
      <c r="J465" s="77" t="s">
        <v>37</v>
      </c>
      <c r="K465" s="77" t="s">
        <v>37</v>
      </c>
      <c r="L465" s="77" t="s">
        <v>38</v>
      </c>
      <c r="M465" s="77" t="s">
        <v>37</v>
      </c>
      <c r="N465" s="77" t="s">
        <v>37</v>
      </c>
      <c r="O465" s="77" t="s">
        <v>38</v>
      </c>
      <c r="P465" s="77" t="s">
        <v>39</v>
      </c>
      <c r="Q465" s="76">
        <v>45966</v>
      </c>
      <c r="R465" s="77"/>
      <c r="S465" s="77"/>
      <c r="T465" s="77"/>
      <c r="U465" s="77"/>
      <c r="V465" s="78"/>
      <c r="W465" s="79"/>
      <c r="X465" s="78"/>
      <c r="Y465" s="78"/>
      <c r="Z465" s="78"/>
      <c r="AA465">
        <f>IF(COUNTIF('Call Queue'!$H$6:$H$20,V465)&gt;0,0,IF(AND(ISNUMBER(N465),N465&gt;0),10000000+N465,IF(ISNUMBER(N465*1),IF(N465*1&gt;0,10000000+N465*1,0),0))+IF(ISNUMBER(SEARCH("(",L465)),1000000+IFERROR(VALUE(SUBSTITUTE(SUBSTITUTE(SUBSTITUTE(MID(L465,SEARCH("(",L465)+1,SEARCH(")",L465)-SEARCH("(",L465)-1),"$",""),",","")," ","")),0),0))</f>
        <v>0</v>
      </c>
    </row>
    <row r="466" spans="1:27">
      <c r="A466" s="76">
        <v>45905</v>
      </c>
      <c r="B466" s="77" t="s">
        <v>1849</v>
      </c>
      <c r="C466" s="77" t="s">
        <v>1850</v>
      </c>
      <c r="D466" s="77" t="s">
        <v>202</v>
      </c>
      <c r="E466" s="77">
        <v>85383</v>
      </c>
      <c r="F466" s="77" t="s">
        <v>310</v>
      </c>
      <c r="G466" s="77" t="s">
        <v>1723</v>
      </c>
      <c r="H466" s="77">
        <v>8251801000</v>
      </c>
      <c r="I466" s="77" t="s">
        <v>196</v>
      </c>
      <c r="J466" s="77" t="s">
        <v>37</v>
      </c>
      <c r="K466" s="77" t="s">
        <v>37</v>
      </c>
      <c r="L466" s="77" t="s">
        <v>38</v>
      </c>
      <c r="M466" s="77" t="s">
        <v>37</v>
      </c>
      <c r="N466" s="77" t="s">
        <v>37</v>
      </c>
      <c r="O466" s="77" t="s">
        <v>38</v>
      </c>
      <c r="P466" s="77" t="s">
        <v>39</v>
      </c>
      <c r="Q466" s="76">
        <v>45966</v>
      </c>
      <c r="R466" s="77"/>
      <c r="S466" s="77"/>
      <c r="T466" s="77"/>
      <c r="U466" s="77"/>
      <c r="V466" s="78"/>
      <c r="W466" s="79"/>
      <c r="X466" s="78"/>
      <c r="Y466" s="78"/>
      <c r="Z466" s="78"/>
      <c r="AA466">
        <f>IF(COUNTIF('Call Queue'!$H$6:$H$20,V466)&gt;0,0,IF(AND(ISNUMBER(N466),N466&gt;0),10000000+N466,IF(ISNUMBER(N466*1),IF(N466*1&gt;0,10000000+N466*1,0),0))+IF(ISNUMBER(SEARCH("(",L466)),1000000+IFERROR(VALUE(SUBSTITUTE(SUBSTITUTE(SUBSTITUTE(MID(L466,SEARCH("(",L466)+1,SEARCH(")",L466)-SEARCH("(",L466)-1),"$",""),",","")," ","")),0),0))</f>
        <v>0</v>
      </c>
    </row>
    <row r="467" spans="1:27">
      <c r="A467" s="76">
        <v>45905</v>
      </c>
      <c r="B467" s="77" t="s">
        <v>1136</v>
      </c>
      <c r="C467" s="77" t="s">
        <v>1852</v>
      </c>
      <c r="D467" s="77" t="s">
        <v>63</v>
      </c>
      <c r="E467" s="77">
        <v>85007</v>
      </c>
      <c r="F467" s="77" t="s">
        <v>310</v>
      </c>
      <c r="G467" s="77" t="s">
        <v>1723</v>
      </c>
      <c r="H467" s="77">
        <v>3135361000</v>
      </c>
      <c r="I467" s="77" t="s">
        <v>36</v>
      </c>
      <c r="J467" s="77" t="s">
        <v>37</v>
      </c>
      <c r="K467" s="77" t="s">
        <v>37</v>
      </c>
      <c r="L467" s="77" t="s">
        <v>38</v>
      </c>
      <c r="M467" s="77" t="s">
        <v>37</v>
      </c>
      <c r="N467" s="77" t="s">
        <v>37</v>
      </c>
      <c r="O467" s="77" t="s">
        <v>38</v>
      </c>
      <c r="P467" s="77" t="s">
        <v>39</v>
      </c>
      <c r="Q467" s="76">
        <v>45966</v>
      </c>
      <c r="R467" s="77"/>
      <c r="S467" s="77"/>
      <c r="T467" s="77"/>
      <c r="U467" s="77"/>
      <c r="V467" s="78"/>
      <c r="W467" s="79"/>
      <c r="X467" s="78"/>
      <c r="Y467" s="78"/>
      <c r="Z467" s="78"/>
      <c r="AA467">
        <f>IF(COUNTIF('Call Queue'!$H$6:$H$20,V467)&gt;0,0,IF(AND(ISNUMBER(N467),N467&gt;0),10000000+N467,IF(ISNUMBER(N467*1),IF(N467*1&gt;0,10000000+N467*1,0),0))+IF(ISNUMBER(SEARCH("(",L467)),1000000+IFERROR(VALUE(SUBSTITUTE(SUBSTITUTE(SUBSTITUTE(MID(L467,SEARCH("(",L467)+1,SEARCH(")",L467)-SEARCH("(",L467)-1),"$",""),",","")," ","")),0),0))</f>
        <v>0</v>
      </c>
    </row>
    <row r="468" spans="1:27">
      <c r="A468" s="76">
        <v>45905</v>
      </c>
      <c r="B468" s="77" t="s">
        <v>1854</v>
      </c>
      <c r="C468" s="77" t="s">
        <v>1855</v>
      </c>
      <c r="D468" s="77" t="s">
        <v>112</v>
      </c>
      <c r="E468" s="77">
        <v>85379</v>
      </c>
      <c r="F468" s="77" t="s">
        <v>310</v>
      </c>
      <c r="G468" s="77" t="s">
        <v>1723</v>
      </c>
      <c r="H468" s="77">
        <v>5579377804</v>
      </c>
      <c r="I468" s="77" t="s">
        <v>196</v>
      </c>
      <c r="J468" s="77" t="s">
        <v>37</v>
      </c>
      <c r="K468" s="77" t="s">
        <v>37</v>
      </c>
      <c r="L468" s="77" t="s">
        <v>38</v>
      </c>
      <c r="M468" s="77" t="s">
        <v>38</v>
      </c>
      <c r="N468" s="77">
        <v>436.03</v>
      </c>
      <c r="O468" s="77" t="s">
        <v>38</v>
      </c>
      <c r="P468" s="77" t="s">
        <v>39</v>
      </c>
      <c r="Q468" s="76">
        <v>45966</v>
      </c>
      <c r="R468" s="77"/>
      <c r="S468" s="77"/>
      <c r="T468" s="77"/>
      <c r="U468" s="77"/>
      <c r="V468" s="78" t="s">
        <v>117</v>
      </c>
      <c r="W468" s="79">
        <v>45997</v>
      </c>
      <c r="X468" s="78" t="s">
        <v>38</v>
      </c>
      <c r="Y468" s="78"/>
      <c r="Z468" s="78" t="s">
        <v>5434</v>
      </c>
      <c r="AA468">
        <f>IF(COUNTIF('Call Queue'!$H$6:$H$20,V468)&gt;0,0,IF(AND(ISNUMBER(N468),N468&gt;0),10000000+N468,IF(ISNUMBER(N468*1),IF(N468*1&gt;0,10000000+N468*1,0),0))+IF(ISNUMBER(SEARCH("(",L468)),1000000+IFERROR(VALUE(SUBSTITUTE(SUBSTITUTE(SUBSTITUTE(MID(L468,SEARCH("(",L468)+1,SEARCH(")",L468)-SEARCH("(",L468)-1),"$",""),",","")," ","")),0),0))</f>
        <v>0</v>
      </c>
    </row>
    <row r="469" spans="1:27">
      <c r="A469" s="76">
        <v>45905</v>
      </c>
      <c r="B469" s="77" t="s">
        <v>1857</v>
      </c>
      <c r="C469" s="77" t="s">
        <v>211</v>
      </c>
      <c r="D469" s="77" t="s">
        <v>169</v>
      </c>
      <c r="E469" s="77">
        <v>85395</v>
      </c>
      <c r="F469" s="77" t="s">
        <v>31</v>
      </c>
      <c r="G469" s="77" t="s">
        <v>1723</v>
      </c>
      <c r="H469" s="77">
        <v>869170000</v>
      </c>
      <c r="I469" s="77" t="s">
        <v>36</v>
      </c>
      <c r="J469" s="77" t="s">
        <v>37</v>
      </c>
      <c r="K469" s="77" t="s">
        <v>37</v>
      </c>
      <c r="L469" s="77" t="s">
        <v>38</v>
      </c>
      <c r="M469" s="77" t="s">
        <v>37</v>
      </c>
      <c r="N469" s="77" t="s">
        <v>37</v>
      </c>
      <c r="O469" s="77" t="s">
        <v>38</v>
      </c>
      <c r="P469" s="77" t="s">
        <v>39</v>
      </c>
      <c r="Q469" s="76">
        <v>45966</v>
      </c>
      <c r="R469" s="77"/>
      <c r="S469" s="77"/>
      <c r="T469" s="77"/>
      <c r="U469" s="77"/>
      <c r="V469" s="78"/>
      <c r="W469" s="79"/>
      <c r="X469" s="78"/>
      <c r="Y469" s="78"/>
      <c r="Z469" s="78"/>
      <c r="AA469">
        <f>IF(COUNTIF('Call Queue'!$H$6:$H$20,V469)&gt;0,0,IF(AND(ISNUMBER(N469),N469&gt;0),10000000+N469,IF(ISNUMBER(N469*1),IF(N469*1&gt;0,10000000+N469*1,0),0))+IF(ISNUMBER(SEARCH("(",L469)),1000000+IFERROR(VALUE(SUBSTITUTE(SUBSTITUTE(SUBSTITUTE(MID(L469,SEARCH("(",L469)+1,SEARCH(")",L469)-SEARCH("(",L469)-1),"$",""),",","")," ","")),0),0))</f>
        <v>0</v>
      </c>
    </row>
    <row r="470" spans="1:27">
      <c r="A470" s="76">
        <v>45905</v>
      </c>
      <c r="B470" s="77" t="s">
        <v>1859</v>
      </c>
      <c r="C470" s="77" t="s">
        <v>550</v>
      </c>
      <c r="D470" s="77" t="s">
        <v>635</v>
      </c>
      <c r="E470" s="77">
        <v>85288</v>
      </c>
      <c r="F470" s="77" t="s">
        <v>310</v>
      </c>
      <c r="G470" s="77" t="s">
        <v>1723</v>
      </c>
      <c r="H470" s="77">
        <v>4875496471</v>
      </c>
      <c r="I470" s="77" t="s">
        <v>73</v>
      </c>
      <c r="J470" s="77" t="s">
        <v>37</v>
      </c>
      <c r="K470" s="77" t="s">
        <v>37</v>
      </c>
      <c r="L470" s="77" t="s">
        <v>38</v>
      </c>
      <c r="M470" s="77" t="s">
        <v>37</v>
      </c>
      <c r="N470" s="77" t="s">
        <v>37</v>
      </c>
      <c r="O470" s="77" t="s">
        <v>38</v>
      </c>
      <c r="P470" s="77" t="s">
        <v>39</v>
      </c>
      <c r="Q470" s="76">
        <v>45966</v>
      </c>
      <c r="R470" s="77"/>
      <c r="S470" s="77"/>
      <c r="T470" s="77"/>
      <c r="U470" s="77"/>
      <c r="V470" s="78"/>
      <c r="W470" s="79"/>
      <c r="X470" s="78"/>
      <c r="Y470" s="78"/>
      <c r="Z470" s="78"/>
      <c r="AA470">
        <f>IF(COUNTIF('Call Queue'!$H$6:$H$20,V470)&gt;0,0,IF(AND(ISNUMBER(N470),N470&gt;0),10000000+N470,IF(ISNUMBER(N470*1),IF(N470*1&gt;0,10000000+N470*1,0),0))+IF(ISNUMBER(SEARCH("(",L470)),1000000+IFERROR(VALUE(SUBSTITUTE(SUBSTITUTE(SUBSTITUTE(MID(L470,SEARCH("(",L470)+1,SEARCH(")",L470)-SEARCH("(",L470)-1),"$",""),",","")," ","")),0),0))</f>
        <v>0</v>
      </c>
    </row>
    <row r="471" spans="1:27">
      <c r="A471" s="76">
        <v>45905</v>
      </c>
      <c r="B471" s="77" t="s">
        <v>1861</v>
      </c>
      <c r="C471" s="77" t="s">
        <v>1862</v>
      </c>
      <c r="D471" s="77" t="s">
        <v>63</v>
      </c>
      <c r="E471" s="77">
        <v>85053</v>
      </c>
      <c r="F471" s="77" t="s">
        <v>310</v>
      </c>
      <c r="G471" s="77" t="s">
        <v>1723</v>
      </c>
      <c r="H471" s="77">
        <v>4100903949</v>
      </c>
      <c r="I471" s="77" t="s">
        <v>73</v>
      </c>
      <c r="J471" s="77" t="s">
        <v>37</v>
      </c>
      <c r="K471" s="77" t="s">
        <v>37</v>
      </c>
      <c r="L471" s="77" t="s">
        <v>38</v>
      </c>
      <c r="M471" s="77" t="s">
        <v>37</v>
      </c>
      <c r="N471" s="77" t="s">
        <v>37</v>
      </c>
      <c r="O471" s="77" t="s">
        <v>38</v>
      </c>
      <c r="P471" s="77" t="s">
        <v>39</v>
      </c>
      <c r="Q471" s="76">
        <v>45966</v>
      </c>
      <c r="R471" s="77"/>
      <c r="S471" s="77"/>
      <c r="T471" s="77"/>
      <c r="U471" s="77"/>
      <c r="V471" s="78"/>
      <c r="W471" s="79"/>
      <c r="X471" s="78"/>
      <c r="Y471" s="78"/>
      <c r="Z471" s="78"/>
      <c r="AA471">
        <f>IF(COUNTIF('Call Queue'!$H$6:$H$20,V471)&gt;0,0,IF(AND(ISNUMBER(N471),N471&gt;0),10000000+N471,IF(ISNUMBER(N471*1),IF(N471*1&gt;0,10000000+N471*1,0),0))+IF(ISNUMBER(SEARCH("(",L471)),1000000+IFERROR(VALUE(SUBSTITUTE(SUBSTITUTE(SUBSTITUTE(MID(L471,SEARCH("(",L471)+1,SEARCH(")",L471)-SEARCH("(",L471)-1),"$",""),",","")," ","")),0),0))</f>
        <v>0</v>
      </c>
    </row>
    <row r="472" spans="1:27">
      <c r="A472" s="76">
        <v>45905</v>
      </c>
      <c r="B472" s="77" t="s">
        <v>1864</v>
      </c>
      <c r="C472" s="77" t="s">
        <v>1865</v>
      </c>
      <c r="D472" s="77" t="s">
        <v>737</v>
      </c>
      <c r="E472" s="77">
        <v>86326</v>
      </c>
      <c r="F472" s="77" t="s">
        <v>1866</v>
      </c>
      <c r="G472" s="77" t="s">
        <v>1723</v>
      </c>
      <c r="H472" s="77">
        <v>6747966884</v>
      </c>
      <c r="I472" s="77" t="s">
        <v>73</v>
      </c>
      <c r="J472" s="77" t="s">
        <v>38</v>
      </c>
      <c r="K472" s="77" t="s">
        <v>37</v>
      </c>
      <c r="L472" s="77" t="s">
        <v>38</v>
      </c>
      <c r="M472" s="77" t="s">
        <v>37</v>
      </c>
      <c r="N472" s="77" t="s">
        <v>37</v>
      </c>
      <c r="O472" s="77" t="s">
        <v>38</v>
      </c>
      <c r="P472" s="77" t="s">
        <v>39</v>
      </c>
      <c r="Q472" s="76">
        <v>45966</v>
      </c>
      <c r="R472" s="77"/>
      <c r="S472" s="77"/>
      <c r="T472" s="77"/>
      <c r="U472" s="77"/>
      <c r="V472" s="78"/>
      <c r="W472" s="79"/>
      <c r="X472" s="78"/>
      <c r="Y472" s="78"/>
      <c r="Z472" s="78"/>
      <c r="AA472">
        <f>IF(COUNTIF('Call Queue'!$H$6:$H$20,V472)&gt;0,0,IF(AND(ISNUMBER(N472),N472&gt;0),10000000+N472,IF(ISNUMBER(N472*1),IF(N472*1&gt;0,10000000+N472*1,0),0))+IF(ISNUMBER(SEARCH("(",L472)),1000000+IFERROR(VALUE(SUBSTITUTE(SUBSTITUTE(SUBSTITUTE(MID(L472,SEARCH("(",L472)+1,SEARCH(")",L472)-SEARCH("(",L472)-1),"$",""),",","")," ","")),0),0))</f>
        <v>0</v>
      </c>
    </row>
    <row r="473" spans="1:27">
      <c r="A473" s="76">
        <v>45905</v>
      </c>
      <c r="B473" s="77" t="s">
        <v>1583</v>
      </c>
      <c r="C473" s="77" t="s">
        <v>690</v>
      </c>
      <c r="D473" s="77" t="s">
        <v>169</v>
      </c>
      <c r="E473" s="77">
        <v>85338</v>
      </c>
      <c r="F473" s="77" t="s">
        <v>1871</v>
      </c>
      <c r="G473" s="77" t="s">
        <v>1723</v>
      </c>
      <c r="H473" s="77" t="s">
        <v>719</v>
      </c>
      <c r="I473" s="77" t="s">
        <v>1684</v>
      </c>
      <c r="J473" s="77" t="s">
        <v>37</v>
      </c>
      <c r="K473" s="77" t="s">
        <v>37</v>
      </c>
      <c r="L473" s="77" t="s">
        <v>389</v>
      </c>
      <c r="M473" s="77" t="s">
        <v>37</v>
      </c>
      <c r="N473" s="77" t="s">
        <v>37</v>
      </c>
      <c r="O473" s="77" t="s">
        <v>38</v>
      </c>
      <c r="P473" s="77" t="s">
        <v>39</v>
      </c>
      <c r="Q473" s="76">
        <v>45966</v>
      </c>
      <c r="R473" s="77"/>
      <c r="S473" s="77"/>
      <c r="T473" s="77"/>
      <c r="U473" s="77"/>
      <c r="V473" s="78"/>
      <c r="W473" s="79"/>
      <c r="X473" s="78"/>
      <c r="Y473" s="78"/>
      <c r="Z473" s="78"/>
      <c r="AA473">
        <f>IF(COUNTIF('Call Queue'!$H$6:$H$20,V473)&gt;0,0,IF(AND(ISNUMBER(N473),N473&gt;0),10000000+N473,IF(ISNUMBER(N473*1),IF(N473*1&gt;0,10000000+N473*1,0),0))+IF(ISNUMBER(SEARCH("(",L473)),1000000+IFERROR(VALUE(SUBSTITUTE(SUBSTITUTE(SUBSTITUTE(MID(L473,SEARCH("(",L473)+1,SEARCH(")",L473)-SEARCH("(",L473)-1),"$",""),",","")," ","")),0),0))</f>
        <v>0</v>
      </c>
    </row>
    <row r="474" spans="1:27">
      <c r="A474" s="76">
        <v>45905</v>
      </c>
      <c r="B474" s="77" t="s">
        <v>1872</v>
      </c>
      <c r="C474" s="77" t="s">
        <v>1873</v>
      </c>
      <c r="D474" s="77" t="s">
        <v>63</v>
      </c>
      <c r="E474" s="77">
        <v>85083</v>
      </c>
      <c r="F474" s="77" t="s">
        <v>310</v>
      </c>
      <c r="G474" s="77" t="s">
        <v>1723</v>
      </c>
      <c r="H474" s="77">
        <v>6940323949</v>
      </c>
      <c r="I474" s="77" t="s">
        <v>196</v>
      </c>
      <c r="J474" s="77" t="s">
        <v>37</v>
      </c>
      <c r="K474" s="77" t="s">
        <v>37</v>
      </c>
      <c r="L474" s="77" t="s">
        <v>1874</v>
      </c>
      <c r="M474" s="77" t="s">
        <v>37</v>
      </c>
      <c r="N474" s="77" t="s">
        <v>37</v>
      </c>
      <c r="O474" s="77" t="s">
        <v>38</v>
      </c>
      <c r="P474" s="77" t="s">
        <v>39</v>
      </c>
      <c r="Q474" s="76">
        <v>45966</v>
      </c>
      <c r="R474" s="77"/>
      <c r="S474" s="77"/>
      <c r="T474" s="77"/>
      <c r="U474" s="77"/>
      <c r="V474" s="78" t="s">
        <v>117</v>
      </c>
      <c r="W474" s="79">
        <v>46053</v>
      </c>
      <c r="X474" s="78" t="s">
        <v>38</v>
      </c>
      <c r="Y474" s="78"/>
      <c r="Z474" s="78"/>
      <c r="AA474">
        <f>IF(COUNTIF('Call Queue'!$H$6:$H$20,V474)&gt;0,0,IF(AND(ISNUMBER(N474),N474&gt;0),10000000+N474,IF(ISNUMBER(N474*1),IF(N474*1&gt;0,10000000+N474*1,0),0))+IF(ISNUMBER(SEARCH("(",L474)),1000000+IFERROR(VALUE(SUBSTITUTE(SUBSTITUTE(SUBSTITUTE(MID(L474,SEARCH("(",L474)+1,SEARCH(")",L474)-SEARCH("(",L474)-1),"$",""),",","")," ","")),0),0))</f>
        <v>0</v>
      </c>
    </row>
    <row r="475" spans="1:27">
      <c r="A475" s="76">
        <v>45905</v>
      </c>
      <c r="B475" s="77" t="s">
        <v>1875</v>
      </c>
      <c r="C475" s="77" t="s">
        <v>1876</v>
      </c>
      <c r="D475" s="77" t="s">
        <v>169</v>
      </c>
      <c r="E475" s="77">
        <v>85395</v>
      </c>
      <c r="F475" s="77" t="s">
        <v>1877</v>
      </c>
      <c r="G475" s="77" t="s">
        <v>1723</v>
      </c>
      <c r="H475" s="77">
        <v>9756846766</v>
      </c>
      <c r="I475" s="77" t="s">
        <v>1684</v>
      </c>
      <c r="J475" s="77" t="s">
        <v>37</v>
      </c>
      <c r="K475" s="77" t="s">
        <v>37</v>
      </c>
      <c r="L475" s="77" t="s">
        <v>38</v>
      </c>
      <c r="M475" s="77" t="s">
        <v>37</v>
      </c>
      <c r="N475" s="77" t="s">
        <v>37</v>
      </c>
      <c r="O475" s="77" t="s">
        <v>38</v>
      </c>
      <c r="P475" s="77" t="s">
        <v>39</v>
      </c>
      <c r="Q475" s="76">
        <v>45966</v>
      </c>
      <c r="R475" s="77"/>
      <c r="S475" s="77"/>
      <c r="T475" s="77"/>
      <c r="U475" s="77"/>
      <c r="V475" s="78"/>
      <c r="W475" s="79"/>
      <c r="X475" s="78"/>
      <c r="Y475" s="78"/>
      <c r="Z475" s="78"/>
      <c r="AA475">
        <f>IF(COUNTIF('Call Queue'!$H$6:$H$20,V475)&gt;0,0,IF(AND(ISNUMBER(N475),N475&gt;0),10000000+N475,IF(ISNUMBER(N475*1),IF(N475*1&gt;0,10000000+N475*1,0),0))+IF(ISNUMBER(SEARCH("(",L475)),1000000+IFERROR(VALUE(SUBSTITUTE(SUBSTITUTE(SUBSTITUTE(MID(L475,SEARCH("(",L475)+1,SEARCH(")",L475)-SEARCH("(",L475)-1),"$",""),",","")," ","")),0),0))</f>
        <v>0</v>
      </c>
    </row>
    <row r="476" spans="1:27">
      <c r="A476" s="76">
        <v>45905</v>
      </c>
      <c r="B476" s="77" t="s">
        <v>1879</v>
      </c>
      <c r="C476" s="77" t="s">
        <v>1310</v>
      </c>
      <c r="D476" s="77" t="s">
        <v>169</v>
      </c>
      <c r="E476" s="77">
        <v>85395</v>
      </c>
      <c r="F476" s="77" t="s">
        <v>31</v>
      </c>
      <c r="G476" s="77" t="s">
        <v>1723</v>
      </c>
      <c r="H476" s="77">
        <v>3718280000</v>
      </c>
      <c r="I476" s="77" t="s">
        <v>243</v>
      </c>
      <c r="J476" s="77" t="s">
        <v>37</v>
      </c>
      <c r="K476" s="77" t="s">
        <v>37</v>
      </c>
      <c r="L476" s="77" t="s">
        <v>389</v>
      </c>
      <c r="M476" s="77" t="s">
        <v>37</v>
      </c>
      <c r="N476" s="77" t="s">
        <v>37</v>
      </c>
      <c r="O476" s="77" t="s">
        <v>38</v>
      </c>
      <c r="P476" s="77" t="s">
        <v>39</v>
      </c>
      <c r="Q476" s="76">
        <v>45966</v>
      </c>
      <c r="R476" s="77"/>
      <c r="S476" s="77"/>
      <c r="T476" s="77"/>
      <c r="U476" s="77"/>
      <c r="V476" s="78"/>
      <c r="W476" s="79"/>
      <c r="X476" s="78"/>
      <c r="Y476" s="78"/>
      <c r="Z476" s="78"/>
      <c r="AA476">
        <f>IF(COUNTIF('Call Queue'!$H$6:$H$20,V476)&gt;0,0,IF(AND(ISNUMBER(N476),N476&gt;0),10000000+N476,IF(ISNUMBER(N476*1),IF(N476*1&gt;0,10000000+N476*1,0),0))+IF(ISNUMBER(SEARCH("(",L476)),1000000+IFERROR(VALUE(SUBSTITUTE(SUBSTITUTE(SUBSTITUTE(MID(L476,SEARCH("(",L476)+1,SEARCH(")",L476)-SEARCH("(",L476)-1),"$",""),",","")," ","")),0),0))</f>
        <v>0</v>
      </c>
    </row>
    <row r="477" spans="1:27">
      <c r="A477" s="76">
        <v>45905</v>
      </c>
      <c r="B477" s="77" t="s">
        <v>1881</v>
      </c>
      <c r="C477" s="77" t="s">
        <v>1755</v>
      </c>
      <c r="D477" s="77" t="s">
        <v>24</v>
      </c>
      <c r="E477" s="77">
        <v>85308</v>
      </c>
      <c r="F477" s="77" t="s">
        <v>310</v>
      </c>
      <c r="G477" s="77" t="s">
        <v>1723</v>
      </c>
      <c r="H477" s="77">
        <v>2290331000</v>
      </c>
      <c r="I477" s="77" t="s">
        <v>196</v>
      </c>
      <c r="J477" s="77" t="s">
        <v>37</v>
      </c>
      <c r="K477" s="77" t="s">
        <v>37</v>
      </c>
      <c r="L477" s="77" t="s">
        <v>1883</v>
      </c>
      <c r="M477" s="77" t="s">
        <v>37</v>
      </c>
      <c r="N477" s="77" t="s">
        <v>37</v>
      </c>
      <c r="O477" s="77" t="s">
        <v>38</v>
      </c>
      <c r="P477" s="77" t="s">
        <v>39</v>
      </c>
      <c r="Q477" s="76">
        <v>45966</v>
      </c>
      <c r="R477" s="77"/>
      <c r="S477" s="77"/>
      <c r="T477" s="77"/>
      <c r="U477" s="77"/>
      <c r="V477" s="78" t="s">
        <v>117</v>
      </c>
      <c r="W477" s="79">
        <v>46053</v>
      </c>
      <c r="X477" s="78" t="s">
        <v>38</v>
      </c>
      <c r="Y477" s="78"/>
      <c r="Z477" s="78"/>
      <c r="AA477">
        <f>IF(COUNTIF('Call Queue'!$H$6:$H$20,V477)&gt;0,0,IF(AND(ISNUMBER(N477),N477&gt;0),10000000+N477,IF(ISNUMBER(N477*1),IF(N477*1&gt;0,10000000+N477*1,0),0))+IF(ISNUMBER(SEARCH("(",L477)),1000000+IFERROR(VALUE(SUBSTITUTE(SUBSTITUTE(SUBSTITUTE(MID(L477,SEARCH("(",L477)+1,SEARCH(")",L477)-SEARCH("(",L477)-1),"$",""),",","")," ","")),0),0))</f>
        <v>0</v>
      </c>
    </row>
    <row r="478" spans="1:27">
      <c r="A478" s="76">
        <v>45905</v>
      </c>
      <c r="B478" s="77" t="s">
        <v>1884</v>
      </c>
      <c r="C478" s="77" t="s">
        <v>1666</v>
      </c>
      <c r="D478" s="77" t="s">
        <v>619</v>
      </c>
      <c r="E478" s="77">
        <v>85365</v>
      </c>
      <c r="F478" s="77" t="s">
        <v>1556</v>
      </c>
      <c r="G478" s="77" t="s">
        <v>1723</v>
      </c>
      <c r="H478" s="77">
        <v>4333270000</v>
      </c>
      <c r="I478" s="77" t="s">
        <v>57</v>
      </c>
      <c r="J478" s="77" t="s">
        <v>37</v>
      </c>
      <c r="K478" s="77" t="s">
        <v>37</v>
      </c>
      <c r="L478" s="77" t="s">
        <v>1886</v>
      </c>
      <c r="M478" s="77" t="s">
        <v>37</v>
      </c>
      <c r="N478" s="77" t="s">
        <v>37</v>
      </c>
      <c r="O478" s="77" t="s">
        <v>38</v>
      </c>
      <c r="P478" s="77"/>
      <c r="Q478" s="76">
        <v>45966</v>
      </c>
      <c r="R478" s="77" t="s">
        <v>1887</v>
      </c>
      <c r="S478" s="77"/>
      <c r="T478" s="77"/>
      <c r="U478" s="77"/>
      <c r="V478" s="78" t="s">
        <v>5432</v>
      </c>
      <c r="W478" s="79">
        <v>46053</v>
      </c>
      <c r="X478" s="78" t="s">
        <v>37</v>
      </c>
      <c r="Y478" s="78"/>
      <c r="Z478" s="78" t="s">
        <v>5556</v>
      </c>
      <c r="AA478">
        <f>IF(COUNTIF('Call Queue'!$H$6:$H$20,V478)&gt;0,0,IF(AND(ISNUMBER(N478),N478&gt;0),10000000+N478,IF(ISNUMBER(N478*1),IF(N478*1&gt;0,10000000+N478*1,0),0))+IF(ISNUMBER(SEARCH("(",L478)),1000000+IFERROR(VALUE(SUBSTITUTE(SUBSTITUTE(SUBSTITUTE(MID(L478,SEARCH("(",L478)+1,SEARCH(")",L478)-SEARCH("(",L478)-1),"$",""),",","")," ","")),0),0))</f>
        <v>0</v>
      </c>
    </row>
    <row r="479" spans="1:27">
      <c r="A479" s="76">
        <v>45905</v>
      </c>
      <c r="B479" s="77" t="s">
        <v>1890</v>
      </c>
      <c r="C479" s="77" t="s">
        <v>747</v>
      </c>
      <c r="D479" s="77" t="s">
        <v>202</v>
      </c>
      <c r="E479" s="77">
        <v>85383</v>
      </c>
      <c r="F479" s="77" t="s">
        <v>31</v>
      </c>
      <c r="G479" s="77" t="s">
        <v>1723</v>
      </c>
      <c r="H479" s="77">
        <v>2216771581</v>
      </c>
      <c r="I479" s="77" t="s">
        <v>1892</v>
      </c>
      <c r="J479" s="77" t="s">
        <v>37</v>
      </c>
      <c r="K479" s="77" t="s">
        <v>37</v>
      </c>
      <c r="L479" s="77" t="s">
        <v>38</v>
      </c>
      <c r="M479" s="77" t="s">
        <v>37</v>
      </c>
      <c r="N479" s="77" t="s">
        <v>37</v>
      </c>
      <c r="O479" s="77" t="s">
        <v>38</v>
      </c>
      <c r="P479" s="77" t="s">
        <v>39</v>
      </c>
      <c r="Q479" s="76">
        <v>45966</v>
      </c>
      <c r="R479" s="77"/>
      <c r="S479" s="77"/>
      <c r="T479" s="77"/>
      <c r="U479" s="77"/>
      <c r="V479" s="78"/>
      <c r="W479" s="79"/>
      <c r="X479" s="78"/>
      <c r="Y479" s="78"/>
      <c r="Z479" s="78"/>
      <c r="AA479">
        <f>IF(COUNTIF('Call Queue'!$H$6:$H$20,V479)&gt;0,0,IF(AND(ISNUMBER(N479),N479&gt;0),10000000+N479,IF(ISNUMBER(N479*1),IF(N479*1&gt;0,10000000+N479*1,0),0))+IF(ISNUMBER(SEARCH("(",L479)),1000000+IFERROR(VALUE(SUBSTITUTE(SUBSTITUTE(SUBSTITUTE(MID(L479,SEARCH("(",L479)+1,SEARCH(")",L479)-SEARCH("(",L479)-1),"$",""),",","")," ","")),0),0))</f>
        <v>0</v>
      </c>
    </row>
    <row r="480" spans="1:27">
      <c r="A480" s="76">
        <v>45905</v>
      </c>
      <c r="B480" s="77" t="s">
        <v>1893</v>
      </c>
      <c r="C480" s="77" t="s">
        <v>1894</v>
      </c>
      <c r="D480" s="77" t="s">
        <v>63</v>
      </c>
      <c r="E480" s="77">
        <v>85024</v>
      </c>
      <c r="F480" s="77" t="s">
        <v>1895</v>
      </c>
      <c r="G480" s="77" t="s">
        <v>1723</v>
      </c>
      <c r="H480" s="77">
        <v>9214141000</v>
      </c>
      <c r="I480" s="77" t="s">
        <v>46</v>
      </c>
      <c r="J480" s="77" t="s">
        <v>37</v>
      </c>
      <c r="K480" s="77" t="s">
        <v>37</v>
      </c>
      <c r="L480" s="77" t="s">
        <v>38</v>
      </c>
      <c r="M480" s="77" t="s">
        <v>37</v>
      </c>
      <c r="N480" s="77" t="s">
        <v>37</v>
      </c>
      <c r="O480" s="77" t="s">
        <v>38</v>
      </c>
      <c r="P480" s="77" t="s">
        <v>39</v>
      </c>
      <c r="Q480" s="76">
        <v>45966</v>
      </c>
      <c r="R480" s="77"/>
      <c r="S480" s="77"/>
      <c r="T480" s="77"/>
      <c r="U480" s="77"/>
      <c r="V480" s="78"/>
      <c r="W480" s="79"/>
      <c r="X480" s="78"/>
      <c r="Y480" s="78"/>
      <c r="Z480" s="78"/>
      <c r="AA480">
        <f>IF(COUNTIF('Call Queue'!$H$6:$H$20,V480)&gt;0,0,IF(AND(ISNUMBER(N480),N480&gt;0),10000000+N480,IF(ISNUMBER(N480*1),IF(N480*1&gt;0,10000000+N480*1,0),0))+IF(ISNUMBER(SEARCH("(",L480)),1000000+IFERROR(VALUE(SUBSTITUTE(SUBSTITUTE(SUBSTITUTE(MID(L480,SEARCH("(",L480)+1,SEARCH(")",L480)-SEARCH("(",L480)-1),"$",""),",","")," ","")),0),0))</f>
        <v>0</v>
      </c>
    </row>
    <row r="481" spans="1:27">
      <c r="A481" s="76">
        <v>45905</v>
      </c>
      <c r="B481" s="77" t="s">
        <v>1897</v>
      </c>
      <c r="C481" s="77" t="s">
        <v>1898</v>
      </c>
      <c r="D481" s="77" t="s">
        <v>169</v>
      </c>
      <c r="E481" s="77">
        <v>85395</v>
      </c>
      <c r="F481" s="77" t="s">
        <v>1899</v>
      </c>
      <c r="G481" s="77" t="s">
        <v>1723</v>
      </c>
      <c r="H481" s="77">
        <v>4328013004</v>
      </c>
      <c r="I481" s="77" t="s">
        <v>541</v>
      </c>
      <c r="J481" s="77" t="s">
        <v>37</v>
      </c>
      <c r="K481" s="77" t="s">
        <v>37</v>
      </c>
      <c r="L481" s="77" t="s">
        <v>389</v>
      </c>
      <c r="M481" s="77" t="s">
        <v>37</v>
      </c>
      <c r="N481" s="77" t="s">
        <v>37</v>
      </c>
      <c r="O481" s="77" t="s">
        <v>38</v>
      </c>
      <c r="P481" s="77" t="s">
        <v>39</v>
      </c>
      <c r="Q481" s="76">
        <v>45966</v>
      </c>
      <c r="R481" s="77"/>
      <c r="S481" s="77"/>
      <c r="T481" s="77"/>
      <c r="U481" s="77"/>
      <c r="V481" s="78"/>
      <c r="W481" s="79"/>
      <c r="X481" s="78"/>
      <c r="Y481" s="78"/>
      <c r="Z481" s="78"/>
      <c r="AA481">
        <f>IF(COUNTIF('Call Queue'!$H$6:$H$20,V481)&gt;0,0,IF(AND(ISNUMBER(N481),N481&gt;0),10000000+N481,IF(ISNUMBER(N481*1),IF(N481*1&gt;0,10000000+N481*1,0),0))+IF(ISNUMBER(SEARCH("(",L481)),1000000+IFERROR(VALUE(SUBSTITUTE(SUBSTITUTE(SUBSTITUTE(MID(L481,SEARCH("(",L481)+1,SEARCH(")",L481)-SEARCH("(",L481)-1),"$",""),",","")," ","")),0),0))</f>
        <v>0</v>
      </c>
    </row>
    <row r="482" spans="1:27">
      <c r="A482" s="76">
        <v>45905</v>
      </c>
      <c r="B482" s="77" t="s">
        <v>1901</v>
      </c>
      <c r="C482" s="77" t="s">
        <v>790</v>
      </c>
      <c r="D482" s="77" t="s">
        <v>635</v>
      </c>
      <c r="E482" s="77">
        <v>85281</v>
      </c>
      <c r="F482" s="77" t="s">
        <v>310</v>
      </c>
      <c r="G482" s="77" t="s">
        <v>1723</v>
      </c>
      <c r="H482" s="77">
        <v>4789794091</v>
      </c>
      <c r="I482" s="77" t="s">
        <v>126</v>
      </c>
      <c r="J482" s="77" t="s">
        <v>37</v>
      </c>
      <c r="K482" s="77" t="s">
        <v>37</v>
      </c>
      <c r="L482" s="77" t="s">
        <v>1903</v>
      </c>
      <c r="M482" s="77" t="s">
        <v>37</v>
      </c>
      <c r="N482" s="77" t="s">
        <v>37</v>
      </c>
      <c r="O482" s="77" t="s">
        <v>38</v>
      </c>
      <c r="P482" s="77" t="s">
        <v>39</v>
      </c>
      <c r="Q482" s="76">
        <v>45966</v>
      </c>
      <c r="R482" s="77"/>
      <c r="S482" s="77"/>
      <c r="T482" s="77"/>
      <c r="U482" s="77"/>
      <c r="V482" s="78" t="s">
        <v>5432</v>
      </c>
      <c r="W482" s="79">
        <v>46053</v>
      </c>
      <c r="X482" s="78" t="s">
        <v>38</v>
      </c>
      <c r="Y482" s="78"/>
      <c r="Z482" s="78" t="s">
        <v>5555</v>
      </c>
      <c r="AA482">
        <f>IF(COUNTIF('Call Queue'!$H$6:$H$20,V482)&gt;0,0,IF(AND(ISNUMBER(N482),N482&gt;0),10000000+N482,IF(ISNUMBER(N482*1),IF(N482*1&gt;0,10000000+N482*1,0),0))+IF(ISNUMBER(SEARCH("(",L482)),1000000+IFERROR(VALUE(SUBSTITUTE(SUBSTITUTE(SUBSTITUTE(MID(L482,SEARCH("(",L482)+1,SEARCH(")",L482)-SEARCH("(",L482)-1),"$",""),",","")," ","")),0),0))</f>
        <v>0</v>
      </c>
    </row>
    <row r="483" spans="1:27">
      <c r="A483" s="76">
        <v>45905</v>
      </c>
      <c r="B483" s="77" t="s">
        <v>1904</v>
      </c>
      <c r="C483" s="77" t="s">
        <v>1905</v>
      </c>
      <c r="D483" s="77" t="s">
        <v>63</v>
      </c>
      <c r="E483" s="77">
        <v>85007</v>
      </c>
      <c r="F483" s="77" t="s">
        <v>31</v>
      </c>
      <c r="G483" s="77" t="s">
        <v>1723</v>
      </c>
      <c r="H483" s="77">
        <v>8551601000</v>
      </c>
      <c r="I483" s="77" t="s">
        <v>36</v>
      </c>
      <c r="J483" s="77" t="s">
        <v>37</v>
      </c>
      <c r="K483" s="77" t="s">
        <v>37</v>
      </c>
      <c r="L483" s="77" t="s">
        <v>38</v>
      </c>
      <c r="M483" s="77" t="s">
        <v>37</v>
      </c>
      <c r="N483" s="77" t="s">
        <v>37</v>
      </c>
      <c r="O483" s="77" t="s">
        <v>38</v>
      </c>
      <c r="P483" s="77" t="s">
        <v>39</v>
      </c>
      <c r="Q483" s="76">
        <v>45966</v>
      </c>
      <c r="R483" s="77"/>
      <c r="S483" s="77"/>
      <c r="T483" s="77"/>
      <c r="U483" s="77"/>
      <c r="V483" s="78"/>
      <c r="W483" s="79"/>
      <c r="X483" s="78"/>
      <c r="Y483" s="78"/>
      <c r="Z483" s="78"/>
      <c r="AA483">
        <f>IF(COUNTIF('Call Queue'!$H$6:$H$20,V483)&gt;0,0,IF(AND(ISNUMBER(N483),N483&gt;0),10000000+N483,IF(ISNUMBER(N483*1),IF(N483*1&gt;0,10000000+N483*1,0),0))+IF(ISNUMBER(SEARCH("(",L483)),1000000+IFERROR(VALUE(SUBSTITUTE(SUBSTITUTE(SUBSTITUTE(MID(L483,SEARCH("(",L483)+1,SEARCH(")",L483)-SEARCH("(",L483)-1),"$",""),",","")," ","")),0),0))</f>
        <v>0</v>
      </c>
    </row>
    <row r="484" spans="1:27">
      <c r="A484" s="76">
        <v>45905</v>
      </c>
      <c r="B484" s="77" t="s">
        <v>1907</v>
      </c>
      <c r="C484" s="77" t="s">
        <v>131</v>
      </c>
      <c r="D484" s="77" t="s">
        <v>635</v>
      </c>
      <c r="E484" s="77">
        <v>85288</v>
      </c>
      <c r="F484" s="77" t="s">
        <v>31</v>
      </c>
      <c r="G484" s="77" t="s">
        <v>1723</v>
      </c>
      <c r="H484" s="77">
        <v>5582530000</v>
      </c>
      <c r="I484" s="77" t="s">
        <v>196</v>
      </c>
      <c r="J484" s="77" t="s">
        <v>37</v>
      </c>
      <c r="K484" s="77" t="s">
        <v>37</v>
      </c>
      <c r="L484" s="77" t="s">
        <v>1909</v>
      </c>
      <c r="M484" s="77" t="s">
        <v>37</v>
      </c>
      <c r="N484" s="77" t="s">
        <v>37</v>
      </c>
      <c r="O484" s="77" t="s">
        <v>38</v>
      </c>
      <c r="P484" s="77">
        <v>45936</v>
      </c>
      <c r="Q484" s="76">
        <v>45966</v>
      </c>
      <c r="R484" s="77" t="s">
        <v>1732</v>
      </c>
      <c r="S484" s="77"/>
      <c r="T484" s="77"/>
      <c r="U484" s="77"/>
      <c r="V484" s="78" t="s">
        <v>5432</v>
      </c>
      <c r="W484" s="79">
        <v>46053</v>
      </c>
      <c r="X484" s="78" t="s">
        <v>37</v>
      </c>
      <c r="Y484" s="78" t="s">
        <v>5442</v>
      </c>
      <c r="Z484" s="78" t="s">
        <v>5466</v>
      </c>
      <c r="AA484">
        <f>IF(COUNTIF('Call Queue'!$H$6:$H$20,V484)&gt;0,0,IF(AND(ISNUMBER(N484),N484&gt;0),10000000+N484,IF(ISNUMBER(N484*1),IF(N484*1&gt;0,10000000+N484*1,0),0))+IF(ISNUMBER(SEARCH("(",L484)),1000000+IFERROR(VALUE(SUBSTITUTE(SUBSTITUTE(SUBSTITUTE(MID(L484,SEARCH("(",L484)+1,SEARCH(")",L484)-SEARCH("(",L484)-1),"$",""),",","")," ","")),0),0))</f>
        <v>0</v>
      </c>
    </row>
    <row r="485" spans="1:27">
      <c r="A485" s="76">
        <v>45905</v>
      </c>
      <c r="B485" s="77" t="s">
        <v>1910</v>
      </c>
      <c r="C485" s="77" t="s">
        <v>139</v>
      </c>
      <c r="D485" s="77" t="s">
        <v>63</v>
      </c>
      <c r="E485" s="77">
        <v>85032</v>
      </c>
      <c r="F485" s="77" t="s">
        <v>1911</v>
      </c>
      <c r="G485" s="77" t="s">
        <v>1723</v>
      </c>
      <c r="H485" s="77">
        <v>4220132529</v>
      </c>
      <c r="I485" s="77" t="s">
        <v>73</v>
      </c>
      <c r="J485" s="77" t="s">
        <v>37</v>
      </c>
      <c r="K485" s="77" t="s">
        <v>37</v>
      </c>
      <c r="L485" s="77" t="s">
        <v>38</v>
      </c>
      <c r="M485" s="77" t="s">
        <v>37</v>
      </c>
      <c r="N485" s="77" t="s">
        <v>37</v>
      </c>
      <c r="O485" s="77" t="s">
        <v>38</v>
      </c>
      <c r="P485" s="77" t="s">
        <v>39</v>
      </c>
      <c r="Q485" s="76">
        <v>45966</v>
      </c>
      <c r="R485" s="77"/>
      <c r="S485" s="77"/>
      <c r="T485" s="77"/>
      <c r="U485" s="77"/>
      <c r="V485" s="78" t="s">
        <v>117</v>
      </c>
      <c r="W485" s="79">
        <v>45997</v>
      </c>
      <c r="X485" s="78" t="s">
        <v>38</v>
      </c>
      <c r="Y485" s="78"/>
      <c r="Z485" s="78" t="s">
        <v>5448</v>
      </c>
      <c r="AA485">
        <f>IF(COUNTIF('Call Queue'!$H$6:$H$20,V485)&gt;0,0,IF(AND(ISNUMBER(N485),N485&gt;0),10000000+N485,IF(ISNUMBER(N485*1),IF(N485*1&gt;0,10000000+N485*1,0),0))+IF(ISNUMBER(SEARCH("(",L485)),1000000+IFERROR(VALUE(SUBSTITUTE(SUBSTITUTE(SUBSTITUTE(MID(L485,SEARCH("(",L485)+1,SEARCH(")",L485)-SEARCH("(",L485)-1),"$",""),",","")," ","")),0),0))</f>
        <v>0</v>
      </c>
    </row>
    <row r="486" spans="1:27">
      <c r="A486" s="76">
        <v>45905</v>
      </c>
      <c r="B486" s="77" t="s">
        <v>391</v>
      </c>
      <c r="C486" s="77" t="s">
        <v>920</v>
      </c>
      <c r="D486" s="77" t="s">
        <v>85</v>
      </c>
      <c r="E486" s="77">
        <v>86323</v>
      </c>
      <c r="F486" s="77" t="s">
        <v>31</v>
      </c>
      <c r="G486" s="77" t="s">
        <v>1723</v>
      </c>
      <c r="H486" s="77">
        <v>5703576714</v>
      </c>
      <c r="I486" s="77" t="s">
        <v>36</v>
      </c>
      <c r="J486" s="77" t="s">
        <v>37</v>
      </c>
      <c r="K486" s="77" t="s">
        <v>37</v>
      </c>
      <c r="L486" s="77" t="s">
        <v>38</v>
      </c>
      <c r="M486" s="77" t="s">
        <v>37</v>
      </c>
      <c r="N486" s="77" t="s">
        <v>37</v>
      </c>
      <c r="O486" s="77" t="s">
        <v>38</v>
      </c>
      <c r="P486" s="77" t="s">
        <v>39</v>
      </c>
      <c r="Q486" s="76">
        <v>45966</v>
      </c>
      <c r="R486" s="77"/>
      <c r="S486" s="77"/>
      <c r="T486" s="77"/>
      <c r="U486" s="77"/>
      <c r="V486" s="78"/>
      <c r="W486" s="79"/>
      <c r="X486" s="78"/>
      <c r="Y486" s="78"/>
      <c r="Z486" s="78"/>
      <c r="AA486">
        <f>IF(COUNTIF('Call Queue'!$H$6:$H$20,V486)&gt;0,0,IF(AND(ISNUMBER(N486),N486&gt;0),10000000+N486,IF(ISNUMBER(N486*1),IF(N486*1&gt;0,10000000+N486*1,0),0))+IF(ISNUMBER(SEARCH("(",L486)),1000000+IFERROR(VALUE(SUBSTITUTE(SUBSTITUTE(SUBSTITUTE(MID(L486,SEARCH("(",L486)+1,SEARCH(")",L486)-SEARCH("(",L486)-1),"$",""),",","")," ","")),0),0))</f>
        <v>0</v>
      </c>
    </row>
    <row r="487" spans="1:27">
      <c r="A487" s="76">
        <v>45905</v>
      </c>
      <c r="B487" s="77" t="s">
        <v>431</v>
      </c>
      <c r="C487" s="77" t="s">
        <v>329</v>
      </c>
      <c r="D487" s="77" t="s">
        <v>63</v>
      </c>
      <c r="E487" s="77">
        <v>85032</v>
      </c>
      <c r="F487" s="77" t="s">
        <v>310</v>
      </c>
      <c r="G487" s="77" t="s">
        <v>1723</v>
      </c>
      <c r="H487" s="77">
        <v>448028030</v>
      </c>
      <c r="I487" s="77" t="s">
        <v>73</v>
      </c>
      <c r="J487" s="77" t="s">
        <v>37</v>
      </c>
      <c r="K487" s="77" t="s">
        <v>37</v>
      </c>
      <c r="L487" s="77" t="s">
        <v>38</v>
      </c>
      <c r="M487" s="77" t="s">
        <v>37</v>
      </c>
      <c r="N487" s="77" t="s">
        <v>37</v>
      </c>
      <c r="O487" s="77" t="s">
        <v>38</v>
      </c>
      <c r="P487" s="77" t="s">
        <v>39</v>
      </c>
      <c r="Q487" s="76">
        <v>45966</v>
      </c>
      <c r="R487" s="77"/>
      <c r="S487" s="77"/>
      <c r="T487" s="77"/>
      <c r="U487" s="77"/>
      <c r="V487" s="78"/>
      <c r="W487" s="79"/>
      <c r="X487" s="78"/>
      <c r="Y487" s="78"/>
      <c r="Z487" s="78"/>
      <c r="AA487">
        <f>IF(COUNTIF('Call Queue'!$H$6:$H$20,V487)&gt;0,0,IF(AND(ISNUMBER(N487),N487&gt;0),10000000+N487,IF(ISNUMBER(N487*1),IF(N487*1&gt;0,10000000+N487*1,0),0))+IF(ISNUMBER(SEARCH("(",L487)),1000000+IFERROR(VALUE(SUBSTITUTE(SUBSTITUTE(SUBSTITUTE(MID(L487,SEARCH("(",L487)+1,SEARCH(")",L487)-SEARCH("(",L487)-1),"$",""),",","")," ","")),0),0))</f>
        <v>0</v>
      </c>
    </row>
    <row r="488" spans="1:27">
      <c r="A488" s="76">
        <v>45905</v>
      </c>
      <c r="B488" s="77" t="s">
        <v>1920</v>
      </c>
      <c r="C488" s="77" t="s">
        <v>1921</v>
      </c>
      <c r="D488" s="77" t="s">
        <v>63</v>
      </c>
      <c r="E488" s="77">
        <v>85012</v>
      </c>
      <c r="F488" s="77" t="s">
        <v>310</v>
      </c>
      <c r="G488" s="77" t="s">
        <v>1723</v>
      </c>
      <c r="H488" s="77">
        <v>5780730097</v>
      </c>
      <c r="I488" s="77" t="s">
        <v>73</v>
      </c>
      <c r="J488" s="77" t="s">
        <v>37</v>
      </c>
      <c r="K488" s="77" t="s">
        <v>37</v>
      </c>
      <c r="L488" s="77" t="s">
        <v>38</v>
      </c>
      <c r="M488" s="77" t="s">
        <v>37</v>
      </c>
      <c r="N488" s="77" t="s">
        <v>37</v>
      </c>
      <c r="O488" s="77" t="s">
        <v>38</v>
      </c>
      <c r="P488" s="77" t="s">
        <v>39</v>
      </c>
      <c r="Q488" s="76">
        <v>45966</v>
      </c>
      <c r="R488" s="77"/>
      <c r="S488" s="77"/>
      <c r="T488" s="77"/>
      <c r="U488" s="77"/>
      <c r="V488" s="78"/>
      <c r="W488" s="79"/>
      <c r="X488" s="78"/>
      <c r="Y488" s="78"/>
      <c r="Z488" s="78"/>
      <c r="AA488">
        <f>IF(COUNTIF('Call Queue'!$H$6:$H$20,V488)&gt;0,0,IF(AND(ISNUMBER(N488),N488&gt;0),10000000+N488,IF(ISNUMBER(N488*1),IF(N488*1&gt;0,10000000+N488*1,0),0))+IF(ISNUMBER(SEARCH("(",L488)),1000000+IFERROR(VALUE(SUBSTITUTE(SUBSTITUTE(SUBSTITUTE(MID(L488,SEARCH("(",L488)+1,SEARCH(")",L488)-SEARCH("(",L488)-1),"$",""),",","")," ","")),0),0))</f>
        <v>0</v>
      </c>
    </row>
    <row r="489" spans="1:27">
      <c r="A489" s="76">
        <v>45905</v>
      </c>
      <c r="B489" s="77" t="s">
        <v>1923</v>
      </c>
      <c r="C489" s="77" t="s">
        <v>1924</v>
      </c>
      <c r="D489" s="77" t="s">
        <v>63</v>
      </c>
      <c r="E489" s="77">
        <v>85086</v>
      </c>
      <c r="F489" s="77" t="s">
        <v>31</v>
      </c>
      <c r="G489" s="77" t="s">
        <v>1723</v>
      </c>
      <c r="H489" s="77">
        <v>8651110000</v>
      </c>
      <c r="I489" s="77" t="s">
        <v>36</v>
      </c>
      <c r="J489" s="77" t="s">
        <v>37</v>
      </c>
      <c r="K489" s="77" t="s">
        <v>37</v>
      </c>
      <c r="L489" s="77" t="s">
        <v>38</v>
      </c>
      <c r="M489" s="77" t="s">
        <v>37</v>
      </c>
      <c r="N489" s="77" t="s">
        <v>37</v>
      </c>
      <c r="O489" s="77" t="s">
        <v>38</v>
      </c>
      <c r="P489" s="77" t="s">
        <v>39</v>
      </c>
      <c r="Q489" s="76">
        <v>45966</v>
      </c>
      <c r="R489" s="77"/>
      <c r="S489" s="77"/>
      <c r="T489" s="77"/>
      <c r="U489" s="77"/>
      <c r="V489" s="78"/>
      <c r="W489" s="79"/>
      <c r="X489" s="78"/>
      <c r="Y489" s="78"/>
      <c r="Z489" s="78"/>
      <c r="AA489">
        <f>IF(COUNTIF('Call Queue'!$H$6:$H$20,V489)&gt;0,0,IF(AND(ISNUMBER(N489),N489&gt;0),10000000+N489,IF(ISNUMBER(N489*1),IF(N489*1&gt;0,10000000+N489*1,0),0))+IF(ISNUMBER(SEARCH("(",L489)),1000000+IFERROR(VALUE(SUBSTITUTE(SUBSTITUTE(SUBSTITUTE(MID(L489,SEARCH("(",L489)+1,SEARCH(")",L489)-SEARCH("(",L489)-1),"$",""),",","")," ","")),0),0))</f>
        <v>0</v>
      </c>
    </row>
    <row r="490" spans="1:27">
      <c r="A490" s="76">
        <v>45905</v>
      </c>
      <c r="B490" s="77" t="s">
        <v>1926</v>
      </c>
      <c r="C490" s="77" t="s">
        <v>399</v>
      </c>
      <c r="D490" s="77" t="s">
        <v>504</v>
      </c>
      <c r="E490" s="77">
        <v>86001</v>
      </c>
      <c r="F490" s="77" t="s">
        <v>31</v>
      </c>
      <c r="G490" s="77" t="s">
        <v>1723</v>
      </c>
      <c r="H490" s="77">
        <v>2697623904</v>
      </c>
      <c r="I490" s="77" t="s">
        <v>196</v>
      </c>
      <c r="J490" s="77" t="s">
        <v>37</v>
      </c>
      <c r="K490" s="77" t="s">
        <v>37</v>
      </c>
      <c r="L490" s="77" t="s">
        <v>1928</v>
      </c>
      <c r="M490" s="77" t="s">
        <v>37</v>
      </c>
      <c r="N490" s="77" t="s">
        <v>37</v>
      </c>
      <c r="O490" s="77" t="s">
        <v>38</v>
      </c>
      <c r="P490" s="77" t="s">
        <v>39</v>
      </c>
      <c r="Q490" s="76">
        <v>45966</v>
      </c>
      <c r="R490" s="77"/>
      <c r="S490" s="77"/>
      <c r="T490" s="77"/>
      <c r="U490" s="77"/>
      <c r="V490" s="78" t="s">
        <v>5432</v>
      </c>
      <c r="W490" s="79">
        <v>46053</v>
      </c>
      <c r="X490" s="78" t="s">
        <v>37</v>
      </c>
      <c r="Y490" s="78" t="s">
        <v>5442</v>
      </c>
      <c r="Z490" s="78"/>
      <c r="AA490">
        <f>IF(COUNTIF('Call Queue'!$H$6:$H$20,V490)&gt;0,0,IF(AND(ISNUMBER(N490),N490&gt;0),10000000+N490,IF(ISNUMBER(N490*1),IF(N490*1&gt;0,10000000+N490*1,0),0))+IF(ISNUMBER(SEARCH("(",L490)),1000000+IFERROR(VALUE(SUBSTITUTE(SUBSTITUTE(SUBSTITUTE(MID(L490,SEARCH("(",L490)+1,SEARCH(")",L490)-SEARCH("(",L490)-1),"$",""),",","")," ","")),0),0))</f>
        <v>0</v>
      </c>
    </row>
    <row r="491" spans="1:27">
      <c r="A491" s="76">
        <v>45905</v>
      </c>
      <c r="B491" s="77" t="s">
        <v>1929</v>
      </c>
      <c r="C491" s="77" t="s">
        <v>1930</v>
      </c>
      <c r="D491" s="77" t="s">
        <v>63</v>
      </c>
      <c r="E491" s="77">
        <v>85020</v>
      </c>
      <c r="F491" s="77" t="s">
        <v>310</v>
      </c>
      <c r="G491" s="77" t="s">
        <v>1723</v>
      </c>
      <c r="H491" s="77">
        <v>86465467</v>
      </c>
      <c r="I491" s="77" t="s">
        <v>73</v>
      </c>
      <c r="J491" s="77" t="s">
        <v>37</v>
      </c>
      <c r="K491" s="77" t="s">
        <v>37</v>
      </c>
      <c r="L491" s="77" t="s">
        <v>38</v>
      </c>
      <c r="M491" s="77" t="s">
        <v>37</v>
      </c>
      <c r="N491" s="77" t="s">
        <v>37</v>
      </c>
      <c r="O491" s="77" t="s">
        <v>38</v>
      </c>
      <c r="P491" s="77" t="s">
        <v>39</v>
      </c>
      <c r="Q491" s="76">
        <v>45966</v>
      </c>
      <c r="R491" s="77"/>
      <c r="S491" s="77"/>
      <c r="T491" s="77"/>
      <c r="U491" s="77"/>
      <c r="V491" s="78"/>
      <c r="W491" s="79"/>
      <c r="X491" s="78"/>
      <c r="Y491" s="78"/>
      <c r="Z491" s="78"/>
      <c r="AA491">
        <f>IF(COUNTIF('Call Queue'!$H$6:$H$20,V491)&gt;0,0,IF(AND(ISNUMBER(N491),N491&gt;0),10000000+N491,IF(ISNUMBER(N491*1),IF(N491*1&gt;0,10000000+N491*1,0),0))+IF(ISNUMBER(SEARCH("(",L491)),1000000+IFERROR(VALUE(SUBSTITUTE(SUBSTITUTE(SUBSTITUTE(MID(L491,SEARCH("(",L491)+1,SEARCH(")",L491)-SEARCH("(",L491)-1),"$",""),",","")," ","")),0),0))</f>
        <v>0</v>
      </c>
    </row>
    <row r="492" spans="1:27">
      <c r="A492" s="76">
        <v>45905</v>
      </c>
      <c r="B492" s="77" t="s">
        <v>1932</v>
      </c>
      <c r="C492" s="77" t="s">
        <v>1614</v>
      </c>
      <c r="D492" s="77" t="s">
        <v>63</v>
      </c>
      <c r="E492" s="77">
        <v>85020</v>
      </c>
      <c r="F492" s="77" t="s">
        <v>1933</v>
      </c>
      <c r="G492" s="77" t="s">
        <v>1723</v>
      </c>
      <c r="H492" s="77">
        <v>7036097429</v>
      </c>
      <c r="I492" s="77" t="s">
        <v>36</v>
      </c>
      <c r="J492" s="77" t="s">
        <v>37</v>
      </c>
      <c r="K492" s="77" t="s">
        <v>37</v>
      </c>
      <c r="L492" s="77" t="s">
        <v>1935</v>
      </c>
      <c r="M492" s="77" t="s">
        <v>37</v>
      </c>
      <c r="N492" s="77" t="s">
        <v>37</v>
      </c>
      <c r="O492" s="77" t="s">
        <v>38</v>
      </c>
      <c r="P492" s="77" t="s">
        <v>39</v>
      </c>
      <c r="Q492" s="76">
        <v>45966</v>
      </c>
      <c r="R492" s="77" t="s">
        <v>1936</v>
      </c>
      <c r="S492" s="77"/>
      <c r="T492" s="77"/>
      <c r="U492" s="77"/>
      <c r="V492" s="78" t="s">
        <v>5432</v>
      </c>
      <c r="W492" s="79">
        <v>46053</v>
      </c>
      <c r="X492" s="78" t="s">
        <v>37</v>
      </c>
      <c r="Y492" s="78" t="s">
        <v>5442</v>
      </c>
      <c r="Z492" s="78"/>
      <c r="AA492">
        <f>IF(COUNTIF('Call Queue'!$H$6:$H$20,V492)&gt;0,0,IF(AND(ISNUMBER(N492),N492&gt;0),10000000+N492,IF(ISNUMBER(N492*1),IF(N492*1&gt;0,10000000+N492*1,0),0))+IF(ISNUMBER(SEARCH("(",L492)),1000000+IFERROR(VALUE(SUBSTITUTE(SUBSTITUTE(SUBSTITUTE(MID(L492,SEARCH("(",L492)+1,SEARCH(")",L492)-SEARCH("(",L492)-1),"$",""),",","")," ","")),0),0))</f>
        <v>0</v>
      </c>
    </row>
    <row r="493" spans="1:27">
      <c r="A493" s="76">
        <v>45905</v>
      </c>
      <c r="B493" s="77" t="s">
        <v>1937</v>
      </c>
      <c r="C493" s="77" t="s">
        <v>194</v>
      </c>
      <c r="D493" s="77" t="s">
        <v>63</v>
      </c>
      <c r="E493" s="77">
        <v>85023</v>
      </c>
      <c r="F493" s="77" t="s">
        <v>1938</v>
      </c>
      <c r="G493" s="77" t="s">
        <v>1723</v>
      </c>
      <c r="H493" s="77">
        <v>9890161000</v>
      </c>
      <c r="I493" s="77" t="s">
        <v>243</v>
      </c>
      <c r="J493" s="77" t="s">
        <v>37</v>
      </c>
      <c r="K493" s="77" t="s">
        <v>37</v>
      </c>
      <c r="L493" s="77" t="s">
        <v>389</v>
      </c>
      <c r="M493" s="77" t="s">
        <v>37</v>
      </c>
      <c r="N493" s="77" t="s">
        <v>37</v>
      </c>
      <c r="O493" s="77" t="s">
        <v>38</v>
      </c>
      <c r="P493" s="77" t="s">
        <v>39</v>
      </c>
      <c r="Q493" s="76">
        <v>45966</v>
      </c>
      <c r="R493" s="77"/>
      <c r="S493" s="77"/>
      <c r="T493" s="77"/>
      <c r="U493" s="77"/>
      <c r="V493" s="78"/>
      <c r="W493" s="79"/>
      <c r="X493" s="78"/>
      <c r="Y493" s="78"/>
      <c r="Z493" s="78"/>
      <c r="AA493">
        <f>IF(COUNTIF('Call Queue'!$H$6:$H$20,V493)&gt;0,0,IF(AND(ISNUMBER(N493),N493&gt;0),10000000+N493,IF(ISNUMBER(N493*1),IF(N493*1&gt;0,10000000+N493*1,0),0))+IF(ISNUMBER(SEARCH("(",L493)),1000000+IFERROR(VALUE(SUBSTITUTE(SUBSTITUTE(SUBSTITUTE(MID(L493,SEARCH("(",L493)+1,SEARCH(")",L493)-SEARCH("(",L493)-1),"$",""),",","")," ","")),0),0))</f>
        <v>0</v>
      </c>
    </row>
    <row r="494" spans="1:27">
      <c r="A494" s="76">
        <v>45905</v>
      </c>
      <c r="B494" s="77" t="s">
        <v>1940</v>
      </c>
      <c r="C494" s="77" t="s">
        <v>1941</v>
      </c>
      <c r="D494" s="77" t="s">
        <v>63</v>
      </c>
      <c r="E494" s="77">
        <v>85020</v>
      </c>
      <c r="F494" s="77" t="s">
        <v>310</v>
      </c>
      <c r="G494" s="77" t="s">
        <v>1723</v>
      </c>
      <c r="H494" s="77">
        <v>947385737</v>
      </c>
      <c r="I494" s="77" t="s">
        <v>196</v>
      </c>
      <c r="J494" s="77" t="s">
        <v>37</v>
      </c>
      <c r="K494" s="77" t="s">
        <v>37</v>
      </c>
      <c r="L494" s="77" t="s">
        <v>1943</v>
      </c>
      <c r="M494" s="77" t="s">
        <v>37</v>
      </c>
      <c r="N494" s="77" t="s">
        <v>37</v>
      </c>
      <c r="O494" s="77" t="s">
        <v>38</v>
      </c>
      <c r="P494" s="77" t="s">
        <v>39</v>
      </c>
      <c r="Q494" s="76">
        <v>45966</v>
      </c>
      <c r="R494" s="77" t="s">
        <v>1944</v>
      </c>
      <c r="S494" s="77"/>
      <c r="T494" s="77"/>
      <c r="U494" s="77"/>
      <c r="V494" s="78" t="s">
        <v>5432</v>
      </c>
      <c r="W494" s="79">
        <v>46053</v>
      </c>
      <c r="X494" s="78" t="s">
        <v>38</v>
      </c>
      <c r="Y494" s="78"/>
      <c r="Z494" s="78" t="s">
        <v>5555</v>
      </c>
      <c r="AA494">
        <f>IF(COUNTIF('Call Queue'!$H$6:$H$20,V494)&gt;0,0,IF(AND(ISNUMBER(N494),N494&gt;0),10000000+N494,IF(ISNUMBER(N494*1),IF(N494*1&gt;0,10000000+N494*1,0),0))+IF(ISNUMBER(SEARCH("(",L494)),1000000+IFERROR(VALUE(SUBSTITUTE(SUBSTITUTE(SUBSTITUTE(MID(L494,SEARCH("(",L494)+1,SEARCH(")",L494)-SEARCH("(",L494)-1),"$",""),",","")," ","")),0),0))</f>
        <v>0</v>
      </c>
    </row>
    <row r="495" spans="1:27">
      <c r="A495" s="76">
        <v>45905</v>
      </c>
      <c r="B495" s="77" t="s">
        <v>1945</v>
      </c>
      <c r="C495" s="77" t="s">
        <v>284</v>
      </c>
      <c r="D495" s="77" t="s">
        <v>169</v>
      </c>
      <c r="E495" s="77">
        <v>85395</v>
      </c>
      <c r="F495" s="77" t="s">
        <v>31</v>
      </c>
      <c r="G495" s="77" t="s">
        <v>1723</v>
      </c>
      <c r="H495" s="77">
        <v>9738604563</v>
      </c>
      <c r="I495" s="77" t="s">
        <v>126</v>
      </c>
      <c r="J495" s="77" t="s">
        <v>37</v>
      </c>
      <c r="K495" s="77" t="s">
        <v>37</v>
      </c>
      <c r="L495" s="77" t="s">
        <v>38</v>
      </c>
      <c r="M495" s="77" t="s">
        <v>37</v>
      </c>
      <c r="N495" s="77" t="s">
        <v>37</v>
      </c>
      <c r="O495" s="77" t="s">
        <v>38</v>
      </c>
      <c r="P495" s="77" t="s">
        <v>39</v>
      </c>
      <c r="Q495" s="76">
        <v>45966</v>
      </c>
      <c r="R495" s="77"/>
      <c r="S495" s="77"/>
      <c r="T495" s="77"/>
      <c r="U495" s="77"/>
      <c r="V495" s="78"/>
      <c r="W495" s="79"/>
      <c r="X495" s="78"/>
      <c r="Y495" s="78"/>
      <c r="Z495" s="78"/>
      <c r="AA495">
        <f>IF(COUNTIF('Call Queue'!$H$6:$H$20,V495)&gt;0,0,IF(AND(ISNUMBER(N495),N495&gt;0),10000000+N495,IF(ISNUMBER(N495*1),IF(N495*1&gt;0,10000000+N495*1,0),0))+IF(ISNUMBER(SEARCH("(",L495)),1000000+IFERROR(VALUE(SUBSTITUTE(SUBSTITUTE(SUBSTITUTE(MID(L495,SEARCH("(",L495)+1,SEARCH(")",L495)-SEARCH("(",L495)-1),"$",""),",","")," ","")),0),0))</f>
        <v>0</v>
      </c>
    </row>
    <row r="496" spans="1:27">
      <c r="A496" s="76">
        <v>45905</v>
      </c>
      <c r="B496" s="77" t="s">
        <v>1947</v>
      </c>
      <c r="C496" s="77" t="s">
        <v>145</v>
      </c>
      <c r="D496" s="77" t="s">
        <v>1615</v>
      </c>
      <c r="E496" s="77">
        <v>85131</v>
      </c>
      <c r="F496" s="77" t="s">
        <v>310</v>
      </c>
      <c r="G496" s="77" t="s">
        <v>1723</v>
      </c>
      <c r="H496" s="77">
        <v>6892964511</v>
      </c>
      <c r="I496" s="77" t="s">
        <v>541</v>
      </c>
      <c r="J496" s="77" t="s">
        <v>37</v>
      </c>
      <c r="K496" s="77" t="s">
        <v>37</v>
      </c>
      <c r="L496" s="77" t="s">
        <v>389</v>
      </c>
      <c r="M496" s="77" t="s">
        <v>37</v>
      </c>
      <c r="N496" s="77" t="s">
        <v>37</v>
      </c>
      <c r="O496" s="77" t="s">
        <v>38</v>
      </c>
      <c r="P496" s="77" t="s">
        <v>39</v>
      </c>
      <c r="Q496" s="76">
        <v>45966</v>
      </c>
      <c r="R496" s="77"/>
      <c r="S496" s="77"/>
      <c r="T496" s="77"/>
      <c r="U496" s="77"/>
      <c r="V496" s="78"/>
      <c r="W496" s="79"/>
      <c r="X496" s="78"/>
      <c r="Y496" s="78"/>
      <c r="Z496" s="78"/>
      <c r="AA496">
        <f>IF(COUNTIF('Call Queue'!$H$6:$H$20,V496)&gt;0,0,IF(AND(ISNUMBER(N496),N496&gt;0),10000000+N496,IF(ISNUMBER(N496*1),IF(N496*1&gt;0,10000000+N496*1,0),0))+IF(ISNUMBER(SEARCH("(",L496)),1000000+IFERROR(VALUE(SUBSTITUTE(SUBSTITUTE(SUBSTITUTE(MID(L496,SEARCH("(",L496)+1,SEARCH(")",L496)-SEARCH("(",L496)-1),"$",""),",","")," ","")),0),0))</f>
        <v>0</v>
      </c>
    </row>
    <row r="497" spans="1:27">
      <c r="A497" s="76">
        <v>45905</v>
      </c>
      <c r="B497" s="77" t="s">
        <v>1949</v>
      </c>
      <c r="C497" s="77" t="s">
        <v>1950</v>
      </c>
      <c r="D497" s="77" t="s">
        <v>125</v>
      </c>
      <c r="E497" s="77">
        <v>85254</v>
      </c>
      <c r="F497" s="77" t="s">
        <v>310</v>
      </c>
      <c r="G497" s="77" t="s">
        <v>1723</v>
      </c>
      <c r="H497" s="77">
        <v>8233981790</v>
      </c>
      <c r="I497" s="77" t="s">
        <v>36</v>
      </c>
      <c r="J497" s="77" t="s">
        <v>37</v>
      </c>
      <c r="K497" s="77" t="s">
        <v>37</v>
      </c>
      <c r="L497" s="77" t="s">
        <v>38</v>
      </c>
      <c r="M497" s="77" t="s">
        <v>37</v>
      </c>
      <c r="N497" s="77" t="s">
        <v>37</v>
      </c>
      <c r="O497" s="77" t="s">
        <v>38</v>
      </c>
      <c r="P497" s="77" t="s">
        <v>39</v>
      </c>
      <c r="Q497" s="76">
        <v>45966</v>
      </c>
      <c r="R497" s="77"/>
      <c r="S497" s="77"/>
      <c r="T497" s="77"/>
      <c r="U497" s="77"/>
      <c r="V497" s="78"/>
      <c r="W497" s="79"/>
      <c r="X497" s="78"/>
      <c r="Y497" s="78"/>
      <c r="Z497" s="78"/>
      <c r="AA497">
        <f>IF(COUNTIF('Call Queue'!$H$6:$H$20,V497)&gt;0,0,IF(AND(ISNUMBER(N497),N497&gt;0),10000000+N497,IF(ISNUMBER(N497*1),IF(N497*1&gt;0,10000000+N497*1,0),0))+IF(ISNUMBER(SEARCH("(",L497)),1000000+IFERROR(VALUE(SUBSTITUTE(SUBSTITUTE(SUBSTITUTE(MID(L497,SEARCH("(",L497)+1,SEARCH(")",L497)-SEARCH("(",L497)-1),"$",""),",","")," ","")),0),0))</f>
        <v>0</v>
      </c>
    </row>
    <row r="498" spans="1:27">
      <c r="A498" s="76">
        <v>45905</v>
      </c>
      <c r="B498" s="77" t="s">
        <v>1952</v>
      </c>
      <c r="C498" s="77" t="s">
        <v>1953</v>
      </c>
      <c r="D498" s="77" t="s">
        <v>63</v>
      </c>
      <c r="E498" s="77">
        <v>85022</v>
      </c>
      <c r="F498" s="77" t="s">
        <v>31</v>
      </c>
      <c r="G498" s="77" t="s">
        <v>1723</v>
      </c>
      <c r="H498" s="77">
        <v>7482519669</v>
      </c>
      <c r="I498" s="77" t="s">
        <v>36</v>
      </c>
      <c r="J498" s="77" t="s">
        <v>37</v>
      </c>
      <c r="K498" s="77" t="s">
        <v>37</v>
      </c>
      <c r="L498" s="77" t="s">
        <v>38</v>
      </c>
      <c r="M498" s="77" t="s">
        <v>37</v>
      </c>
      <c r="N498" s="77" t="s">
        <v>37</v>
      </c>
      <c r="O498" s="77" t="s">
        <v>38</v>
      </c>
      <c r="P498" s="77" t="s">
        <v>39</v>
      </c>
      <c r="Q498" s="76">
        <v>45966</v>
      </c>
      <c r="R498" s="77"/>
      <c r="S498" s="77"/>
      <c r="T498" s="77"/>
      <c r="U498" s="77"/>
      <c r="V498" s="78"/>
      <c r="W498" s="79"/>
      <c r="X498" s="78"/>
      <c r="Y498" s="78"/>
      <c r="Z498" s="78"/>
      <c r="AA498">
        <f>IF(COUNTIF('Call Queue'!$H$6:$H$20,V498)&gt;0,0,IF(AND(ISNUMBER(N498),N498&gt;0),10000000+N498,IF(ISNUMBER(N498*1),IF(N498*1&gt;0,10000000+N498*1,0),0))+IF(ISNUMBER(SEARCH("(",L498)),1000000+IFERROR(VALUE(SUBSTITUTE(SUBSTITUTE(SUBSTITUTE(MID(L498,SEARCH("(",L498)+1,SEARCH(")",L498)-SEARCH("(",L498)-1),"$",""),",","")," ","")),0),0))</f>
        <v>0</v>
      </c>
    </row>
    <row r="499" spans="1:27">
      <c r="A499" s="76">
        <v>45905</v>
      </c>
      <c r="B499" s="77" t="s">
        <v>1955</v>
      </c>
      <c r="C499" s="77" t="s">
        <v>1956</v>
      </c>
      <c r="D499" s="77" t="s">
        <v>169</v>
      </c>
      <c r="E499" s="77">
        <v>85338</v>
      </c>
      <c r="F499" s="77" t="s">
        <v>1957</v>
      </c>
      <c r="G499" s="77" t="s">
        <v>1723</v>
      </c>
      <c r="H499" s="77">
        <v>4321958928</v>
      </c>
      <c r="I499" s="77" t="s">
        <v>36</v>
      </c>
      <c r="J499" s="77" t="s">
        <v>37</v>
      </c>
      <c r="K499" s="77" t="s">
        <v>37</v>
      </c>
      <c r="L499" s="77" t="s">
        <v>38</v>
      </c>
      <c r="M499" s="77" t="s">
        <v>37</v>
      </c>
      <c r="N499" s="77" t="s">
        <v>37</v>
      </c>
      <c r="O499" s="77" t="s">
        <v>38</v>
      </c>
      <c r="P499" s="77" t="s">
        <v>39</v>
      </c>
      <c r="Q499" s="76">
        <v>45966</v>
      </c>
      <c r="R499" s="77"/>
      <c r="S499" s="77"/>
      <c r="T499" s="77"/>
      <c r="U499" s="77"/>
      <c r="V499" s="78"/>
      <c r="W499" s="79"/>
      <c r="X499" s="78"/>
      <c r="Y499" s="78"/>
      <c r="Z499" s="78"/>
      <c r="AA499">
        <f>IF(COUNTIF('Call Queue'!$H$6:$H$20,V499)&gt;0,0,IF(AND(ISNUMBER(N499),N499&gt;0),10000000+N499,IF(ISNUMBER(N499*1),IF(N499*1&gt;0,10000000+N499*1,0),0))+IF(ISNUMBER(SEARCH("(",L499)),1000000+IFERROR(VALUE(SUBSTITUTE(SUBSTITUTE(SUBSTITUTE(MID(L499,SEARCH("(",L499)+1,SEARCH(")",L499)-SEARCH("(",L499)-1),"$",""),",","")," ","")),0),0))</f>
        <v>0</v>
      </c>
    </row>
    <row r="500" spans="1:27">
      <c r="A500" s="76">
        <v>45905</v>
      </c>
      <c r="B500" s="77" t="s">
        <v>1959</v>
      </c>
      <c r="C500" s="77" t="s">
        <v>206</v>
      </c>
      <c r="D500" s="77" t="s">
        <v>169</v>
      </c>
      <c r="E500" s="77">
        <v>85395</v>
      </c>
      <c r="F500" s="77" t="s">
        <v>1960</v>
      </c>
      <c r="G500" s="77" t="s">
        <v>1723</v>
      </c>
      <c r="H500" s="77">
        <v>9277734775</v>
      </c>
      <c r="I500" s="77" t="s">
        <v>36</v>
      </c>
      <c r="J500" s="77" t="s">
        <v>37</v>
      </c>
      <c r="K500" s="77" t="s">
        <v>37</v>
      </c>
      <c r="L500" s="77" t="s">
        <v>38</v>
      </c>
      <c r="M500" s="77" t="s">
        <v>37</v>
      </c>
      <c r="N500" s="77" t="s">
        <v>37</v>
      </c>
      <c r="O500" s="77" t="s">
        <v>38</v>
      </c>
      <c r="P500" s="77" t="s">
        <v>39</v>
      </c>
      <c r="Q500" s="76">
        <v>45966</v>
      </c>
      <c r="R500" s="77"/>
      <c r="S500" s="77"/>
      <c r="T500" s="77"/>
      <c r="U500" s="77"/>
      <c r="V500" s="78"/>
      <c r="W500" s="79"/>
      <c r="X500" s="78"/>
      <c r="Y500" s="78"/>
      <c r="Z500" s="78"/>
      <c r="AA500">
        <f>IF(COUNTIF('Call Queue'!$H$6:$H$20,V500)&gt;0,0,IF(AND(ISNUMBER(N500),N500&gt;0),10000000+N500,IF(ISNUMBER(N500*1),IF(N500*1&gt;0,10000000+N500*1,0),0))+IF(ISNUMBER(SEARCH("(",L500)),1000000+IFERROR(VALUE(SUBSTITUTE(SUBSTITUTE(SUBSTITUTE(MID(L500,SEARCH("(",L500)+1,SEARCH(")",L500)-SEARCH("(",L500)-1),"$",""),",","")," ","")),0),0))</f>
        <v>0</v>
      </c>
    </row>
    <row r="501" spans="1:27">
      <c r="A501" s="76">
        <v>45905</v>
      </c>
      <c r="B501" s="77" t="s">
        <v>747</v>
      </c>
      <c r="C501" s="77" t="s">
        <v>1962</v>
      </c>
      <c r="D501" s="77" t="s">
        <v>63</v>
      </c>
      <c r="E501" s="77">
        <v>85027</v>
      </c>
      <c r="F501" s="77" t="s">
        <v>1957</v>
      </c>
      <c r="G501" s="77" t="s">
        <v>1723</v>
      </c>
      <c r="H501" s="77">
        <v>5786437888</v>
      </c>
      <c r="I501" s="77" t="s">
        <v>126</v>
      </c>
      <c r="J501" s="77" t="s">
        <v>38</v>
      </c>
      <c r="K501" s="77" t="s">
        <v>37</v>
      </c>
      <c r="L501" s="77" t="s">
        <v>38</v>
      </c>
      <c r="M501" s="77" t="s">
        <v>38</v>
      </c>
      <c r="N501" s="77">
        <v>349.29</v>
      </c>
      <c r="O501" s="77" t="s">
        <v>38</v>
      </c>
      <c r="P501" s="77" t="s">
        <v>39</v>
      </c>
      <c r="Q501" s="76">
        <v>45966</v>
      </c>
      <c r="R501" s="77" t="s">
        <v>495</v>
      </c>
      <c r="S501" s="77"/>
      <c r="T501" s="77"/>
      <c r="U501" s="77"/>
      <c r="V501" s="78" t="s">
        <v>5432</v>
      </c>
      <c r="W501" s="79">
        <v>46053</v>
      </c>
      <c r="X501" s="78" t="s">
        <v>38</v>
      </c>
      <c r="Y501" s="78"/>
      <c r="Z501" s="78" t="s">
        <v>5555</v>
      </c>
      <c r="AA501">
        <f>IF(COUNTIF('Call Queue'!$H$6:$H$20,V501)&gt;0,0,IF(AND(ISNUMBER(N501),N501&gt;0),10000000+N501,IF(ISNUMBER(N501*1),IF(N501*1&gt;0,10000000+N501*1,0),0))+IF(ISNUMBER(SEARCH("(",L501)),1000000+IFERROR(VALUE(SUBSTITUTE(SUBSTITUTE(SUBSTITUTE(MID(L501,SEARCH("(",L501)+1,SEARCH(")",L501)-SEARCH("(",L501)-1),"$",""),",","")," ","")),0),0))</f>
        <v>0</v>
      </c>
    </row>
    <row r="502" spans="1:27">
      <c r="A502" s="76">
        <v>45905</v>
      </c>
      <c r="B502" s="77" t="s">
        <v>49</v>
      </c>
      <c r="C502" s="77" t="s">
        <v>624</v>
      </c>
      <c r="D502" s="77" t="s">
        <v>63</v>
      </c>
      <c r="E502" s="77">
        <v>85027</v>
      </c>
      <c r="F502" s="77" t="s">
        <v>31</v>
      </c>
      <c r="G502" s="77" t="s">
        <v>1723</v>
      </c>
      <c r="H502" s="77">
        <v>3530497128</v>
      </c>
      <c r="I502" s="77" t="s">
        <v>73</v>
      </c>
      <c r="J502" s="77" t="s">
        <v>37</v>
      </c>
      <c r="K502" s="77" t="s">
        <v>37</v>
      </c>
      <c r="L502" s="77" t="s">
        <v>38</v>
      </c>
      <c r="M502" s="77" t="s">
        <v>37</v>
      </c>
      <c r="N502" s="77" t="s">
        <v>37</v>
      </c>
      <c r="O502" s="77" t="s">
        <v>38</v>
      </c>
      <c r="P502" s="77" t="s">
        <v>39</v>
      </c>
      <c r="Q502" s="76">
        <v>45966</v>
      </c>
      <c r="R502" s="77"/>
      <c r="S502" s="77"/>
      <c r="T502" s="77"/>
      <c r="U502" s="77"/>
      <c r="V502" s="78"/>
      <c r="W502" s="79"/>
      <c r="X502" s="78"/>
      <c r="Y502" s="78"/>
      <c r="Z502" s="78"/>
      <c r="AA502">
        <f>IF(COUNTIF('Call Queue'!$H$6:$H$20,V502)&gt;0,0,IF(AND(ISNUMBER(N502),N502&gt;0),10000000+N502,IF(ISNUMBER(N502*1),IF(N502*1&gt;0,10000000+N502*1,0),0))+IF(ISNUMBER(SEARCH("(",L502)),1000000+IFERROR(VALUE(SUBSTITUTE(SUBSTITUTE(SUBSTITUTE(MID(L502,SEARCH("(",L502)+1,SEARCH(")",L502)-SEARCH("(",L502)-1),"$",""),",","")," ","")),0),0))</f>
        <v>0</v>
      </c>
    </row>
    <row r="503" spans="1:27">
      <c r="A503" s="76">
        <v>45905</v>
      </c>
      <c r="B503" s="77" t="s">
        <v>1134</v>
      </c>
      <c r="C503" s="77" t="s">
        <v>1013</v>
      </c>
      <c r="D503" s="77" t="s">
        <v>202</v>
      </c>
      <c r="E503" s="77">
        <v>85383</v>
      </c>
      <c r="F503" s="77" t="s">
        <v>1965</v>
      </c>
      <c r="G503" s="77" t="s">
        <v>1723</v>
      </c>
      <c r="H503" s="77" t="s">
        <v>209</v>
      </c>
      <c r="I503" s="77"/>
      <c r="J503" s="77"/>
      <c r="K503" s="77"/>
      <c r="L503" s="77"/>
      <c r="M503" s="77"/>
      <c r="N503" s="77"/>
      <c r="O503" s="77"/>
      <c r="P503" s="77"/>
      <c r="Q503" s="76"/>
      <c r="R503" s="77"/>
      <c r="S503" s="77"/>
      <c r="T503" s="77"/>
      <c r="U503" s="77"/>
      <c r="V503" s="78"/>
      <c r="W503" s="79"/>
      <c r="X503" s="78"/>
      <c r="Y503" s="78"/>
      <c r="Z503" s="78"/>
      <c r="AA503">
        <f>IF(COUNTIF('Call Queue'!$H$6:$H$20,V503)&gt;0,0,IF(AND(ISNUMBER(N503),N503&gt;0),10000000+N503,IF(ISNUMBER(N503*1),IF(N503*1&gt;0,10000000+N503*1,0),0))+IF(ISNUMBER(SEARCH("(",L503)),1000000+IFERROR(VALUE(SUBSTITUTE(SUBSTITUTE(SUBSTITUTE(MID(L503,SEARCH("(",L503)+1,SEARCH(")",L503)-SEARCH("(",L503)-1),"$",""),",","")," ","")),0),0))</f>
        <v>0</v>
      </c>
    </row>
    <row r="504" spans="1:27">
      <c r="A504" s="76">
        <v>45905</v>
      </c>
      <c r="B504" s="77" t="s">
        <v>1967</v>
      </c>
      <c r="C504" s="77" t="s">
        <v>1968</v>
      </c>
      <c r="D504" s="77" t="s">
        <v>174</v>
      </c>
      <c r="E504" s="77">
        <v>85396</v>
      </c>
      <c r="F504" s="77" t="s">
        <v>31</v>
      </c>
      <c r="G504" s="77" t="s">
        <v>1723</v>
      </c>
      <c r="H504" s="77">
        <v>240641000</v>
      </c>
      <c r="I504" s="77" t="s">
        <v>196</v>
      </c>
      <c r="J504" s="77" t="s">
        <v>37</v>
      </c>
      <c r="K504" s="77" t="s">
        <v>37</v>
      </c>
      <c r="L504" s="77" t="s">
        <v>38</v>
      </c>
      <c r="M504" s="77" t="s">
        <v>37</v>
      </c>
      <c r="N504" s="77" t="s">
        <v>37</v>
      </c>
      <c r="O504" s="77" t="s">
        <v>38</v>
      </c>
      <c r="P504" s="77" t="s">
        <v>39</v>
      </c>
      <c r="Q504" s="76">
        <v>45966</v>
      </c>
      <c r="R504" s="77"/>
      <c r="S504" s="77"/>
      <c r="T504" s="77"/>
      <c r="U504" s="77"/>
      <c r="V504" s="78"/>
      <c r="W504" s="79"/>
      <c r="X504" s="78"/>
      <c r="Y504" s="78"/>
      <c r="Z504" s="78"/>
      <c r="AA504">
        <f>IF(COUNTIF('Call Queue'!$H$6:$H$20,V504)&gt;0,0,IF(AND(ISNUMBER(N504),N504&gt;0),10000000+N504,IF(ISNUMBER(N504*1),IF(N504*1&gt;0,10000000+N504*1,0),0))+IF(ISNUMBER(SEARCH("(",L504)),1000000+IFERROR(VALUE(SUBSTITUTE(SUBSTITUTE(SUBSTITUTE(MID(L504,SEARCH("(",L504)+1,SEARCH(")",L504)-SEARCH("(",L504)-1),"$",""),",","")," ","")),0),0))</f>
        <v>0</v>
      </c>
    </row>
    <row r="505" spans="1:27">
      <c r="A505" s="76">
        <v>45905</v>
      </c>
      <c r="B505" s="77" t="s">
        <v>1970</v>
      </c>
      <c r="C505" s="77" t="s">
        <v>1971</v>
      </c>
      <c r="D505" s="77" t="s">
        <v>63</v>
      </c>
      <c r="E505" s="77">
        <v>85083</v>
      </c>
      <c r="F505" s="77" t="s">
        <v>310</v>
      </c>
      <c r="G505" s="77" t="s">
        <v>1723</v>
      </c>
      <c r="H505" s="77">
        <v>1560882175</v>
      </c>
      <c r="I505" s="77" t="s">
        <v>46</v>
      </c>
      <c r="J505" s="77" t="s">
        <v>37</v>
      </c>
      <c r="K505" s="77" t="s">
        <v>37</v>
      </c>
      <c r="L505" s="77" t="s">
        <v>38</v>
      </c>
      <c r="M505" s="77" t="s">
        <v>37</v>
      </c>
      <c r="N505" s="77" t="s">
        <v>37</v>
      </c>
      <c r="O505" s="77" t="s">
        <v>38</v>
      </c>
      <c r="P505" s="77" t="s">
        <v>39</v>
      </c>
      <c r="Q505" s="76">
        <v>45966</v>
      </c>
      <c r="R505" s="77"/>
      <c r="S505" s="77"/>
      <c r="T505" s="77"/>
      <c r="U505" s="77"/>
      <c r="V505" s="78"/>
      <c r="W505" s="79"/>
      <c r="X505" s="78"/>
      <c r="Y505" s="78"/>
      <c r="Z505" s="78"/>
      <c r="AA505">
        <f>IF(COUNTIF('Call Queue'!$H$6:$H$20,V505)&gt;0,0,IF(AND(ISNUMBER(N505),N505&gt;0),10000000+N505,IF(ISNUMBER(N505*1),IF(N505*1&gt;0,10000000+N505*1,0),0))+IF(ISNUMBER(SEARCH("(",L505)),1000000+IFERROR(VALUE(SUBSTITUTE(SUBSTITUTE(SUBSTITUTE(MID(L505,SEARCH("(",L505)+1,SEARCH(")",L505)-SEARCH("(",L505)-1),"$",""),",","")," ","")),0),0))</f>
        <v>0</v>
      </c>
    </row>
    <row r="506" spans="1:27">
      <c r="A506" s="76">
        <v>45905</v>
      </c>
      <c r="B506" s="77" t="s">
        <v>1973</v>
      </c>
      <c r="C506" s="77" t="s">
        <v>597</v>
      </c>
      <c r="D506" s="77" t="s">
        <v>63</v>
      </c>
      <c r="E506" s="77">
        <v>85083</v>
      </c>
      <c r="F506" s="77" t="s">
        <v>31</v>
      </c>
      <c r="G506" s="77" t="s">
        <v>1723</v>
      </c>
      <c r="H506" s="77">
        <v>189241000</v>
      </c>
      <c r="I506" s="77" t="s">
        <v>36</v>
      </c>
      <c r="J506" s="77" t="s">
        <v>37</v>
      </c>
      <c r="K506" s="77" t="s">
        <v>37</v>
      </c>
      <c r="L506" s="77" t="s">
        <v>1975</v>
      </c>
      <c r="M506" s="77" t="s">
        <v>37</v>
      </c>
      <c r="N506" s="77" t="s">
        <v>37</v>
      </c>
      <c r="O506" s="77" t="s">
        <v>38</v>
      </c>
      <c r="P506" s="77" t="s">
        <v>39</v>
      </c>
      <c r="Q506" s="76">
        <v>45966</v>
      </c>
      <c r="R506" s="77" t="s">
        <v>1976</v>
      </c>
      <c r="S506" s="77"/>
      <c r="T506" s="77"/>
      <c r="U506" s="77"/>
      <c r="V506" s="78" t="s">
        <v>5432</v>
      </c>
      <c r="W506" s="79">
        <v>46053</v>
      </c>
      <c r="X506" s="78" t="s">
        <v>38</v>
      </c>
      <c r="Y506" s="78"/>
      <c r="Z506" s="78" t="s">
        <v>5555</v>
      </c>
      <c r="AA506">
        <f>IF(COUNTIF('Call Queue'!$H$6:$H$20,V506)&gt;0,0,IF(AND(ISNUMBER(N506),N506&gt;0),10000000+N506,IF(ISNUMBER(N506*1),IF(N506*1&gt;0,10000000+N506*1,0),0))+IF(ISNUMBER(SEARCH("(",L506)),1000000+IFERROR(VALUE(SUBSTITUTE(SUBSTITUTE(SUBSTITUTE(MID(L506,SEARCH("(",L506)+1,SEARCH(")",L506)-SEARCH("(",L506)-1),"$",""),",","")," ","")),0),0))</f>
        <v>0</v>
      </c>
    </row>
    <row r="507" spans="1:27">
      <c r="A507" s="76">
        <v>45905</v>
      </c>
      <c r="B507" s="77" t="s">
        <v>1977</v>
      </c>
      <c r="C507" s="77" t="s">
        <v>1824</v>
      </c>
      <c r="D507" s="77" t="s">
        <v>63</v>
      </c>
      <c r="E507" s="77">
        <v>85028</v>
      </c>
      <c r="F507" s="77" t="s">
        <v>1978</v>
      </c>
      <c r="G507" s="77" t="s">
        <v>1723</v>
      </c>
      <c r="H507" s="77">
        <v>2815878027</v>
      </c>
      <c r="I507" s="77" t="s">
        <v>126</v>
      </c>
      <c r="J507" s="77" t="s">
        <v>37</v>
      </c>
      <c r="K507" s="77" t="s">
        <v>37</v>
      </c>
      <c r="L507" s="77" t="s">
        <v>38</v>
      </c>
      <c r="M507" s="77" t="s">
        <v>37</v>
      </c>
      <c r="N507" s="77" t="s">
        <v>37</v>
      </c>
      <c r="O507" s="77" t="s">
        <v>38</v>
      </c>
      <c r="P507" s="77" t="s">
        <v>39</v>
      </c>
      <c r="Q507" s="76">
        <v>45966</v>
      </c>
      <c r="R507" s="77"/>
      <c r="S507" s="77"/>
      <c r="T507" s="77"/>
      <c r="U507" s="77"/>
      <c r="V507" s="78"/>
      <c r="W507" s="79"/>
      <c r="X507" s="78"/>
      <c r="Y507" s="78"/>
      <c r="Z507" s="78"/>
      <c r="AA507">
        <f>IF(COUNTIF('Call Queue'!$H$6:$H$20,V507)&gt;0,0,IF(AND(ISNUMBER(N507),N507&gt;0),10000000+N507,IF(ISNUMBER(N507*1),IF(N507*1&gt;0,10000000+N507*1,0),0))+IF(ISNUMBER(SEARCH("(",L507)),1000000+IFERROR(VALUE(SUBSTITUTE(SUBSTITUTE(SUBSTITUTE(MID(L507,SEARCH("(",L507)+1,SEARCH(")",L507)-SEARCH("(",L507)-1),"$",""),",","")," ","")),0),0))</f>
        <v>0</v>
      </c>
    </row>
    <row r="508" spans="1:27">
      <c r="A508" s="76">
        <v>45905</v>
      </c>
      <c r="B508" s="77" t="s">
        <v>424</v>
      </c>
      <c r="C508" s="77" t="s">
        <v>497</v>
      </c>
      <c r="D508" s="77" t="s">
        <v>63</v>
      </c>
      <c r="E508" s="77">
        <v>85022</v>
      </c>
      <c r="F508" s="77" t="s">
        <v>1980</v>
      </c>
      <c r="G508" s="77" t="s">
        <v>1723</v>
      </c>
      <c r="H508" s="77">
        <v>5976850000</v>
      </c>
      <c r="I508" s="77" t="s">
        <v>196</v>
      </c>
      <c r="J508" s="77" t="s">
        <v>37</v>
      </c>
      <c r="K508" s="77" t="s">
        <v>37</v>
      </c>
      <c r="L508" s="77" t="s">
        <v>1982</v>
      </c>
      <c r="M508" s="77" t="s">
        <v>37</v>
      </c>
      <c r="N508" s="77" t="s">
        <v>37</v>
      </c>
      <c r="O508" s="77" t="s">
        <v>38</v>
      </c>
      <c r="P508" s="77">
        <v>45936</v>
      </c>
      <c r="Q508" s="76">
        <v>45966</v>
      </c>
      <c r="R508" s="77" t="s">
        <v>1983</v>
      </c>
      <c r="S508" s="77"/>
      <c r="T508" s="77"/>
      <c r="U508" s="77"/>
      <c r="V508" s="78" t="s">
        <v>5432</v>
      </c>
      <c r="W508" s="79">
        <v>46053</v>
      </c>
      <c r="X508" s="78" t="s">
        <v>37</v>
      </c>
      <c r="Y508" s="78" t="s">
        <v>5438</v>
      </c>
      <c r="Z508" s="78" t="s">
        <v>5557</v>
      </c>
      <c r="AA508">
        <f>IF(COUNTIF('Call Queue'!$H$6:$H$20,V508)&gt;0,0,IF(AND(ISNUMBER(N508),N508&gt;0),10000000+N508,IF(ISNUMBER(N508*1),IF(N508*1&gt;0,10000000+N508*1,0),0))+IF(ISNUMBER(SEARCH("(",L508)),1000000+IFERROR(VALUE(SUBSTITUTE(SUBSTITUTE(SUBSTITUTE(MID(L508,SEARCH("(",L508)+1,SEARCH(")",L508)-SEARCH("(",L508)-1),"$",""),",","")," ","")),0),0))</f>
        <v>0</v>
      </c>
    </row>
    <row r="509" spans="1:27">
      <c r="A509" s="76">
        <v>45905</v>
      </c>
      <c r="B509" s="77" t="s">
        <v>1986</v>
      </c>
      <c r="C509" s="77" t="s">
        <v>1987</v>
      </c>
      <c r="D509" s="77" t="s">
        <v>202</v>
      </c>
      <c r="E509" s="77">
        <v>85383</v>
      </c>
      <c r="F509" s="77" t="s">
        <v>310</v>
      </c>
      <c r="G509" s="77" t="s">
        <v>1723</v>
      </c>
      <c r="H509" s="77">
        <v>208180000</v>
      </c>
      <c r="I509" s="77" t="s">
        <v>418</v>
      </c>
      <c r="J509" s="77" t="s">
        <v>37</v>
      </c>
      <c r="K509" s="77" t="s">
        <v>37</v>
      </c>
      <c r="L509" s="77" t="s">
        <v>389</v>
      </c>
      <c r="M509" s="77" t="s">
        <v>37</v>
      </c>
      <c r="N509" s="77" t="s">
        <v>37</v>
      </c>
      <c r="O509" s="77" t="s">
        <v>38</v>
      </c>
      <c r="P509" s="77" t="s">
        <v>39</v>
      </c>
      <c r="Q509" s="76">
        <v>45966</v>
      </c>
      <c r="R509" s="77"/>
      <c r="S509" s="77"/>
      <c r="T509" s="77"/>
      <c r="U509" s="77"/>
      <c r="V509" s="78"/>
      <c r="W509" s="79"/>
      <c r="X509" s="78"/>
      <c r="Y509" s="78"/>
      <c r="Z509" s="78"/>
      <c r="AA509">
        <f>IF(COUNTIF('Call Queue'!$H$6:$H$20,V509)&gt;0,0,IF(AND(ISNUMBER(N509),N509&gt;0),10000000+N509,IF(ISNUMBER(N509*1),IF(N509*1&gt;0,10000000+N509*1,0),0))+IF(ISNUMBER(SEARCH("(",L509)),1000000+IFERROR(VALUE(SUBSTITUTE(SUBSTITUTE(SUBSTITUTE(MID(L509,SEARCH("(",L509)+1,SEARCH(")",L509)-SEARCH("(",L509)-1),"$",""),",","")," ","")),0),0))</f>
        <v>0</v>
      </c>
    </row>
    <row r="510" spans="1:27">
      <c r="A510" s="76">
        <v>45905</v>
      </c>
      <c r="B510" s="77" t="s">
        <v>1989</v>
      </c>
      <c r="C510" s="77" t="s">
        <v>1127</v>
      </c>
      <c r="D510" s="77" t="s">
        <v>112</v>
      </c>
      <c r="E510" s="77">
        <v>85388</v>
      </c>
      <c r="F510" s="77" t="s">
        <v>1990</v>
      </c>
      <c r="G510" s="77" t="s">
        <v>1723</v>
      </c>
      <c r="H510" s="77">
        <v>9504901000</v>
      </c>
      <c r="I510" s="77" t="s">
        <v>196</v>
      </c>
      <c r="J510" s="77" t="s">
        <v>37</v>
      </c>
      <c r="K510" s="77" t="s">
        <v>37</v>
      </c>
      <c r="L510" s="77" t="s">
        <v>1992</v>
      </c>
      <c r="M510" s="77" t="s">
        <v>37</v>
      </c>
      <c r="N510" s="77" t="s">
        <v>37</v>
      </c>
      <c r="O510" s="77" t="s">
        <v>38</v>
      </c>
      <c r="P510" s="77">
        <v>45936</v>
      </c>
      <c r="Q510" s="76">
        <v>45966</v>
      </c>
      <c r="R510" s="77" t="s">
        <v>1993</v>
      </c>
      <c r="S510" s="77"/>
      <c r="T510" s="77"/>
      <c r="U510" s="77"/>
      <c r="V510" s="78" t="s">
        <v>5432</v>
      </c>
      <c r="W510" s="79">
        <v>46053</v>
      </c>
      <c r="X510" s="78" t="s">
        <v>38</v>
      </c>
      <c r="Y510" s="78"/>
      <c r="Z510" s="78" t="s">
        <v>5555</v>
      </c>
      <c r="AA510">
        <f>IF(COUNTIF('Call Queue'!$H$6:$H$20,V510)&gt;0,0,IF(AND(ISNUMBER(N510),N510&gt;0),10000000+N510,IF(ISNUMBER(N510*1),IF(N510*1&gt;0,10000000+N510*1,0),0))+IF(ISNUMBER(SEARCH("(",L510)),1000000+IFERROR(VALUE(SUBSTITUTE(SUBSTITUTE(SUBSTITUTE(MID(L510,SEARCH("(",L510)+1,SEARCH(")",L510)-SEARCH("(",L510)-1),"$",""),",","")," ","")),0),0))</f>
        <v>0</v>
      </c>
    </row>
    <row r="511" spans="1:27">
      <c r="A511" s="76">
        <v>45905</v>
      </c>
      <c r="B511" s="77" t="s">
        <v>1994</v>
      </c>
      <c r="C511" s="77" t="s">
        <v>1995</v>
      </c>
      <c r="D511" s="77" t="s">
        <v>63</v>
      </c>
      <c r="E511" s="77">
        <v>85021</v>
      </c>
      <c r="F511" s="77" t="s">
        <v>1996</v>
      </c>
      <c r="G511" s="77" t="s">
        <v>1723</v>
      </c>
      <c r="H511" s="77">
        <v>8950883553</v>
      </c>
      <c r="I511" s="77" t="s">
        <v>46</v>
      </c>
      <c r="J511" s="77" t="s">
        <v>37</v>
      </c>
      <c r="K511" s="77" t="s">
        <v>37</v>
      </c>
      <c r="L511" s="77" t="s">
        <v>38</v>
      </c>
      <c r="M511" s="77" t="s">
        <v>37</v>
      </c>
      <c r="N511" s="77" t="s">
        <v>37</v>
      </c>
      <c r="O511" s="77" t="s">
        <v>38</v>
      </c>
      <c r="P511" s="77" t="s">
        <v>39</v>
      </c>
      <c r="Q511" s="76">
        <v>45966</v>
      </c>
      <c r="R511" s="77"/>
      <c r="S511" s="77"/>
      <c r="T511" s="77"/>
      <c r="U511" s="77"/>
      <c r="V511" s="78"/>
      <c r="W511" s="79"/>
      <c r="X511" s="78"/>
      <c r="Y511" s="78"/>
      <c r="Z511" s="78"/>
      <c r="AA511">
        <f>IF(COUNTIF('Call Queue'!$H$6:$H$20,V511)&gt;0,0,IF(AND(ISNUMBER(N511),N511&gt;0),10000000+N511,IF(ISNUMBER(N511*1),IF(N511*1&gt;0,10000000+N511*1,0),0))+IF(ISNUMBER(SEARCH("(",L511)),1000000+IFERROR(VALUE(SUBSTITUTE(SUBSTITUTE(SUBSTITUTE(MID(L511,SEARCH("(",L511)+1,SEARCH(")",L511)-SEARCH("(",L511)-1),"$",""),",","")," ","")),0),0))</f>
        <v>0</v>
      </c>
    </row>
    <row r="512" spans="1:27">
      <c r="A512" s="76">
        <v>45905</v>
      </c>
      <c r="B512" s="77" t="s">
        <v>1998</v>
      </c>
      <c r="C512" s="77" t="s">
        <v>312</v>
      </c>
      <c r="D512" s="77" t="s">
        <v>125</v>
      </c>
      <c r="E512" s="77">
        <v>85255</v>
      </c>
      <c r="F512" s="77" t="s">
        <v>310</v>
      </c>
      <c r="G512" s="77" t="s">
        <v>1723</v>
      </c>
      <c r="H512" s="77">
        <v>9467156300</v>
      </c>
      <c r="I512" s="77" t="s">
        <v>196</v>
      </c>
      <c r="J512" s="77" t="s">
        <v>37</v>
      </c>
      <c r="K512" s="77" t="s">
        <v>37</v>
      </c>
      <c r="L512" s="77" t="s">
        <v>2000</v>
      </c>
      <c r="M512" s="77" t="s">
        <v>37</v>
      </c>
      <c r="N512" s="77" t="s">
        <v>37</v>
      </c>
      <c r="O512" s="77" t="s">
        <v>38</v>
      </c>
      <c r="P512" s="77">
        <v>45936</v>
      </c>
      <c r="Q512" s="76">
        <v>45966</v>
      </c>
      <c r="R512" s="77" t="s">
        <v>2001</v>
      </c>
      <c r="S512" s="77"/>
      <c r="T512" s="77"/>
      <c r="U512" s="77"/>
      <c r="V512" s="78" t="s">
        <v>5432</v>
      </c>
      <c r="W512" s="79">
        <v>46046</v>
      </c>
      <c r="X512" s="78" t="s">
        <v>37</v>
      </c>
      <c r="Y512" s="78"/>
      <c r="Z512" s="78" t="s">
        <v>5558</v>
      </c>
      <c r="AA512">
        <f>IF(COUNTIF('Call Queue'!$H$6:$H$20,V512)&gt;0,0,IF(AND(ISNUMBER(N512),N512&gt;0),10000000+N512,IF(ISNUMBER(N512*1),IF(N512*1&gt;0,10000000+N512*1,0),0))+IF(ISNUMBER(SEARCH("(",L512)),1000000+IFERROR(VALUE(SUBSTITUTE(SUBSTITUTE(SUBSTITUTE(MID(L512,SEARCH("(",L512)+1,SEARCH(")",L512)-SEARCH("(",L512)-1),"$",""),",","")," ","")),0),0))</f>
        <v>0</v>
      </c>
    </row>
    <row r="513" spans="1:27">
      <c r="A513" s="76">
        <v>45905</v>
      </c>
      <c r="B513" s="77" t="s">
        <v>2002</v>
      </c>
      <c r="C513" s="77" t="s">
        <v>899</v>
      </c>
      <c r="D513" s="77" t="s">
        <v>63</v>
      </c>
      <c r="E513" s="77">
        <v>85016</v>
      </c>
      <c r="F513" s="77" t="s">
        <v>2003</v>
      </c>
      <c r="G513" s="77" t="s">
        <v>1723</v>
      </c>
      <c r="H513" s="77">
        <v>6677040000</v>
      </c>
      <c r="I513" s="77" t="s">
        <v>36</v>
      </c>
      <c r="J513" s="77" t="s">
        <v>37</v>
      </c>
      <c r="K513" s="77" t="s">
        <v>37</v>
      </c>
      <c r="L513" s="77" t="s">
        <v>38</v>
      </c>
      <c r="M513" s="77" t="s">
        <v>37</v>
      </c>
      <c r="N513" s="77" t="s">
        <v>37</v>
      </c>
      <c r="O513" s="77" t="s">
        <v>38</v>
      </c>
      <c r="P513" s="77" t="s">
        <v>39</v>
      </c>
      <c r="Q513" s="76">
        <v>45966</v>
      </c>
      <c r="R513" s="77"/>
      <c r="S513" s="77"/>
      <c r="T513" s="77"/>
      <c r="U513" s="77"/>
      <c r="V513" s="78"/>
      <c r="W513" s="79"/>
      <c r="X513" s="78"/>
      <c r="Y513" s="78"/>
      <c r="Z513" s="78"/>
      <c r="AA513">
        <f>IF(COUNTIF('Call Queue'!$H$6:$H$20,V513)&gt;0,0,IF(AND(ISNUMBER(N513),N513&gt;0),10000000+N513,IF(ISNUMBER(N513*1),IF(N513*1&gt;0,10000000+N513*1,0),0))+IF(ISNUMBER(SEARCH("(",L513)),1000000+IFERROR(VALUE(SUBSTITUTE(SUBSTITUTE(SUBSTITUTE(MID(L513,SEARCH("(",L513)+1,SEARCH(")",L513)-SEARCH("(",L513)-1),"$",""),",","")," ","")),0),0))</f>
        <v>0</v>
      </c>
    </row>
    <row r="514" spans="1:27">
      <c r="A514" s="76">
        <v>45905</v>
      </c>
      <c r="B514" s="77" t="s">
        <v>2005</v>
      </c>
      <c r="C514" s="77" t="s">
        <v>2006</v>
      </c>
      <c r="D514" s="77" t="s">
        <v>202</v>
      </c>
      <c r="E514" s="77">
        <v>85383</v>
      </c>
      <c r="F514" s="77" t="s">
        <v>31</v>
      </c>
      <c r="G514" s="77" t="s">
        <v>1723</v>
      </c>
      <c r="H514" s="77">
        <v>1876163520</v>
      </c>
      <c r="I514" s="77" t="s">
        <v>196</v>
      </c>
      <c r="J514" s="77" t="s">
        <v>37</v>
      </c>
      <c r="K514" s="77" t="s">
        <v>37</v>
      </c>
      <c r="L514" s="77" t="s">
        <v>2008</v>
      </c>
      <c r="M514" s="77" t="s">
        <v>37</v>
      </c>
      <c r="N514" s="77" t="s">
        <v>37</v>
      </c>
      <c r="O514" s="77" t="s">
        <v>38</v>
      </c>
      <c r="P514" s="77">
        <v>45936</v>
      </c>
      <c r="Q514" s="76">
        <v>45966</v>
      </c>
      <c r="R514" s="77" t="s">
        <v>2009</v>
      </c>
      <c r="S514" s="77"/>
      <c r="T514" s="77"/>
      <c r="U514" s="77"/>
      <c r="V514" s="78" t="s">
        <v>5432</v>
      </c>
      <c r="W514" s="79">
        <v>46060</v>
      </c>
      <c r="X514" s="78" t="s">
        <v>37</v>
      </c>
      <c r="Y514" s="78" t="s">
        <v>5441</v>
      </c>
      <c r="Z514" s="78" t="s">
        <v>5559</v>
      </c>
      <c r="AA514">
        <f>IF(COUNTIF('Call Queue'!$H$6:$H$20,V514)&gt;0,0,IF(AND(ISNUMBER(N514),N514&gt;0),10000000+N514,IF(ISNUMBER(N514*1),IF(N514*1&gt;0,10000000+N514*1,0),0))+IF(ISNUMBER(SEARCH("(",L514)),1000000+IFERROR(VALUE(SUBSTITUTE(SUBSTITUTE(SUBSTITUTE(MID(L514,SEARCH("(",L514)+1,SEARCH(")",L514)-SEARCH("(",L514)-1),"$",""),",","")," ","")),0),0))</f>
        <v>0</v>
      </c>
    </row>
    <row r="515" spans="1:27">
      <c r="A515" s="76">
        <v>45905</v>
      </c>
      <c r="B515" s="77" t="s">
        <v>2010</v>
      </c>
      <c r="C515" s="77" t="s">
        <v>324</v>
      </c>
      <c r="D515" s="77" t="s">
        <v>63</v>
      </c>
      <c r="E515" s="77">
        <v>85003</v>
      </c>
      <c r="F515" s="77" t="s">
        <v>2011</v>
      </c>
      <c r="G515" s="77" t="s">
        <v>1723</v>
      </c>
      <c r="H515" s="77">
        <v>901196121</v>
      </c>
      <c r="I515" s="77" t="s">
        <v>196</v>
      </c>
      <c r="J515" s="77" t="s">
        <v>38</v>
      </c>
      <c r="K515" s="77" t="s">
        <v>37</v>
      </c>
      <c r="L515" s="77" t="s">
        <v>2013</v>
      </c>
      <c r="M515" s="77" t="s">
        <v>37</v>
      </c>
      <c r="N515" s="77" t="s">
        <v>37</v>
      </c>
      <c r="O515" s="77" t="s">
        <v>38</v>
      </c>
      <c r="P515" s="77" t="s">
        <v>39</v>
      </c>
      <c r="Q515" s="76">
        <v>45966</v>
      </c>
      <c r="R515" s="77"/>
      <c r="S515" s="77"/>
      <c r="T515" s="77"/>
      <c r="U515" s="77"/>
      <c r="V515" s="78" t="s">
        <v>5432</v>
      </c>
      <c r="W515" s="79">
        <v>46046</v>
      </c>
      <c r="X515" s="78" t="s">
        <v>37</v>
      </c>
      <c r="Y515" s="78" t="s">
        <v>5438</v>
      </c>
      <c r="Z515" s="78" t="s">
        <v>5560</v>
      </c>
      <c r="AA515">
        <f>IF(COUNTIF('Call Queue'!$H$6:$H$20,V515)&gt;0,0,IF(AND(ISNUMBER(N515),N515&gt;0),10000000+N515,IF(ISNUMBER(N515*1),IF(N515*1&gt;0,10000000+N515*1,0),0))+IF(ISNUMBER(SEARCH("(",L515)),1000000+IFERROR(VALUE(SUBSTITUTE(SUBSTITUTE(SUBSTITUTE(MID(L515,SEARCH("(",L515)+1,SEARCH(")",L515)-SEARCH("(",L515)-1),"$",""),",","")," ","")),0),0))</f>
        <v>0</v>
      </c>
    </row>
    <row r="516" spans="1:27">
      <c r="A516" s="76">
        <v>45905</v>
      </c>
      <c r="B516" s="77" t="s">
        <v>2014</v>
      </c>
      <c r="C516" s="77" t="s">
        <v>747</v>
      </c>
      <c r="D516" s="77" t="s">
        <v>202</v>
      </c>
      <c r="E516" s="77">
        <v>85383</v>
      </c>
      <c r="F516" s="77" t="s">
        <v>310</v>
      </c>
      <c r="G516" s="77" t="s">
        <v>1723</v>
      </c>
      <c r="H516" s="77" t="s">
        <v>2015</v>
      </c>
      <c r="I516" s="77" t="s">
        <v>46</v>
      </c>
      <c r="J516" s="77" t="s">
        <v>37</v>
      </c>
      <c r="K516" s="77" t="s">
        <v>37</v>
      </c>
      <c r="L516" s="77" t="s">
        <v>38</v>
      </c>
      <c r="M516" s="77" t="s">
        <v>37</v>
      </c>
      <c r="N516" s="77" t="s">
        <v>37</v>
      </c>
      <c r="O516" s="77" t="s">
        <v>38</v>
      </c>
      <c r="P516" s="77" t="s">
        <v>39</v>
      </c>
      <c r="Q516" s="76">
        <v>45966</v>
      </c>
      <c r="R516" s="77"/>
      <c r="S516" s="77"/>
      <c r="T516" s="77"/>
      <c r="U516" s="77"/>
      <c r="V516" s="78"/>
      <c r="W516" s="79"/>
      <c r="X516" s="78"/>
      <c r="Y516" s="78"/>
      <c r="Z516" s="78"/>
      <c r="AA516">
        <f>IF(COUNTIF('Call Queue'!$H$6:$H$20,V516)&gt;0,0,IF(AND(ISNUMBER(N516),N516&gt;0),10000000+N516,IF(ISNUMBER(N516*1),IF(N516*1&gt;0,10000000+N516*1,0),0))+IF(ISNUMBER(SEARCH("(",L516)),1000000+IFERROR(VALUE(SUBSTITUTE(SUBSTITUTE(SUBSTITUTE(MID(L516,SEARCH("(",L516)+1,SEARCH(")",L516)-SEARCH("(",L516)-1),"$",""),",","")," ","")),0),0))</f>
        <v>0</v>
      </c>
    </row>
    <row r="517" spans="1:27">
      <c r="A517" s="76">
        <v>45905</v>
      </c>
      <c r="B517" s="77" t="s">
        <v>2016</v>
      </c>
      <c r="C517" s="77" t="s">
        <v>911</v>
      </c>
      <c r="D517" s="77" t="s">
        <v>125</v>
      </c>
      <c r="E517" s="77">
        <v>85255</v>
      </c>
      <c r="F517" s="77" t="s">
        <v>31</v>
      </c>
      <c r="G517" s="77" t="s">
        <v>1723</v>
      </c>
      <c r="H517" s="77">
        <v>3106790000</v>
      </c>
      <c r="I517" s="77" t="s">
        <v>250</v>
      </c>
      <c r="J517" s="77" t="s">
        <v>37</v>
      </c>
      <c r="K517" s="77" t="s">
        <v>37</v>
      </c>
      <c r="L517" s="77" t="s">
        <v>38</v>
      </c>
      <c r="M517" s="77" t="s">
        <v>37</v>
      </c>
      <c r="N517" s="77" t="s">
        <v>37</v>
      </c>
      <c r="O517" s="77" t="s">
        <v>38</v>
      </c>
      <c r="P517" s="77" t="s">
        <v>39</v>
      </c>
      <c r="Q517" s="76">
        <v>45966</v>
      </c>
      <c r="R517" s="77"/>
      <c r="S517" s="77"/>
      <c r="T517" s="77"/>
      <c r="U517" s="77"/>
      <c r="V517" s="78"/>
      <c r="W517" s="79"/>
      <c r="X517" s="78"/>
      <c r="Y517" s="78"/>
      <c r="Z517" s="78"/>
      <c r="AA517">
        <f>IF(COUNTIF('Call Queue'!$H$6:$H$20,V517)&gt;0,0,IF(AND(ISNUMBER(N517),N517&gt;0),10000000+N517,IF(ISNUMBER(N517*1),IF(N517*1&gt;0,10000000+N517*1,0),0))+IF(ISNUMBER(SEARCH("(",L517)),1000000+IFERROR(VALUE(SUBSTITUTE(SUBSTITUTE(SUBSTITUTE(MID(L517,SEARCH("(",L517)+1,SEARCH(")",L517)-SEARCH("(",L517)-1),"$",""),",","")," ","")),0),0))</f>
        <v>0</v>
      </c>
    </row>
    <row r="518" spans="1:27">
      <c r="A518" s="76">
        <v>45905</v>
      </c>
      <c r="B518" s="77" t="s">
        <v>2018</v>
      </c>
      <c r="C518" s="77" t="s">
        <v>2019</v>
      </c>
      <c r="D518" s="77" t="s">
        <v>635</v>
      </c>
      <c r="E518" s="77">
        <v>85288</v>
      </c>
      <c r="F518" s="77" t="s">
        <v>310</v>
      </c>
      <c r="G518" s="77" t="s">
        <v>1723</v>
      </c>
      <c r="H518" s="77">
        <v>363441000</v>
      </c>
      <c r="I518" s="77" t="s">
        <v>196</v>
      </c>
      <c r="J518" s="77" t="s">
        <v>37</v>
      </c>
      <c r="K518" s="77" t="s">
        <v>37</v>
      </c>
      <c r="L518" s="77" t="s">
        <v>2021</v>
      </c>
      <c r="M518" s="77" t="s">
        <v>37</v>
      </c>
      <c r="N518" s="77" t="s">
        <v>37</v>
      </c>
      <c r="O518" s="77" t="s">
        <v>38</v>
      </c>
      <c r="P518" s="77">
        <v>45936</v>
      </c>
      <c r="Q518" s="76">
        <v>45966</v>
      </c>
      <c r="R518" s="77" t="s">
        <v>2022</v>
      </c>
      <c r="S518" s="77"/>
      <c r="T518" s="77"/>
      <c r="U518" s="77"/>
      <c r="V518" s="78" t="s">
        <v>5432</v>
      </c>
      <c r="W518" s="79">
        <v>46046</v>
      </c>
      <c r="X518" s="78" t="s">
        <v>38</v>
      </c>
      <c r="Y518" s="78"/>
      <c r="Z518" s="78"/>
      <c r="AA518">
        <f>IF(COUNTIF('Call Queue'!$H$6:$H$20,V518)&gt;0,0,IF(AND(ISNUMBER(N518),N518&gt;0),10000000+N518,IF(ISNUMBER(N518*1),IF(N518*1&gt;0,10000000+N518*1,0),0))+IF(ISNUMBER(SEARCH("(",L518)),1000000+IFERROR(VALUE(SUBSTITUTE(SUBSTITUTE(SUBSTITUTE(MID(L518,SEARCH("(",L518)+1,SEARCH(")",L518)-SEARCH("(",L518)-1),"$",""),",","")," ","")),0),0))</f>
        <v>0</v>
      </c>
    </row>
    <row r="519" spans="1:27">
      <c r="A519" s="76">
        <v>45905</v>
      </c>
      <c r="B519" s="77" t="s">
        <v>2023</v>
      </c>
      <c r="C519" s="77" t="s">
        <v>333</v>
      </c>
      <c r="D519" s="77" t="s">
        <v>63</v>
      </c>
      <c r="E519" s="77">
        <v>85024</v>
      </c>
      <c r="F519" s="77" t="s">
        <v>310</v>
      </c>
      <c r="G519" s="77" t="s">
        <v>1723</v>
      </c>
      <c r="H519" s="77">
        <v>8098420000</v>
      </c>
      <c r="I519" s="77" t="s">
        <v>196</v>
      </c>
      <c r="J519" s="77" t="s">
        <v>37</v>
      </c>
      <c r="K519" s="77" t="s">
        <v>37</v>
      </c>
      <c r="L519" s="77" t="s">
        <v>38</v>
      </c>
      <c r="M519" s="77" t="s">
        <v>37</v>
      </c>
      <c r="N519" s="77" t="s">
        <v>37</v>
      </c>
      <c r="O519" s="77" t="s">
        <v>38</v>
      </c>
      <c r="P519" s="77" t="s">
        <v>39</v>
      </c>
      <c r="Q519" s="76">
        <v>45966</v>
      </c>
      <c r="R519" s="77"/>
      <c r="S519" s="77"/>
      <c r="T519" s="77"/>
      <c r="U519" s="77"/>
      <c r="V519" s="78"/>
      <c r="W519" s="79"/>
      <c r="X519" s="78"/>
      <c r="Y519" s="78"/>
      <c r="Z519" s="78"/>
      <c r="AA519">
        <f>IF(COUNTIF('Call Queue'!$H$6:$H$20,V519)&gt;0,0,IF(AND(ISNUMBER(N519),N519&gt;0),10000000+N519,IF(ISNUMBER(N519*1),IF(N519*1&gt;0,10000000+N519*1,0),0))+IF(ISNUMBER(SEARCH("(",L519)),1000000+IFERROR(VALUE(SUBSTITUTE(SUBSTITUTE(SUBSTITUTE(MID(L519,SEARCH("(",L519)+1,SEARCH(")",L519)-SEARCH("(",L519)-1),"$",""),",","")," ","")),0),0))</f>
        <v>0</v>
      </c>
    </row>
    <row r="520" spans="1:27">
      <c r="A520" s="76">
        <v>45905</v>
      </c>
      <c r="B520" s="77" t="s">
        <v>2025</v>
      </c>
      <c r="C520" s="77" t="s">
        <v>225</v>
      </c>
      <c r="D520" s="77" t="s">
        <v>428</v>
      </c>
      <c r="E520" s="77">
        <v>85335</v>
      </c>
      <c r="F520" s="77" t="s">
        <v>2026</v>
      </c>
      <c r="G520" s="77" t="s">
        <v>1723</v>
      </c>
      <c r="H520" s="77">
        <v>225558656</v>
      </c>
      <c r="I520" s="77" t="s">
        <v>46</v>
      </c>
      <c r="J520" s="77" t="s">
        <v>37</v>
      </c>
      <c r="K520" s="77" t="s">
        <v>37</v>
      </c>
      <c r="L520" s="77" t="s">
        <v>38</v>
      </c>
      <c r="M520" s="77" t="s">
        <v>37</v>
      </c>
      <c r="N520" s="77" t="s">
        <v>37</v>
      </c>
      <c r="O520" s="77" t="s">
        <v>38</v>
      </c>
      <c r="P520" s="77" t="s">
        <v>39</v>
      </c>
      <c r="Q520" s="76">
        <v>45966</v>
      </c>
      <c r="R520" s="77"/>
      <c r="S520" s="77"/>
      <c r="T520" s="77"/>
      <c r="U520" s="77"/>
      <c r="V520" s="78"/>
      <c r="W520" s="79"/>
      <c r="X520" s="78"/>
      <c r="Y520" s="78"/>
      <c r="Z520" s="78"/>
      <c r="AA520">
        <f>IF(COUNTIF('Call Queue'!$H$6:$H$20,V520)&gt;0,0,IF(AND(ISNUMBER(N520),N520&gt;0),10000000+N520,IF(ISNUMBER(N520*1),IF(N520*1&gt;0,10000000+N520*1,0),0))+IF(ISNUMBER(SEARCH("(",L520)),1000000+IFERROR(VALUE(SUBSTITUTE(SUBSTITUTE(SUBSTITUTE(MID(L520,SEARCH("(",L520)+1,SEARCH(")",L520)-SEARCH("(",L520)-1),"$",""),",","")," ","")),0),0))</f>
        <v>0</v>
      </c>
    </row>
    <row r="521" spans="1:27">
      <c r="A521" s="76">
        <v>45905</v>
      </c>
      <c r="B521" s="77" t="s">
        <v>2028</v>
      </c>
      <c r="C521" s="77" t="s">
        <v>705</v>
      </c>
      <c r="D521" s="77" t="s">
        <v>169</v>
      </c>
      <c r="E521" s="77">
        <v>85338</v>
      </c>
      <c r="F521" s="77" t="s">
        <v>31</v>
      </c>
      <c r="G521" s="77" t="s">
        <v>1723</v>
      </c>
      <c r="H521" s="77">
        <v>3472796278</v>
      </c>
      <c r="I521" s="77" t="s">
        <v>36</v>
      </c>
      <c r="J521" s="77" t="s">
        <v>38</v>
      </c>
      <c r="K521" s="77" t="s">
        <v>37</v>
      </c>
      <c r="L521" s="77" t="s">
        <v>38</v>
      </c>
      <c r="M521" s="77" t="s">
        <v>37</v>
      </c>
      <c r="N521" s="77" t="s">
        <v>37</v>
      </c>
      <c r="O521" s="77" t="s">
        <v>38</v>
      </c>
      <c r="P521" s="77" t="s">
        <v>39</v>
      </c>
      <c r="Q521" s="76">
        <v>45966</v>
      </c>
      <c r="R521" s="77"/>
      <c r="S521" s="77"/>
      <c r="T521" s="77"/>
      <c r="U521" s="77"/>
      <c r="V521" s="78"/>
      <c r="W521" s="79"/>
      <c r="X521" s="78"/>
      <c r="Y521" s="78"/>
      <c r="Z521" s="78"/>
      <c r="AA521">
        <f>IF(COUNTIF('Call Queue'!$H$6:$H$20,V521)&gt;0,0,IF(AND(ISNUMBER(N521),N521&gt;0),10000000+N521,IF(ISNUMBER(N521*1),IF(N521*1&gt;0,10000000+N521*1,0),0))+IF(ISNUMBER(SEARCH("(",L521)),1000000+IFERROR(VALUE(SUBSTITUTE(SUBSTITUTE(SUBSTITUTE(MID(L521,SEARCH("(",L521)+1,SEARCH(")",L521)-SEARCH("(",L521)-1),"$",""),",","")," ","")),0),0))</f>
        <v>0</v>
      </c>
    </row>
    <row r="522" spans="1:27">
      <c r="A522" s="76">
        <v>45905</v>
      </c>
      <c r="B522" s="77" t="s">
        <v>2030</v>
      </c>
      <c r="C522" s="77" t="s">
        <v>548</v>
      </c>
      <c r="D522" s="77" t="s">
        <v>202</v>
      </c>
      <c r="E522" s="77">
        <v>85383</v>
      </c>
      <c r="F522" s="77" t="s">
        <v>310</v>
      </c>
      <c r="G522" s="77" t="s">
        <v>1723</v>
      </c>
      <c r="H522" s="77">
        <v>9986232210</v>
      </c>
      <c r="I522" s="77" t="s">
        <v>196</v>
      </c>
      <c r="J522" s="77" t="s">
        <v>37</v>
      </c>
      <c r="K522" s="77" t="s">
        <v>37</v>
      </c>
      <c r="L522" s="77" t="s">
        <v>2032</v>
      </c>
      <c r="M522" s="77" t="s">
        <v>37</v>
      </c>
      <c r="N522" s="77" t="s">
        <v>37</v>
      </c>
      <c r="O522" s="77" t="s">
        <v>38</v>
      </c>
      <c r="P522" s="77">
        <v>45936</v>
      </c>
      <c r="Q522" s="76">
        <v>45966</v>
      </c>
      <c r="R522" s="77" t="s">
        <v>1732</v>
      </c>
      <c r="S522" s="77"/>
      <c r="T522" s="77"/>
      <c r="U522" s="77"/>
      <c r="V522" s="78" t="s">
        <v>5432</v>
      </c>
      <c r="W522" s="79">
        <v>46046</v>
      </c>
      <c r="X522" s="78" t="s">
        <v>37</v>
      </c>
      <c r="Y522" s="78"/>
      <c r="Z522" s="78" t="s">
        <v>5558</v>
      </c>
      <c r="AA522">
        <f>IF(COUNTIF('Call Queue'!$H$6:$H$20,V522)&gt;0,0,IF(AND(ISNUMBER(N522),N522&gt;0),10000000+N522,IF(ISNUMBER(N522*1),IF(N522*1&gt;0,10000000+N522*1,0),0))+IF(ISNUMBER(SEARCH("(",L522)),1000000+IFERROR(VALUE(SUBSTITUTE(SUBSTITUTE(SUBSTITUTE(MID(L522,SEARCH("(",L522)+1,SEARCH(")",L522)-SEARCH("(",L522)-1),"$",""),",","")," ","")),0),0))</f>
        <v>0</v>
      </c>
    </row>
    <row r="523" spans="1:27">
      <c r="A523" s="76">
        <v>45905</v>
      </c>
      <c r="B523" s="77" t="s">
        <v>1202</v>
      </c>
      <c r="C523" s="77" t="s">
        <v>1711</v>
      </c>
      <c r="D523" s="77" t="s">
        <v>112</v>
      </c>
      <c r="E523" s="77">
        <v>85379</v>
      </c>
      <c r="F523" s="77" t="s">
        <v>310</v>
      </c>
      <c r="G523" s="77" t="s">
        <v>1723</v>
      </c>
      <c r="H523" s="77">
        <v>3240422325</v>
      </c>
      <c r="I523" s="77" t="s">
        <v>250</v>
      </c>
      <c r="J523" s="77" t="s">
        <v>37</v>
      </c>
      <c r="K523" s="77" t="s">
        <v>37</v>
      </c>
      <c r="L523" s="77" t="s">
        <v>38</v>
      </c>
      <c r="M523" s="77" t="s">
        <v>37</v>
      </c>
      <c r="N523" s="77" t="s">
        <v>37</v>
      </c>
      <c r="O523" s="77" t="s">
        <v>38</v>
      </c>
      <c r="P523" s="77" t="s">
        <v>39</v>
      </c>
      <c r="Q523" s="76">
        <v>45966</v>
      </c>
      <c r="R523" s="77"/>
      <c r="S523" s="77"/>
      <c r="T523" s="77"/>
      <c r="U523" s="77"/>
      <c r="V523" s="78"/>
      <c r="W523" s="79"/>
      <c r="X523" s="78"/>
      <c r="Y523" s="78"/>
      <c r="Z523" s="78"/>
      <c r="AA523">
        <f>IF(COUNTIF('Call Queue'!$H$6:$H$20,V523)&gt;0,0,IF(AND(ISNUMBER(N523),N523&gt;0),10000000+N523,IF(ISNUMBER(N523*1),IF(N523*1&gt;0,10000000+N523*1,0),0))+IF(ISNUMBER(SEARCH("(",L523)),1000000+IFERROR(VALUE(SUBSTITUTE(SUBSTITUTE(SUBSTITUTE(MID(L523,SEARCH("(",L523)+1,SEARCH(")",L523)-SEARCH("(",L523)-1),"$",""),",","")," ","")),0),0))</f>
        <v>0</v>
      </c>
    </row>
    <row r="524" spans="1:27">
      <c r="A524" s="76">
        <v>45905</v>
      </c>
      <c r="B524" s="77" t="s">
        <v>2030</v>
      </c>
      <c r="C524" s="77" t="s">
        <v>1894</v>
      </c>
      <c r="D524" s="77" t="s">
        <v>202</v>
      </c>
      <c r="E524" s="77">
        <v>85383</v>
      </c>
      <c r="F524" s="77" t="s">
        <v>310</v>
      </c>
      <c r="G524" s="77" t="s">
        <v>1723</v>
      </c>
      <c r="H524" s="77">
        <v>9986232210</v>
      </c>
      <c r="I524" s="77" t="s">
        <v>196</v>
      </c>
      <c r="J524" s="77" t="s">
        <v>37</v>
      </c>
      <c r="K524" s="77" t="s">
        <v>37</v>
      </c>
      <c r="L524" s="77" t="s">
        <v>2032</v>
      </c>
      <c r="M524" s="77" t="s">
        <v>37</v>
      </c>
      <c r="N524" s="77" t="s">
        <v>37</v>
      </c>
      <c r="O524" s="77" t="s">
        <v>38</v>
      </c>
      <c r="P524" s="77">
        <v>45936</v>
      </c>
      <c r="Q524" s="76">
        <v>45966</v>
      </c>
      <c r="R524" s="77" t="s">
        <v>1732</v>
      </c>
      <c r="S524" s="77"/>
      <c r="T524" s="77"/>
      <c r="U524" s="77"/>
      <c r="V524" s="78"/>
      <c r="W524" s="79"/>
      <c r="X524" s="78"/>
      <c r="Y524" s="78"/>
      <c r="Z524" s="78"/>
      <c r="AA524">
        <f>IF(COUNTIF('Call Queue'!$H$6:$H$20,V524)&gt;0,0,IF(AND(ISNUMBER(N524),N524&gt;0),10000000+N524,IF(ISNUMBER(N524*1),IF(N524*1&gt;0,10000000+N524*1,0),0))+IF(ISNUMBER(SEARCH("(",L524)),1000000+IFERROR(VALUE(SUBSTITUTE(SUBSTITUTE(SUBSTITUTE(MID(L524,SEARCH("(",L524)+1,SEARCH(")",L524)-SEARCH("(",L524)-1),"$",""),",","")," ","")),0),0))</f>
        <v>1000392.95</v>
      </c>
    </row>
    <row r="525" spans="1:27">
      <c r="A525" s="76">
        <v>45905</v>
      </c>
      <c r="B525" s="77" t="s">
        <v>2036</v>
      </c>
      <c r="C525" s="77" t="s">
        <v>680</v>
      </c>
      <c r="D525" s="77" t="s">
        <v>63</v>
      </c>
      <c r="E525" s="77">
        <v>85020</v>
      </c>
      <c r="F525" s="77" t="s">
        <v>31</v>
      </c>
      <c r="G525" s="77" t="s">
        <v>1723</v>
      </c>
      <c r="H525" s="77">
        <v>7036097429</v>
      </c>
      <c r="I525" s="77" t="s">
        <v>36</v>
      </c>
      <c r="J525" s="77" t="s">
        <v>37</v>
      </c>
      <c r="K525" s="77" t="s">
        <v>37</v>
      </c>
      <c r="L525" s="77" t="s">
        <v>2037</v>
      </c>
      <c r="M525" s="77" t="s">
        <v>37</v>
      </c>
      <c r="N525" s="77" t="s">
        <v>37</v>
      </c>
      <c r="O525" s="77" t="s">
        <v>38</v>
      </c>
      <c r="P525" s="77">
        <v>45936</v>
      </c>
      <c r="Q525" s="76">
        <v>45966</v>
      </c>
      <c r="R525" s="77" t="s">
        <v>2038</v>
      </c>
      <c r="S525" s="77"/>
      <c r="T525" s="77"/>
      <c r="U525" s="77"/>
      <c r="V525" s="78" t="s">
        <v>5432</v>
      </c>
      <c r="W525" s="79">
        <v>46060</v>
      </c>
      <c r="X525" s="78"/>
      <c r="Y525" s="78"/>
      <c r="Z525" s="78" t="s">
        <v>5555</v>
      </c>
      <c r="AA525">
        <f>IF(COUNTIF('Call Queue'!$H$6:$H$20,V525)&gt;0,0,IF(AND(ISNUMBER(N525),N525&gt;0),10000000+N525,IF(ISNUMBER(N525*1),IF(N525*1&gt;0,10000000+N525*1,0),0))+IF(ISNUMBER(SEARCH("(",L525)),1000000+IFERROR(VALUE(SUBSTITUTE(SUBSTITUTE(SUBSTITUTE(MID(L525,SEARCH("(",L525)+1,SEARCH(")",L525)-SEARCH("(",L525)-1),"$",""),",","")," ","")),0),0))</f>
        <v>0</v>
      </c>
    </row>
    <row r="526" spans="1:27">
      <c r="A526" s="76">
        <v>45905</v>
      </c>
      <c r="B526" s="77" t="s">
        <v>2041</v>
      </c>
      <c r="C526" s="77" t="s">
        <v>821</v>
      </c>
      <c r="D526" s="77" t="s">
        <v>125</v>
      </c>
      <c r="E526" s="77">
        <v>85258</v>
      </c>
      <c r="F526" s="77" t="s">
        <v>31</v>
      </c>
      <c r="G526" s="77" t="s">
        <v>1723</v>
      </c>
      <c r="H526" s="77" t="s">
        <v>2042</v>
      </c>
      <c r="I526" s="77" t="s">
        <v>541</v>
      </c>
      <c r="J526" s="77" t="s">
        <v>37</v>
      </c>
      <c r="K526" s="77" t="s">
        <v>37</v>
      </c>
      <c r="L526" s="77" t="s">
        <v>389</v>
      </c>
      <c r="M526" s="77" t="s">
        <v>37</v>
      </c>
      <c r="N526" s="77" t="s">
        <v>37</v>
      </c>
      <c r="O526" s="77" t="s">
        <v>38</v>
      </c>
      <c r="P526" s="77" t="s">
        <v>39</v>
      </c>
      <c r="Q526" s="76">
        <v>45966</v>
      </c>
      <c r="R526" s="77"/>
      <c r="S526" s="77"/>
      <c r="T526" s="77"/>
      <c r="U526" s="77"/>
      <c r="V526" s="78"/>
      <c r="W526" s="79"/>
      <c r="X526" s="78"/>
      <c r="Y526" s="78"/>
      <c r="Z526" s="78"/>
      <c r="AA526">
        <f>IF(COUNTIF('Call Queue'!$H$6:$H$20,V526)&gt;0,0,IF(AND(ISNUMBER(N526),N526&gt;0),10000000+N526,IF(ISNUMBER(N526*1),IF(N526*1&gt;0,10000000+N526*1,0),0))+IF(ISNUMBER(SEARCH("(",L526)),1000000+IFERROR(VALUE(SUBSTITUTE(SUBSTITUTE(SUBSTITUTE(MID(L526,SEARCH("(",L526)+1,SEARCH(")",L526)-SEARCH("(",L526)-1),"$",""),",","")," ","")),0),0))</f>
        <v>0</v>
      </c>
    </row>
    <row r="527" spans="1:27">
      <c r="A527" s="76">
        <v>45905</v>
      </c>
      <c r="B527" s="77" t="s">
        <v>358</v>
      </c>
      <c r="C527" s="77" t="s">
        <v>117</v>
      </c>
      <c r="D527" s="77" t="s">
        <v>174</v>
      </c>
      <c r="E527" s="77">
        <v>85326</v>
      </c>
      <c r="F527" s="77" t="s">
        <v>310</v>
      </c>
      <c r="G527" s="77" t="s">
        <v>1723</v>
      </c>
      <c r="H527" s="77" t="s">
        <v>209</v>
      </c>
      <c r="I527" s="77"/>
      <c r="J527" s="77"/>
      <c r="K527" s="77"/>
      <c r="L527" s="77"/>
      <c r="M527" s="77"/>
      <c r="N527" s="77"/>
      <c r="O527" s="77"/>
      <c r="P527" s="77"/>
      <c r="Q527" s="76"/>
      <c r="R527" s="77"/>
      <c r="S527" s="77"/>
      <c r="T527" s="77"/>
      <c r="U527" s="77"/>
      <c r="V527" s="78"/>
      <c r="W527" s="79"/>
      <c r="X527" s="78"/>
      <c r="Y527" s="78"/>
      <c r="Z527" s="78"/>
      <c r="AA527">
        <f>IF(COUNTIF('Call Queue'!$H$6:$H$20,V527)&gt;0,0,IF(AND(ISNUMBER(N527),N527&gt;0),10000000+N527,IF(ISNUMBER(N527*1),IF(N527*1&gt;0,10000000+N527*1,0),0))+IF(ISNUMBER(SEARCH("(",L527)),1000000+IFERROR(VALUE(SUBSTITUTE(SUBSTITUTE(SUBSTITUTE(MID(L527,SEARCH("(",L527)+1,SEARCH(")",L527)-SEARCH("(",L527)-1),"$",""),",","")," ","")),0),0))</f>
        <v>0</v>
      </c>
    </row>
    <row r="528" spans="1:27">
      <c r="A528" s="76">
        <v>45905</v>
      </c>
      <c r="B528" s="77" t="s">
        <v>2043</v>
      </c>
      <c r="C528" s="77" t="s">
        <v>328</v>
      </c>
      <c r="D528" s="77" t="s">
        <v>112</v>
      </c>
      <c r="E528" s="77">
        <v>85388</v>
      </c>
      <c r="F528" s="77" t="s">
        <v>310</v>
      </c>
      <c r="G528" s="77" t="s">
        <v>1723</v>
      </c>
      <c r="H528" s="77">
        <v>7248154783</v>
      </c>
      <c r="I528" s="77" t="s">
        <v>36</v>
      </c>
      <c r="J528" s="77" t="s">
        <v>37</v>
      </c>
      <c r="K528" s="77" t="s">
        <v>37</v>
      </c>
      <c r="L528" s="77" t="s">
        <v>38</v>
      </c>
      <c r="M528" s="77" t="s">
        <v>37</v>
      </c>
      <c r="N528" s="77" t="s">
        <v>37</v>
      </c>
      <c r="O528" s="77" t="s">
        <v>38</v>
      </c>
      <c r="P528" s="77" t="s">
        <v>39</v>
      </c>
      <c r="Q528" s="76">
        <v>45966</v>
      </c>
      <c r="R528" s="77"/>
      <c r="S528" s="77"/>
      <c r="T528" s="77"/>
      <c r="U528" s="77"/>
      <c r="V528" s="78"/>
      <c r="W528" s="79"/>
      <c r="X528" s="78"/>
      <c r="Y528" s="78"/>
      <c r="Z528" s="78"/>
      <c r="AA528">
        <f>IF(COUNTIF('Call Queue'!$H$6:$H$20,V528)&gt;0,0,IF(AND(ISNUMBER(N528),N528&gt;0),10000000+N528,IF(ISNUMBER(N528*1),IF(N528*1&gt;0,10000000+N528*1,0),0))+IF(ISNUMBER(SEARCH("(",L528)),1000000+IFERROR(VALUE(SUBSTITUTE(SUBSTITUTE(SUBSTITUTE(MID(L528,SEARCH("(",L528)+1,SEARCH(")",L528)-SEARCH("(",L528)-1),"$",""),",","")," ","")),0),0))</f>
        <v>0</v>
      </c>
    </row>
    <row r="529" spans="1:27">
      <c r="A529" s="76">
        <v>45905</v>
      </c>
      <c r="B529" s="77" t="s">
        <v>2045</v>
      </c>
      <c r="C529" s="77" t="s">
        <v>2046</v>
      </c>
      <c r="D529" s="77" t="s">
        <v>63</v>
      </c>
      <c r="E529" s="77">
        <v>85014</v>
      </c>
      <c r="F529" s="77" t="s">
        <v>31</v>
      </c>
      <c r="G529" s="77" t="s">
        <v>1723</v>
      </c>
      <c r="H529" s="77">
        <v>4586872061</v>
      </c>
      <c r="I529" s="77" t="s">
        <v>36</v>
      </c>
      <c r="J529" s="77" t="s">
        <v>37</v>
      </c>
      <c r="K529" s="77" t="s">
        <v>37</v>
      </c>
      <c r="L529" s="77" t="s">
        <v>2048</v>
      </c>
      <c r="M529" s="77" t="s">
        <v>37</v>
      </c>
      <c r="N529" s="77" t="s">
        <v>37</v>
      </c>
      <c r="O529" s="77" t="s">
        <v>38</v>
      </c>
      <c r="P529" s="77">
        <v>45936</v>
      </c>
      <c r="Q529" s="76">
        <v>45966</v>
      </c>
      <c r="R529" s="77" t="s">
        <v>2022</v>
      </c>
      <c r="S529" s="77"/>
      <c r="T529" s="77"/>
      <c r="U529" s="77"/>
      <c r="V529" s="78" t="s">
        <v>5432</v>
      </c>
      <c r="W529" s="79">
        <v>46046</v>
      </c>
      <c r="X529" s="78" t="s">
        <v>38</v>
      </c>
      <c r="Y529" s="78"/>
      <c r="Z529" s="78" t="s">
        <v>5555</v>
      </c>
      <c r="AA529">
        <f>IF(COUNTIF('Call Queue'!$H$6:$H$20,V529)&gt;0,0,IF(AND(ISNUMBER(N529),N529&gt;0),10000000+N529,IF(ISNUMBER(N529*1),IF(N529*1&gt;0,10000000+N529*1,0),0))+IF(ISNUMBER(SEARCH("(",L529)),1000000+IFERROR(VALUE(SUBSTITUTE(SUBSTITUTE(SUBSTITUTE(MID(L529,SEARCH("(",L529)+1,SEARCH(")",L529)-SEARCH("(",L529)-1),"$",""),",","")," ","")),0),0))</f>
        <v>0</v>
      </c>
    </row>
    <row r="530" spans="1:27">
      <c r="A530" s="76">
        <v>45905</v>
      </c>
      <c r="B530" s="77" t="s">
        <v>2049</v>
      </c>
      <c r="C530" s="77" t="s">
        <v>2050</v>
      </c>
      <c r="D530" s="77" t="s">
        <v>2051</v>
      </c>
      <c r="E530" s="77">
        <v>86333</v>
      </c>
      <c r="F530" s="77" t="s">
        <v>31</v>
      </c>
      <c r="G530" s="77" t="s">
        <v>1723</v>
      </c>
      <c r="H530" s="77">
        <v>1975660000</v>
      </c>
      <c r="I530" s="77" t="s">
        <v>36</v>
      </c>
      <c r="J530" s="77" t="s">
        <v>37</v>
      </c>
      <c r="K530" s="77" t="s">
        <v>37</v>
      </c>
      <c r="L530" s="77" t="s">
        <v>38</v>
      </c>
      <c r="M530" s="77" t="s">
        <v>37</v>
      </c>
      <c r="N530" s="77" t="s">
        <v>37</v>
      </c>
      <c r="O530" s="77" t="s">
        <v>38</v>
      </c>
      <c r="P530" s="77" t="s">
        <v>39</v>
      </c>
      <c r="Q530" s="76">
        <v>45966</v>
      </c>
      <c r="R530" s="77"/>
      <c r="S530" s="77"/>
      <c r="T530" s="77"/>
      <c r="U530" s="77" t="s">
        <v>724</v>
      </c>
      <c r="V530" s="78"/>
      <c r="W530" s="79"/>
      <c r="X530" s="78"/>
      <c r="Y530" s="78"/>
      <c r="Z530" s="78"/>
      <c r="AA530">
        <f>IF(COUNTIF('Call Queue'!$H$6:$H$20,V530)&gt;0,0,IF(AND(ISNUMBER(N530),N530&gt;0),10000000+N530,IF(ISNUMBER(N530*1),IF(N530*1&gt;0,10000000+N530*1,0),0))+IF(ISNUMBER(SEARCH("(",L530)),1000000+IFERROR(VALUE(SUBSTITUTE(SUBSTITUTE(SUBSTITUTE(MID(L530,SEARCH("(",L530)+1,SEARCH(")",L530)-SEARCH("(",L530)-1),"$",""),",","")," ","")),0),0))</f>
        <v>0</v>
      </c>
    </row>
    <row r="531" spans="1:27">
      <c r="A531" s="76">
        <v>45905</v>
      </c>
      <c r="B531" s="77" t="s">
        <v>2053</v>
      </c>
      <c r="C531" s="77" t="s">
        <v>117</v>
      </c>
      <c r="D531" s="77" t="s">
        <v>539</v>
      </c>
      <c r="E531" s="77">
        <v>85122</v>
      </c>
      <c r="F531" s="77" t="s">
        <v>2054</v>
      </c>
      <c r="G531" s="77" t="s">
        <v>1723</v>
      </c>
      <c r="H531" s="77">
        <v>5137610000</v>
      </c>
      <c r="I531" s="77" t="s">
        <v>196</v>
      </c>
      <c r="J531" s="77" t="s">
        <v>38</v>
      </c>
      <c r="K531" s="77" t="s">
        <v>37</v>
      </c>
      <c r="L531" s="77" t="s">
        <v>2056</v>
      </c>
      <c r="M531" s="77" t="s">
        <v>37</v>
      </c>
      <c r="N531" s="77" t="s">
        <v>37</v>
      </c>
      <c r="O531" s="77" t="s">
        <v>38</v>
      </c>
      <c r="P531" s="77" t="s">
        <v>39</v>
      </c>
      <c r="Q531" s="76">
        <v>45966</v>
      </c>
      <c r="R531" s="77"/>
      <c r="S531" s="77"/>
      <c r="T531" s="77"/>
      <c r="U531" s="77"/>
      <c r="V531" s="78" t="s">
        <v>5432</v>
      </c>
      <c r="W531" s="79">
        <v>46046</v>
      </c>
      <c r="X531" s="78" t="s">
        <v>38</v>
      </c>
      <c r="Y531" s="78"/>
      <c r="Z531" s="78" t="s">
        <v>5555</v>
      </c>
      <c r="AA531">
        <f>IF(COUNTIF('Call Queue'!$H$6:$H$20,V531)&gt;0,0,IF(AND(ISNUMBER(N531),N531&gt;0),10000000+N531,IF(ISNUMBER(N531*1),IF(N531*1&gt;0,10000000+N531*1,0),0))+IF(ISNUMBER(SEARCH("(",L531)),1000000+IFERROR(VALUE(SUBSTITUTE(SUBSTITUTE(SUBSTITUTE(MID(L531,SEARCH("(",L531)+1,SEARCH(")",L531)-SEARCH("(",L531)-1),"$",""),",","")," ","")),0),0))</f>
        <v>0</v>
      </c>
    </row>
    <row r="532" spans="1:27">
      <c r="A532" s="76">
        <v>45905</v>
      </c>
      <c r="B532" s="77" t="s">
        <v>1917</v>
      </c>
      <c r="C532" s="77" t="s">
        <v>2057</v>
      </c>
      <c r="D532" s="77" t="s">
        <v>63</v>
      </c>
      <c r="E532" s="77">
        <v>85012</v>
      </c>
      <c r="F532" s="77" t="s">
        <v>310</v>
      </c>
      <c r="G532" s="77" t="s">
        <v>1723</v>
      </c>
      <c r="H532" s="77" t="s">
        <v>719</v>
      </c>
      <c r="I532" s="77" t="s">
        <v>73</v>
      </c>
      <c r="J532" s="77" t="s">
        <v>37</v>
      </c>
      <c r="K532" s="77"/>
      <c r="L532" s="77" t="s">
        <v>38</v>
      </c>
      <c r="M532" s="77"/>
      <c r="N532" s="77"/>
      <c r="O532" s="77" t="s">
        <v>38</v>
      </c>
      <c r="P532" s="77" t="s">
        <v>39</v>
      </c>
      <c r="Q532" s="76"/>
      <c r="R532" s="77"/>
      <c r="S532" s="77"/>
      <c r="T532" s="77"/>
      <c r="U532" s="77"/>
      <c r="V532" s="78"/>
      <c r="W532" s="79"/>
      <c r="X532" s="78"/>
      <c r="Y532" s="78"/>
      <c r="Z532" s="78"/>
      <c r="AA532">
        <f>IF(COUNTIF('Call Queue'!$H$6:$H$20,V532)&gt;0,0,IF(AND(ISNUMBER(N532),N532&gt;0),10000000+N532,IF(ISNUMBER(N532*1),IF(N532*1&gt;0,10000000+N532*1,0),0))+IF(ISNUMBER(SEARCH("(",L532)),1000000+IFERROR(VALUE(SUBSTITUTE(SUBSTITUTE(SUBSTITUTE(MID(L532,SEARCH("(",L532)+1,SEARCH(")",L532)-SEARCH("(",L532)-1),"$",""),",","")," ","")),0),0))</f>
        <v>0</v>
      </c>
    </row>
    <row r="533" spans="1:27">
      <c r="A533" s="76">
        <v>45905</v>
      </c>
      <c r="B533" s="77" t="s">
        <v>2058</v>
      </c>
      <c r="C533" s="77" t="s">
        <v>2059</v>
      </c>
      <c r="D533" s="77" t="s">
        <v>63</v>
      </c>
      <c r="E533" s="77">
        <v>85032</v>
      </c>
      <c r="F533" s="77" t="s">
        <v>310</v>
      </c>
      <c r="G533" s="77" t="s">
        <v>1723</v>
      </c>
      <c r="H533" s="77">
        <v>2398680000</v>
      </c>
      <c r="I533" s="77" t="s">
        <v>541</v>
      </c>
      <c r="J533" s="77" t="s">
        <v>37</v>
      </c>
      <c r="K533" s="77" t="s">
        <v>37</v>
      </c>
      <c r="L533" s="77" t="s">
        <v>389</v>
      </c>
      <c r="M533" s="77" t="s">
        <v>37</v>
      </c>
      <c r="N533" s="77" t="s">
        <v>37</v>
      </c>
      <c r="O533" s="77" t="s">
        <v>38</v>
      </c>
      <c r="P533" s="77" t="s">
        <v>39</v>
      </c>
      <c r="Q533" s="76">
        <v>45966</v>
      </c>
      <c r="R533" s="77"/>
      <c r="S533" s="77"/>
      <c r="T533" s="77"/>
      <c r="U533" s="77"/>
      <c r="V533" s="78"/>
      <c r="W533" s="79"/>
      <c r="X533" s="78"/>
      <c r="Y533" s="78"/>
      <c r="Z533" s="78"/>
      <c r="AA533">
        <f>IF(COUNTIF('Call Queue'!$H$6:$H$20,V533)&gt;0,0,IF(AND(ISNUMBER(N533),N533&gt;0),10000000+N533,IF(ISNUMBER(N533*1),IF(N533*1&gt;0,10000000+N533*1,0),0))+IF(ISNUMBER(SEARCH("(",L533)),1000000+IFERROR(VALUE(SUBSTITUTE(SUBSTITUTE(SUBSTITUTE(MID(L533,SEARCH("(",L533)+1,SEARCH(")",L533)-SEARCH("(",L533)-1),"$",""),",","")," ","")),0),0))</f>
        <v>0</v>
      </c>
    </row>
    <row r="534" spans="1:27">
      <c r="A534" s="76">
        <v>45905</v>
      </c>
      <c r="B534" s="77" t="s">
        <v>2064</v>
      </c>
      <c r="C534" s="77" t="s">
        <v>2065</v>
      </c>
      <c r="D534" s="77" t="s">
        <v>63</v>
      </c>
      <c r="E534" s="77">
        <v>85007</v>
      </c>
      <c r="F534" s="77" t="s">
        <v>2066</v>
      </c>
      <c r="G534" s="77" t="s">
        <v>1723</v>
      </c>
      <c r="H534" s="77" t="s">
        <v>2067</v>
      </c>
      <c r="I534" s="77" t="s">
        <v>196</v>
      </c>
      <c r="J534" s="77" t="s">
        <v>37</v>
      </c>
      <c r="K534" s="77" t="s">
        <v>37</v>
      </c>
      <c r="L534" s="77" t="s">
        <v>2068</v>
      </c>
      <c r="M534" s="77" t="s">
        <v>37</v>
      </c>
      <c r="N534" s="77" t="s">
        <v>37</v>
      </c>
      <c r="O534" s="77" t="s">
        <v>38</v>
      </c>
      <c r="P534" s="77">
        <v>45936</v>
      </c>
      <c r="Q534" s="76">
        <v>45966</v>
      </c>
      <c r="R534" s="77" t="s">
        <v>2069</v>
      </c>
      <c r="S534" s="77"/>
      <c r="T534" s="77"/>
      <c r="U534" s="77"/>
      <c r="V534" s="78" t="s">
        <v>5432</v>
      </c>
      <c r="W534" s="79">
        <v>46060</v>
      </c>
      <c r="X534" s="78" t="s">
        <v>37</v>
      </c>
      <c r="Y534" s="78" t="s">
        <v>5442</v>
      </c>
      <c r="Z534" s="78"/>
      <c r="AA534">
        <f>IF(COUNTIF('Call Queue'!$H$6:$H$20,V534)&gt;0,0,IF(AND(ISNUMBER(N534),N534&gt;0),10000000+N534,IF(ISNUMBER(N534*1),IF(N534*1&gt;0,10000000+N534*1,0),0))+IF(ISNUMBER(SEARCH("(",L534)),1000000+IFERROR(VALUE(SUBSTITUTE(SUBSTITUTE(SUBSTITUTE(MID(L534,SEARCH("(",L534)+1,SEARCH(")",L534)-SEARCH("(",L534)-1),"$",""),",","")," ","")),0),0))</f>
        <v>0</v>
      </c>
    </row>
    <row r="535" spans="1:27">
      <c r="A535" s="76">
        <v>45905</v>
      </c>
      <c r="B535" s="77" t="s">
        <v>2071</v>
      </c>
      <c r="C535" s="77" t="s">
        <v>597</v>
      </c>
      <c r="D535" s="77" t="s">
        <v>169</v>
      </c>
      <c r="E535" s="77">
        <v>85395</v>
      </c>
      <c r="F535" s="77" t="s">
        <v>2072</v>
      </c>
      <c r="G535" s="77" t="s">
        <v>1723</v>
      </c>
      <c r="H535" s="77" t="s">
        <v>2073</v>
      </c>
      <c r="I535" s="77" t="s">
        <v>36</v>
      </c>
      <c r="J535" s="77" t="s">
        <v>37</v>
      </c>
      <c r="K535" s="77" t="s">
        <v>37</v>
      </c>
      <c r="L535" s="77" t="s">
        <v>38</v>
      </c>
      <c r="M535" s="77" t="s">
        <v>37</v>
      </c>
      <c r="N535" s="77" t="s">
        <v>37</v>
      </c>
      <c r="O535" s="77" t="s">
        <v>38</v>
      </c>
      <c r="P535" s="77" t="s">
        <v>39</v>
      </c>
      <c r="Q535" s="76">
        <v>45966</v>
      </c>
      <c r="R535" s="77"/>
      <c r="S535" s="77"/>
      <c r="T535" s="77"/>
      <c r="U535" s="77"/>
      <c r="V535" s="78"/>
      <c r="W535" s="79"/>
      <c r="X535" s="78"/>
      <c r="Y535" s="78"/>
      <c r="Z535" s="78"/>
      <c r="AA535">
        <f>IF(COUNTIF('Call Queue'!$H$6:$H$20,V535)&gt;0,0,IF(AND(ISNUMBER(N535),N535&gt;0),10000000+N535,IF(ISNUMBER(N535*1),IF(N535*1&gt;0,10000000+N535*1,0),0))+IF(ISNUMBER(SEARCH("(",L535)),1000000+IFERROR(VALUE(SUBSTITUTE(SUBSTITUTE(SUBSTITUTE(MID(L535,SEARCH("(",L535)+1,SEARCH(")",L535)-SEARCH("(",L535)-1),"$",""),",","")," ","")),0),0))</f>
        <v>0</v>
      </c>
    </row>
    <row r="536" spans="1:27">
      <c r="A536" s="76">
        <v>45905</v>
      </c>
      <c r="B536" s="77" t="s">
        <v>2074</v>
      </c>
      <c r="C536" s="77" t="s">
        <v>2075</v>
      </c>
      <c r="D536" s="77" t="s">
        <v>202</v>
      </c>
      <c r="E536" s="77">
        <v>85383</v>
      </c>
      <c r="F536" s="77" t="s">
        <v>310</v>
      </c>
      <c r="G536" s="77" t="s">
        <v>1723</v>
      </c>
      <c r="H536" s="77">
        <v>2557440000</v>
      </c>
      <c r="I536" s="77" t="s">
        <v>243</v>
      </c>
      <c r="J536" s="77" t="s">
        <v>37</v>
      </c>
      <c r="K536" s="77" t="s">
        <v>37</v>
      </c>
      <c r="L536" s="77" t="s">
        <v>389</v>
      </c>
      <c r="M536" s="77" t="s">
        <v>37</v>
      </c>
      <c r="N536" s="77" t="s">
        <v>37</v>
      </c>
      <c r="O536" s="77" t="s">
        <v>38</v>
      </c>
      <c r="P536" s="77" t="s">
        <v>39</v>
      </c>
      <c r="Q536" s="76">
        <v>45966</v>
      </c>
      <c r="R536" s="77"/>
      <c r="S536" s="77"/>
      <c r="T536" s="77"/>
      <c r="U536" s="77"/>
      <c r="V536" s="78"/>
      <c r="W536" s="79"/>
      <c r="X536" s="78"/>
      <c r="Y536" s="78"/>
      <c r="Z536" s="78"/>
      <c r="AA536">
        <f>IF(COUNTIF('Call Queue'!$H$6:$H$20,V536)&gt;0,0,IF(AND(ISNUMBER(N536),N536&gt;0),10000000+N536,IF(ISNUMBER(N536*1),IF(N536*1&gt;0,10000000+N536*1,0),0))+IF(ISNUMBER(SEARCH("(",L536)),1000000+IFERROR(VALUE(SUBSTITUTE(SUBSTITUTE(SUBSTITUTE(MID(L536,SEARCH("(",L536)+1,SEARCH(")",L536)-SEARCH("(",L536)-1),"$",""),",","")," ","")),0),0))</f>
        <v>0</v>
      </c>
    </row>
    <row r="537" spans="1:27">
      <c r="A537" s="76">
        <v>45905</v>
      </c>
      <c r="B537" s="77" t="s">
        <v>2077</v>
      </c>
      <c r="C537" s="77" t="s">
        <v>2078</v>
      </c>
      <c r="D537" s="77" t="s">
        <v>63</v>
      </c>
      <c r="E537" s="77">
        <v>85012</v>
      </c>
      <c r="F537" s="77" t="s">
        <v>2079</v>
      </c>
      <c r="G537" s="77" t="s">
        <v>1723</v>
      </c>
      <c r="H537" s="77">
        <v>6098358533</v>
      </c>
      <c r="I537" s="77" t="s">
        <v>73</v>
      </c>
      <c r="J537" s="77" t="s">
        <v>37</v>
      </c>
      <c r="K537" s="77" t="s">
        <v>37</v>
      </c>
      <c r="L537" s="77" t="s">
        <v>38</v>
      </c>
      <c r="M537" s="77" t="s">
        <v>37</v>
      </c>
      <c r="N537" s="77" t="s">
        <v>37</v>
      </c>
      <c r="O537" s="77" t="s">
        <v>38</v>
      </c>
      <c r="P537" s="77" t="s">
        <v>39</v>
      </c>
      <c r="Q537" s="76">
        <v>45966</v>
      </c>
      <c r="R537" s="77"/>
      <c r="S537" s="77"/>
      <c r="T537" s="77"/>
      <c r="U537" s="77"/>
      <c r="V537" s="78"/>
      <c r="W537" s="79"/>
      <c r="X537" s="78"/>
      <c r="Y537" s="78"/>
      <c r="Z537" s="78"/>
      <c r="AA537">
        <f>IF(COUNTIF('Call Queue'!$H$6:$H$20,V537)&gt;0,0,IF(AND(ISNUMBER(N537),N537&gt;0),10000000+N537,IF(ISNUMBER(N537*1),IF(N537*1&gt;0,10000000+N537*1,0),0))+IF(ISNUMBER(SEARCH("(",L537)),1000000+IFERROR(VALUE(SUBSTITUTE(SUBSTITUTE(SUBSTITUTE(MID(L537,SEARCH("(",L537)+1,SEARCH(")",L537)-SEARCH("(",L537)-1),"$",""),",","")," ","")),0),0))</f>
        <v>0</v>
      </c>
    </row>
    <row r="538" spans="1:27">
      <c r="A538" s="76">
        <v>45905</v>
      </c>
      <c r="B538" s="77" t="s">
        <v>2081</v>
      </c>
      <c r="C538" s="77" t="s">
        <v>835</v>
      </c>
      <c r="D538" s="77" t="s">
        <v>125</v>
      </c>
      <c r="E538" s="77">
        <v>85259</v>
      </c>
      <c r="F538" s="77" t="s">
        <v>31</v>
      </c>
      <c r="G538" s="77" t="s">
        <v>1723</v>
      </c>
      <c r="H538" s="77">
        <v>2160086156</v>
      </c>
      <c r="I538" s="77" t="s">
        <v>36</v>
      </c>
      <c r="J538" s="77" t="s">
        <v>37</v>
      </c>
      <c r="K538" s="77" t="s">
        <v>37</v>
      </c>
      <c r="L538" s="77" t="s">
        <v>38</v>
      </c>
      <c r="M538" s="77" t="s">
        <v>37</v>
      </c>
      <c r="N538" s="77" t="s">
        <v>37</v>
      </c>
      <c r="O538" s="77" t="s">
        <v>38</v>
      </c>
      <c r="P538" s="77" t="s">
        <v>39</v>
      </c>
      <c r="Q538" s="76">
        <v>45966</v>
      </c>
      <c r="R538" s="77" t="s">
        <v>2083</v>
      </c>
      <c r="S538" s="77"/>
      <c r="T538" s="77"/>
      <c r="U538" s="77"/>
      <c r="V538" s="78"/>
      <c r="W538" s="79"/>
      <c r="X538" s="78"/>
      <c r="Y538" s="78"/>
      <c r="Z538" s="78"/>
      <c r="AA538">
        <f>IF(COUNTIF('Call Queue'!$H$6:$H$20,V538)&gt;0,0,IF(AND(ISNUMBER(N538),N538&gt;0),10000000+N538,IF(ISNUMBER(N538*1),IF(N538*1&gt;0,10000000+N538*1,0),0))+IF(ISNUMBER(SEARCH("(",L538)),1000000+IFERROR(VALUE(SUBSTITUTE(SUBSTITUTE(SUBSTITUTE(MID(L538,SEARCH("(",L538)+1,SEARCH(")",L538)-SEARCH("(",L538)-1),"$",""),",","")," ","")),0),0))</f>
        <v>0</v>
      </c>
    </row>
    <row r="539" spans="1:27">
      <c r="A539" s="76">
        <v>45905</v>
      </c>
      <c r="B539" s="77" t="s">
        <v>1134</v>
      </c>
      <c r="C539" s="77" t="s">
        <v>2084</v>
      </c>
      <c r="D539" s="77" t="s">
        <v>63</v>
      </c>
      <c r="E539" s="77">
        <v>85028</v>
      </c>
      <c r="F539" s="77" t="s">
        <v>31</v>
      </c>
      <c r="G539" s="77" t="s">
        <v>1723</v>
      </c>
      <c r="H539" s="77">
        <v>5161972296</v>
      </c>
      <c r="I539" s="77" t="s">
        <v>57</v>
      </c>
      <c r="J539" s="77" t="s">
        <v>37</v>
      </c>
      <c r="K539" s="77" t="s">
        <v>37</v>
      </c>
      <c r="L539" s="77" t="s">
        <v>2086</v>
      </c>
      <c r="M539" s="77" t="s">
        <v>37</v>
      </c>
      <c r="N539" s="77" t="s">
        <v>37</v>
      </c>
      <c r="O539" s="77" t="s">
        <v>38</v>
      </c>
      <c r="P539" s="77">
        <v>45936</v>
      </c>
      <c r="Q539" s="76">
        <v>45966</v>
      </c>
      <c r="R539" s="77" t="s">
        <v>2022</v>
      </c>
      <c r="S539" s="77"/>
      <c r="T539" s="77"/>
      <c r="U539" s="77"/>
      <c r="V539" s="78" t="s">
        <v>5432</v>
      </c>
      <c r="W539" s="79">
        <v>46046</v>
      </c>
      <c r="X539" s="78" t="s">
        <v>38</v>
      </c>
      <c r="Y539" s="78"/>
      <c r="Z539" s="78" t="s">
        <v>5555</v>
      </c>
      <c r="AA539">
        <f>IF(COUNTIF('Call Queue'!$H$6:$H$20,V539)&gt;0,0,IF(AND(ISNUMBER(N539),N539&gt;0),10000000+N539,IF(ISNUMBER(N539*1),IF(N539*1&gt;0,10000000+N539*1,0),0))+IF(ISNUMBER(SEARCH("(",L539)),1000000+IFERROR(VALUE(SUBSTITUTE(SUBSTITUTE(SUBSTITUTE(MID(L539,SEARCH("(",L539)+1,SEARCH(")",L539)-SEARCH("(",L539)-1),"$",""),",","")," ","")),0),0))</f>
        <v>0</v>
      </c>
    </row>
    <row r="540" spans="1:27">
      <c r="A540" s="76">
        <v>45905</v>
      </c>
      <c r="B540" s="77" t="s">
        <v>2087</v>
      </c>
      <c r="C540" s="77" t="s">
        <v>225</v>
      </c>
      <c r="D540" s="77" t="s">
        <v>24</v>
      </c>
      <c r="E540" s="77">
        <v>85308</v>
      </c>
      <c r="F540" s="77" t="s">
        <v>2088</v>
      </c>
      <c r="G540" s="77" t="s">
        <v>1723</v>
      </c>
      <c r="H540" s="77" t="s">
        <v>209</v>
      </c>
      <c r="I540" s="77"/>
      <c r="J540" s="77"/>
      <c r="K540" s="77"/>
      <c r="L540" s="77"/>
      <c r="M540" s="77"/>
      <c r="N540" s="77"/>
      <c r="O540" s="77"/>
      <c r="P540" s="77"/>
      <c r="Q540" s="76"/>
      <c r="R540" s="77"/>
      <c r="S540" s="77"/>
      <c r="T540" s="77"/>
      <c r="U540" s="77"/>
      <c r="V540" s="78"/>
      <c r="W540" s="79"/>
      <c r="X540" s="78"/>
      <c r="Y540" s="78"/>
      <c r="Z540" s="78"/>
      <c r="AA540">
        <f>IF(COUNTIF('Call Queue'!$H$6:$H$20,V540)&gt;0,0,IF(AND(ISNUMBER(N540),N540&gt;0),10000000+N540,IF(ISNUMBER(N540*1),IF(N540*1&gt;0,10000000+N540*1,0),0))+IF(ISNUMBER(SEARCH("(",L540)),1000000+IFERROR(VALUE(SUBSTITUTE(SUBSTITUTE(SUBSTITUTE(MID(L540,SEARCH("(",L540)+1,SEARCH(")",L540)-SEARCH("(",L540)-1),"$",""),",","")," ","")),0),0))</f>
        <v>0</v>
      </c>
    </row>
    <row r="541" spans="1:27">
      <c r="A541" s="76">
        <v>45905</v>
      </c>
      <c r="B541" s="77" t="s">
        <v>2089</v>
      </c>
      <c r="C541" s="77" t="s">
        <v>2090</v>
      </c>
      <c r="D541" s="77" t="s">
        <v>63</v>
      </c>
      <c r="E541" s="77">
        <v>85027</v>
      </c>
      <c r="F541" s="77" t="s">
        <v>310</v>
      </c>
      <c r="G541" s="77" t="s">
        <v>1723</v>
      </c>
      <c r="H541" s="77">
        <v>8133906758</v>
      </c>
      <c r="I541" s="77" t="s">
        <v>126</v>
      </c>
      <c r="J541" s="77" t="s">
        <v>37</v>
      </c>
      <c r="K541" s="77" t="s">
        <v>37</v>
      </c>
      <c r="L541" s="77" t="s">
        <v>38</v>
      </c>
      <c r="M541" s="77" t="s">
        <v>37</v>
      </c>
      <c r="N541" s="77" t="s">
        <v>37</v>
      </c>
      <c r="O541" s="77" t="s">
        <v>38</v>
      </c>
      <c r="P541" s="77" t="s">
        <v>39</v>
      </c>
      <c r="Q541" s="76">
        <v>45966</v>
      </c>
      <c r="R541" s="77"/>
      <c r="S541" s="77"/>
      <c r="T541" s="77"/>
      <c r="U541" s="77"/>
      <c r="V541" s="78"/>
      <c r="W541" s="79"/>
      <c r="X541" s="78"/>
      <c r="Y541" s="78"/>
      <c r="Z541" s="78"/>
      <c r="AA541">
        <f>IF(COUNTIF('Call Queue'!$H$6:$H$20,V541)&gt;0,0,IF(AND(ISNUMBER(N541),N541&gt;0),10000000+N541,IF(ISNUMBER(N541*1),IF(N541*1&gt;0,10000000+N541*1,0),0))+IF(ISNUMBER(SEARCH("(",L541)),1000000+IFERROR(VALUE(SUBSTITUTE(SUBSTITUTE(SUBSTITUTE(MID(L541,SEARCH("(",L541)+1,SEARCH(")",L541)-SEARCH("(",L541)-1),"$",""),",","")," ","")),0),0))</f>
        <v>0</v>
      </c>
    </row>
    <row r="542" spans="1:27">
      <c r="A542" s="76">
        <v>45905</v>
      </c>
      <c r="B542" s="77" t="s">
        <v>316</v>
      </c>
      <c r="C542" s="77" t="s">
        <v>317</v>
      </c>
      <c r="D542" s="77" t="s">
        <v>174</v>
      </c>
      <c r="E542" s="77">
        <v>85326</v>
      </c>
      <c r="F542" s="77" t="s">
        <v>1957</v>
      </c>
      <c r="G542" s="77" t="s">
        <v>1723</v>
      </c>
      <c r="H542" s="77">
        <v>6062541000</v>
      </c>
      <c r="I542" s="77" t="s">
        <v>36</v>
      </c>
      <c r="J542" s="77" t="s">
        <v>37</v>
      </c>
      <c r="K542" s="77" t="s">
        <v>37</v>
      </c>
      <c r="L542" s="77" t="s">
        <v>38</v>
      </c>
      <c r="M542" s="77" t="s">
        <v>37</v>
      </c>
      <c r="N542" s="77" t="s">
        <v>37</v>
      </c>
      <c r="O542" s="77" t="s">
        <v>38</v>
      </c>
      <c r="P542" s="77" t="s">
        <v>39</v>
      </c>
      <c r="Q542" s="76">
        <v>45966</v>
      </c>
      <c r="R542" s="77"/>
      <c r="S542" s="77"/>
      <c r="T542" s="77"/>
      <c r="U542" s="77"/>
      <c r="V542" s="78"/>
      <c r="W542" s="79"/>
      <c r="X542" s="78"/>
      <c r="Y542" s="78"/>
      <c r="Z542" s="78"/>
      <c r="AA542">
        <f>IF(COUNTIF('Call Queue'!$H$6:$H$20,V542)&gt;0,0,IF(AND(ISNUMBER(N542),N542&gt;0),10000000+N542,IF(ISNUMBER(N542*1),IF(N542*1&gt;0,10000000+N542*1,0),0))+IF(ISNUMBER(SEARCH("(",L542)),1000000+IFERROR(VALUE(SUBSTITUTE(SUBSTITUTE(SUBSTITUTE(MID(L542,SEARCH("(",L542)+1,SEARCH(")",L542)-SEARCH("(",L542)-1),"$",""),",","")," ","")),0),0))</f>
        <v>0</v>
      </c>
    </row>
    <row r="543" spans="1:27">
      <c r="A543" s="76">
        <v>45905</v>
      </c>
      <c r="B543" s="77" t="s">
        <v>2093</v>
      </c>
      <c r="C543" s="77" t="s">
        <v>550</v>
      </c>
      <c r="D543" s="77" t="s">
        <v>63</v>
      </c>
      <c r="E543" s="77">
        <v>85029</v>
      </c>
      <c r="F543" s="77" t="s">
        <v>310</v>
      </c>
      <c r="G543" s="77" t="s">
        <v>1723</v>
      </c>
      <c r="H543" s="77">
        <v>4386253597</v>
      </c>
      <c r="I543" s="77" t="s">
        <v>196</v>
      </c>
      <c r="J543" s="77" t="s">
        <v>37</v>
      </c>
      <c r="K543" s="77" t="s">
        <v>37</v>
      </c>
      <c r="L543" s="77" t="s">
        <v>38</v>
      </c>
      <c r="M543" s="77" t="s">
        <v>37</v>
      </c>
      <c r="N543" s="77" t="s">
        <v>37</v>
      </c>
      <c r="O543" s="77" t="s">
        <v>38</v>
      </c>
      <c r="P543" s="77" t="s">
        <v>39</v>
      </c>
      <c r="Q543" s="76">
        <v>45966</v>
      </c>
      <c r="R543" s="77" t="s">
        <v>2095</v>
      </c>
      <c r="S543" s="77"/>
      <c r="T543" s="77"/>
      <c r="U543" s="77"/>
      <c r="V543" s="78"/>
      <c r="W543" s="79"/>
      <c r="X543" s="78"/>
      <c r="Y543" s="78"/>
      <c r="Z543" s="78"/>
      <c r="AA543">
        <f>IF(COUNTIF('Call Queue'!$H$6:$H$20,V543)&gt;0,0,IF(AND(ISNUMBER(N543),N543&gt;0),10000000+N543,IF(ISNUMBER(N543*1),IF(N543*1&gt;0,10000000+N543*1,0),0))+IF(ISNUMBER(SEARCH("(",L543)),1000000+IFERROR(VALUE(SUBSTITUTE(SUBSTITUTE(SUBSTITUTE(MID(L543,SEARCH("(",L543)+1,SEARCH(")",L543)-SEARCH("(",L543)-1),"$",""),",","")," ","")),0),0))</f>
        <v>0</v>
      </c>
    </row>
    <row r="544" spans="1:27">
      <c r="A544" s="76">
        <v>45905</v>
      </c>
      <c r="B544" s="77" t="s">
        <v>2096</v>
      </c>
      <c r="C544" s="77" t="s">
        <v>2097</v>
      </c>
      <c r="D544" s="77" t="s">
        <v>125</v>
      </c>
      <c r="E544" s="77">
        <v>85251</v>
      </c>
      <c r="F544" s="77" t="s">
        <v>2098</v>
      </c>
      <c r="G544" s="77" t="s">
        <v>1723</v>
      </c>
      <c r="H544" s="77">
        <v>6017698985</v>
      </c>
      <c r="I544" s="77" t="s">
        <v>126</v>
      </c>
      <c r="J544" s="77" t="s">
        <v>37</v>
      </c>
      <c r="K544" s="77" t="s">
        <v>37</v>
      </c>
      <c r="L544" s="77" t="s">
        <v>2100</v>
      </c>
      <c r="M544" s="77" t="s">
        <v>37</v>
      </c>
      <c r="N544" s="77" t="s">
        <v>37</v>
      </c>
      <c r="O544" s="77" t="s">
        <v>38</v>
      </c>
      <c r="P544" s="77" t="s">
        <v>39</v>
      </c>
      <c r="Q544" s="76">
        <v>45966</v>
      </c>
      <c r="R544" s="77"/>
      <c r="S544" s="77"/>
      <c r="T544" s="77"/>
      <c r="U544" s="77"/>
      <c r="V544" s="78" t="s">
        <v>5432</v>
      </c>
      <c r="W544" s="79">
        <v>46060</v>
      </c>
      <c r="X544" s="78" t="s">
        <v>38</v>
      </c>
      <c r="Y544" s="78"/>
      <c r="Z544" s="78" t="s">
        <v>5555</v>
      </c>
      <c r="AA544">
        <f>IF(COUNTIF('Call Queue'!$H$6:$H$20,V544)&gt;0,0,IF(AND(ISNUMBER(N544),N544&gt;0),10000000+N544,IF(ISNUMBER(N544*1),IF(N544*1&gt;0,10000000+N544*1,0),0))+IF(ISNUMBER(SEARCH("(",L544)),1000000+IFERROR(VALUE(SUBSTITUTE(SUBSTITUTE(SUBSTITUTE(MID(L544,SEARCH("(",L544)+1,SEARCH(")",L544)-SEARCH("(",L544)-1),"$",""),",","")," ","")),0),0))</f>
        <v>0</v>
      </c>
    </row>
    <row r="545" spans="1:27">
      <c r="A545" s="76">
        <v>45905</v>
      </c>
      <c r="B545" s="77" t="s">
        <v>323</v>
      </c>
      <c r="C545" s="77" t="s">
        <v>705</v>
      </c>
      <c r="D545" s="77" t="s">
        <v>63</v>
      </c>
      <c r="E545" s="77">
        <v>85085</v>
      </c>
      <c r="F545" s="77" t="s">
        <v>2101</v>
      </c>
      <c r="G545" s="77" t="s">
        <v>1723</v>
      </c>
      <c r="H545" s="77">
        <v>8168993129</v>
      </c>
      <c r="I545" s="77" t="s">
        <v>36</v>
      </c>
      <c r="J545" s="77" t="s">
        <v>37</v>
      </c>
      <c r="K545" s="77" t="s">
        <v>37</v>
      </c>
      <c r="L545" s="77" t="s">
        <v>38</v>
      </c>
      <c r="M545" s="77" t="s">
        <v>37</v>
      </c>
      <c r="N545" s="77" t="s">
        <v>37</v>
      </c>
      <c r="O545" s="77" t="s">
        <v>38</v>
      </c>
      <c r="P545" s="77" t="s">
        <v>39</v>
      </c>
      <c r="Q545" s="76">
        <v>45966</v>
      </c>
      <c r="R545" s="77"/>
      <c r="S545" s="77"/>
      <c r="T545" s="77"/>
      <c r="U545" s="77"/>
      <c r="V545" s="78"/>
      <c r="W545" s="79"/>
      <c r="X545" s="78"/>
      <c r="Y545" s="78"/>
      <c r="Z545" s="78"/>
      <c r="AA545">
        <f>IF(COUNTIF('Call Queue'!$H$6:$H$20,V545)&gt;0,0,IF(AND(ISNUMBER(N545),N545&gt;0),10000000+N545,IF(ISNUMBER(N545*1),IF(N545*1&gt;0,10000000+N545*1,0),0))+IF(ISNUMBER(SEARCH("(",L545)),1000000+IFERROR(VALUE(SUBSTITUTE(SUBSTITUTE(SUBSTITUTE(MID(L545,SEARCH("(",L545)+1,SEARCH(")",L545)-SEARCH("(",L545)-1),"$",""),",","")," ","")),0),0))</f>
        <v>0</v>
      </c>
    </row>
    <row r="546" spans="1:27">
      <c r="A546" s="76">
        <v>45905</v>
      </c>
      <c r="B546" s="77" t="s">
        <v>2103</v>
      </c>
      <c r="C546" s="77" t="s">
        <v>2104</v>
      </c>
      <c r="D546" s="77" t="s">
        <v>2105</v>
      </c>
      <c r="E546" s="77">
        <v>85128</v>
      </c>
      <c r="F546" s="77" t="s">
        <v>2106</v>
      </c>
      <c r="G546" s="77" t="s">
        <v>1723</v>
      </c>
      <c r="H546" s="77">
        <v>8830066687</v>
      </c>
      <c r="I546" s="77" t="s">
        <v>46</v>
      </c>
      <c r="J546" s="77" t="s">
        <v>37</v>
      </c>
      <c r="K546" s="77" t="s">
        <v>37</v>
      </c>
      <c r="L546" s="77" t="s">
        <v>38</v>
      </c>
      <c r="M546" s="77" t="s">
        <v>37</v>
      </c>
      <c r="N546" s="77" t="s">
        <v>37</v>
      </c>
      <c r="O546" s="77" t="s">
        <v>38</v>
      </c>
      <c r="P546" s="77" t="s">
        <v>39</v>
      </c>
      <c r="Q546" s="76">
        <v>45966</v>
      </c>
      <c r="R546" s="77"/>
      <c r="S546" s="77"/>
      <c r="T546" s="77"/>
      <c r="U546" s="77"/>
      <c r="V546" s="78"/>
      <c r="W546" s="79"/>
      <c r="X546" s="78"/>
      <c r="Y546" s="78"/>
      <c r="Z546" s="78"/>
      <c r="AA546">
        <f>IF(COUNTIF('Call Queue'!$H$6:$H$20,V546)&gt;0,0,IF(AND(ISNUMBER(N546),N546&gt;0),10000000+N546,IF(ISNUMBER(N546*1),IF(N546*1&gt;0,10000000+N546*1,0),0))+IF(ISNUMBER(SEARCH("(",L546)),1000000+IFERROR(VALUE(SUBSTITUTE(SUBSTITUTE(SUBSTITUTE(MID(L546,SEARCH("(",L546)+1,SEARCH(")",L546)-SEARCH("(",L546)-1),"$",""),",","")," ","")),0),0))</f>
        <v>0</v>
      </c>
    </row>
    <row r="547" spans="1:27">
      <c r="A547" s="76">
        <v>45905</v>
      </c>
      <c r="B547" s="77" t="s">
        <v>2108</v>
      </c>
      <c r="C547" s="77" t="s">
        <v>747</v>
      </c>
      <c r="D547" s="77" t="s">
        <v>2109</v>
      </c>
      <c r="E547" s="77">
        <v>86327</v>
      </c>
      <c r="F547" s="77" t="s">
        <v>31</v>
      </c>
      <c r="G547" s="77" t="s">
        <v>1723</v>
      </c>
      <c r="H547" s="77">
        <v>5377231000</v>
      </c>
      <c r="I547" s="77" t="s">
        <v>126</v>
      </c>
      <c r="J547" s="77" t="s">
        <v>37</v>
      </c>
      <c r="K547" s="77" t="s">
        <v>37</v>
      </c>
      <c r="L547" s="77" t="s">
        <v>38</v>
      </c>
      <c r="M547" s="77" t="s">
        <v>37</v>
      </c>
      <c r="N547" s="77" t="s">
        <v>37</v>
      </c>
      <c r="O547" s="77" t="s">
        <v>38</v>
      </c>
      <c r="P547" s="77" t="s">
        <v>39</v>
      </c>
      <c r="Q547" s="76">
        <v>45966</v>
      </c>
      <c r="R547" s="77"/>
      <c r="S547" s="77"/>
      <c r="T547" s="77"/>
      <c r="U547" s="77"/>
      <c r="V547" s="78"/>
      <c r="W547" s="79"/>
      <c r="X547" s="78"/>
      <c r="Y547" s="78"/>
      <c r="Z547" s="78"/>
      <c r="AA547">
        <f>IF(COUNTIF('Call Queue'!$H$6:$H$20,V547)&gt;0,0,IF(AND(ISNUMBER(N547),N547&gt;0),10000000+N547,IF(ISNUMBER(N547*1),IF(N547*1&gt;0,10000000+N547*1,0),0))+IF(ISNUMBER(SEARCH("(",L547)),1000000+IFERROR(VALUE(SUBSTITUTE(SUBSTITUTE(SUBSTITUTE(MID(L547,SEARCH("(",L547)+1,SEARCH(")",L547)-SEARCH("(",L547)-1),"$",""),",","")," ","")),0),0))</f>
        <v>0</v>
      </c>
    </row>
    <row r="548" spans="1:27">
      <c r="A548" s="76">
        <v>45905</v>
      </c>
      <c r="B548" s="77" t="s">
        <v>1952</v>
      </c>
      <c r="C548" s="77" t="s">
        <v>780</v>
      </c>
      <c r="D548" s="77" t="s">
        <v>112</v>
      </c>
      <c r="E548" s="77">
        <v>85388</v>
      </c>
      <c r="F548" s="77" t="s">
        <v>2111</v>
      </c>
      <c r="G548" s="77" t="s">
        <v>1723</v>
      </c>
      <c r="H548" s="77">
        <v>6228956660</v>
      </c>
      <c r="I548" s="77" t="s">
        <v>196</v>
      </c>
      <c r="J548" s="77" t="s">
        <v>37</v>
      </c>
      <c r="K548" s="77" t="s">
        <v>37</v>
      </c>
      <c r="L548" s="77" t="s">
        <v>2113</v>
      </c>
      <c r="M548" s="77" t="s">
        <v>37</v>
      </c>
      <c r="N548" s="77" t="s">
        <v>37</v>
      </c>
      <c r="O548" s="77" t="s">
        <v>38</v>
      </c>
      <c r="P548" s="77">
        <v>45936</v>
      </c>
      <c r="Q548" s="76">
        <v>45966</v>
      </c>
      <c r="R548" s="77" t="s">
        <v>2114</v>
      </c>
      <c r="S548" s="77"/>
      <c r="T548" s="77"/>
      <c r="U548" s="77"/>
      <c r="V548" s="78" t="s">
        <v>5432</v>
      </c>
      <c r="W548" s="79">
        <v>46060</v>
      </c>
      <c r="X548" s="78" t="s">
        <v>37</v>
      </c>
      <c r="Y548" s="78"/>
      <c r="Z548" s="78" t="s">
        <v>5561</v>
      </c>
      <c r="AA548">
        <f>IF(COUNTIF('Call Queue'!$H$6:$H$20,V548)&gt;0,0,IF(AND(ISNUMBER(N548),N548&gt;0),10000000+N548,IF(ISNUMBER(N548*1),IF(N548*1&gt;0,10000000+N548*1,0),0))+IF(ISNUMBER(SEARCH("(",L548)),1000000+IFERROR(VALUE(SUBSTITUTE(SUBSTITUTE(SUBSTITUTE(MID(L548,SEARCH("(",L548)+1,SEARCH(")",L548)-SEARCH("(",L548)-1),"$",""),",","")," ","")),0),0))</f>
        <v>0</v>
      </c>
    </row>
    <row r="549" spans="1:27">
      <c r="A549" s="76">
        <v>45905</v>
      </c>
      <c r="B549" s="77" t="s">
        <v>2118</v>
      </c>
      <c r="C549" s="77" t="s">
        <v>2019</v>
      </c>
      <c r="D549" s="77" t="s">
        <v>539</v>
      </c>
      <c r="E549" s="77">
        <v>85122</v>
      </c>
      <c r="F549" s="77" t="s">
        <v>31</v>
      </c>
      <c r="G549" s="77" t="s">
        <v>1723</v>
      </c>
      <c r="H549" s="77">
        <v>980512306</v>
      </c>
      <c r="I549" s="77" t="s">
        <v>73</v>
      </c>
      <c r="J549" s="77" t="s">
        <v>37</v>
      </c>
      <c r="K549" s="77" t="s">
        <v>37</v>
      </c>
      <c r="L549" s="77" t="s">
        <v>38</v>
      </c>
      <c r="M549" s="77" t="s">
        <v>37</v>
      </c>
      <c r="N549" s="77" t="s">
        <v>37</v>
      </c>
      <c r="O549" s="77" t="s">
        <v>38</v>
      </c>
      <c r="P549" s="77" t="s">
        <v>39</v>
      </c>
      <c r="Q549" s="76">
        <v>45966</v>
      </c>
      <c r="R549" s="77"/>
      <c r="S549" s="77"/>
      <c r="T549" s="77"/>
      <c r="U549" s="77"/>
      <c r="V549" s="78"/>
      <c r="W549" s="79"/>
      <c r="X549" s="78"/>
      <c r="Y549" s="78"/>
      <c r="Z549" s="78"/>
      <c r="AA549">
        <f>IF(COUNTIF('Call Queue'!$H$6:$H$20,V549)&gt;0,0,IF(AND(ISNUMBER(N549),N549&gt;0),10000000+N549,IF(ISNUMBER(N549*1),IF(N549*1&gt;0,10000000+N549*1,0),0))+IF(ISNUMBER(SEARCH("(",L549)),1000000+IFERROR(VALUE(SUBSTITUTE(SUBSTITUTE(SUBSTITUTE(MID(L549,SEARCH("(",L549)+1,SEARCH(")",L549)-SEARCH("(",L549)-1),"$",""),",","")," ","")),0),0))</f>
        <v>0</v>
      </c>
    </row>
    <row r="550" spans="1:27">
      <c r="A550" s="76">
        <v>45905</v>
      </c>
      <c r="B550" s="77" t="s">
        <v>2120</v>
      </c>
      <c r="C550" s="77" t="s">
        <v>479</v>
      </c>
      <c r="D550" s="77" t="s">
        <v>202</v>
      </c>
      <c r="E550" s="77">
        <v>85383</v>
      </c>
      <c r="F550" s="77" t="s">
        <v>2121</v>
      </c>
      <c r="G550" s="77" t="s">
        <v>1723</v>
      </c>
      <c r="H550" s="77">
        <v>9746250000</v>
      </c>
      <c r="I550" s="77" t="s">
        <v>57</v>
      </c>
      <c r="J550" s="77" t="s">
        <v>38</v>
      </c>
      <c r="K550" s="77" t="s">
        <v>37</v>
      </c>
      <c r="L550" s="77" t="s">
        <v>2123</v>
      </c>
      <c r="M550" s="77" t="s">
        <v>37</v>
      </c>
      <c r="N550" s="77" t="s">
        <v>37</v>
      </c>
      <c r="O550" s="77" t="s">
        <v>38</v>
      </c>
      <c r="P550" s="77" t="s">
        <v>39</v>
      </c>
      <c r="Q550" s="76">
        <v>45966</v>
      </c>
      <c r="R550" s="77" t="s">
        <v>2124</v>
      </c>
      <c r="S550" s="77"/>
      <c r="T550" s="77"/>
      <c r="U550" s="77"/>
      <c r="V550" s="78" t="s">
        <v>5432</v>
      </c>
      <c r="W550" s="79">
        <v>46046</v>
      </c>
      <c r="X550" s="78" t="s">
        <v>38</v>
      </c>
      <c r="Y550" s="78"/>
      <c r="Z550" s="78" t="s">
        <v>5555</v>
      </c>
      <c r="AA550">
        <f>IF(COUNTIF('Call Queue'!$H$6:$H$20,V550)&gt;0,0,IF(AND(ISNUMBER(N550),N550&gt;0),10000000+N550,IF(ISNUMBER(N550*1),IF(N550*1&gt;0,10000000+N550*1,0),0))+IF(ISNUMBER(SEARCH("(",L550)),1000000+IFERROR(VALUE(SUBSTITUTE(SUBSTITUTE(SUBSTITUTE(MID(L550,SEARCH("(",L550)+1,SEARCH(")",L550)-SEARCH("(",L550)-1),"$",""),",","")," ","")),0),0))</f>
        <v>0</v>
      </c>
    </row>
    <row r="551" spans="1:27">
      <c r="A551" s="76">
        <v>45905</v>
      </c>
      <c r="B551" s="77" t="s">
        <v>1361</v>
      </c>
      <c r="C551" s="77" t="s">
        <v>2125</v>
      </c>
      <c r="D551" s="77" t="s">
        <v>24</v>
      </c>
      <c r="E551" s="77">
        <v>85308</v>
      </c>
      <c r="F551" s="77" t="s">
        <v>310</v>
      </c>
      <c r="G551" s="77" t="s">
        <v>1723</v>
      </c>
      <c r="H551" s="77">
        <v>4022467820</v>
      </c>
      <c r="I551" s="77" t="s">
        <v>196</v>
      </c>
      <c r="J551" s="77" t="s">
        <v>38</v>
      </c>
      <c r="K551" s="77" t="s">
        <v>37</v>
      </c>
      <c r="L551" s="77" t="s">
        <v>2127</v>
      </c>
      <c r="M551" s="77" t="s">
        <v>37</v>
      </c>
      <c r="N551" s="77" t="s">
        <v>37</v>
      </c>
      <c r="O551" s="77" t="s">
        <v>38</v>
      </c>
      <c r="P551" s="77" t="s">
        <v>39</v>
      </c>
      <c r="Q551" s="76">
        <v>45966</v>
      </c>
      <c r="R551" s="77"/>
      <c r="S551" s="77"/>
      <c r="T551" s="77"/>
      <c r="U551" s="77"/>
      <c r="V551" s="78" t="s">
        <v>5432</v>
      </c>
      <c r="W551" s="79">
        <v>46046</v>
      </c>
      <c r="X551" s="78" t="s">
        <v>38</v>
      </c>
      <c r="Y551" s="78"/>
      <c r="Z551" s="78" t="s">
        <v>5555</v>
      </c>
      <c r="AA551">
        <f>IF(COUNTIF('Call Queue'!$H$6:$H$20,V551)&gt;0,0,IF(AND(ISNUMBER(N551),N551&gt;0),10000000+N551,IF(ISNUMBER(N551*1),IF(N551*1&gt;0,10000000+N551*1,0),0))+IF(ISNUMBER(SEARCH("(",L551)),1000000+IFERROR(VALUE(SUBSTITUTE(SUBSTITUTE(SUBSTITUTE(MID(L551,SEARCH("(",L551)+1,SEARCH(")",L551)-SEARCH("(",L551)-1),"$",""),",","")," ","")),0),0))</f>
        <v>0</v>
      </c>
    </row>
    <row r="552" spans="1:27">
      <c r="A552" s="76">
        <v>45905</v>
      </c>
      <c r="B552" s="77" t="s">
        <v>49</v>
      </c>
      <c r="C552" s="77" t="s">
        <v>2128</v>
      </c>
      <c r="D552" s="77" t="s">
        <v>539</v>
      </c>
      <c r="E552" s="77">
        <v>85122</v>
      </c>
      <c r="F552" s="77" t="s">
        <v>2129</v>
      </c>
      <c r="G552" s="77" t="s">
        <v>2130</v>
      </c>
      <c r="H552" s="77">
        <v>2800620000</v>
      </c>
      <c r="I552" s="77" t="s">
        <v>541</v>
      </c>
      <c r="J552" s="77" t="s">
        <v>37</v>
      </c>
      <c r="K552" s="77" t="s">
        <v>37</v>
      </c>
      <c r="L552" s="77" t="s">
        <v>389</v>
      </c>
      <c r="M552" s="77" t="s">
        <v>37</v>
      </c>
      <c r="N552" s="77" t="s">
        <v>37</v>
      </c>
      <c r="O552" s="77" t="s">
        <v>38</v>
      </c>
      <c r="P552" s="77" t="s">
        <v>39</v>
      </c>
      <c r="Q552" s="76">
        <v>45966</v>
      </c>
      <c r="R552" s="77"/>
      <c r="S552" s="77"/>
      <c r="T552" s="77"/>
      <c r="U552" s="77"/>
      <c r="V552" s="78"/>
      <c r="W552" s="79"/>
      <c r="X552" s="78"/>
      <c r="Y552" s="78"/>
      <c r="Z552" s="78"/>
      <c r="AA552">
        <f>IF(COUNTIF('Call Queue'!$H$6:$H$20,V552)&gt;0,0,IF(AND(ISNUMBER(N552),N552&gt;0),10000000+N552,IF(ISNUMBER(N552*1),IF(N552*1&gt;0,10000000+N552*1,0),0))+IF(ISNUMBER(SEARCH("(",L552)),1000000+IFERROR(VALUE(SUBSTITUTE(SUBSTITUTE(SUBSTITUTE(MID(L552,SEARCH("(",L552)+1,SEARCH(")",L552)-SEARCH("(",L552)-1),"$",""),",","")," ","")),0),0))</f>
        <v>0</v>
      </c>
    </row>
    <row r="553" spans="1:27">
      <c r="A553" s="76">
        <v>45905</v>
      </c>
      <c r="B553" s="77" t="s">
        <v>2132</v>
      </c>
      <c r="C553" s="77" t="s">
        <v>133</v>
      </c>
      <c r="D553" s="77" t="s">
        <v>125</v>
      </c>
      <c r="E553" s="77">
        <v>85255</v>
      </c>
      <c r="F553" s="77" t="s">
        <v>310</v>
      </c>
      <c r="G553" s="77" t="s">
        <v>2130</v>
      </c>
      <c r="H553" s="77">
        <v>3957802541</v>
      </c>
      <c r="I553" s="77" t="s">
        <v>541</v>
      </c>
      <c r="J553" s="77" t="s">
        <v>37</v>
      </c>
      <c r="K553" s="77" t="s">
        <v>37</v>
      </c>
      <c r="L553" s="77" t="s">
        <v>389</v>
      </c>
      <c r="M553" s="77" t="s">
        <v>37</v>
      </c>
      <c r="N553" s="77" t="s">
        <v>37</v>
      </c>
      <c r="O553" s="77" t="s">
        <v>38</v>
      </c>
      <c r="P553" s="77" t="s">
        <v>39</v>
      </c>
      <c r="Q553" s="76">
        <v>45966</v>
      </c>
      <c r="R553" s="77"/>
      <c r="S553" s="77"/>
      <c r="T553" s="77"/>
      <c r="U553" s="77"/>
      <c r="V553" s="78"/>
      <c r="W553" s="79"/>
      <c r="X553" s="78"/>
      <c r="Y553" s="78"/>
      <c r="Z553" s="78"/>
      <c r="AA553">
        <f>IF(COUNTIF('Call Queue'!$H$6:$H$20,V553)&gt;0,0,IF(AND(ISNUMBER(N553),N553&gt;0),10000000+N553,IF(ISNUMBER(N553*1),IF(N553*1&gt;0,10000000+N553*1,0),0))+IF(ISNUMBER(SEARCH("(",L553)),1000000+IFERROR(VALUE(SUBSTITUTE(SUBSTITUTE(SUBSTITUTE(MID(L553,SEARCH("(",L553)+1,SEARCH(")",L553)-SEARCH("(",L553)-1),"$",""),",","")," ","")),0),0))</f>
        <v>0</v>
      </c>
    </row>
    <row r="554" spans="1:27">
      <c r="A554" s="76">
        <v>45905</v>
      </c>
      <c r="B554" s="77" t="s">
        <v>2134</v>
      </c>
      <c r="C554" s="77" t="s">
        <v>2135</v>
      </c>
      <c r="D554" s="77" t="s">
        <v>240</v>
      </c>
      <c r="E554" s="77">
        <v>85340</v>
      </c>
      <c r="F554" s="77" t="s">
        <v>31</v>
      </c>
      <c r="G554" s="77" t="s">
        <v>2130</v>
      </c>
      <c r="H554" s="77">
        <v>747358204</v>
      </c>
      <c r="I554" s="77" t="s">
        <v>243</v>
      </c>
      <c r="J554" s="77" t="s">
        <v>37</v>
      </c>
      <c r="K554" s="77" t="s">
        <v>37</v>
      </c>
      <c r="L554" s="77" t="s">
        <v>389</v>
      </c>
      <c r="M554" s="77" t="s">
        <v>37</v>
      </c>
      <c r="N554" s="77" t="s">
        <v>37</v>
      </c>
      <c r="O554" s="77" t="s">
        <v>38</v>
      </c>
      <c r="P554" s="77" t="s">
        <v>39</v>
      </c>
      <c r="Q554" s="76">
        <v>45966</v>
      </c>
      <c r="R554" s="77"/>
      <c r="S554" s="77"/>
      <c r="T554" s="77"/>
      <c r="U554" s="77"/>
      <c r="V554" s="78"/>
      <c r="W554" s="79"/>
      <c r="X554" s="78"/>
      <c r="Y554" s="78"/>
      <c r="Z554" s="78"/>
      <c r="AA554">
        <f>IF(COUNTIF('Call Queue'!$H$6:$H$20,V554)&gt;0,0,IF(AND(ISNUMBER(N554),N554&gt;0),10000000+N554,IF(ISNUMBER(N554*1),IF(N554*1&gt;0,10000000+N554*1,0),0))+IF(ISNUMBER(SEARCH("(",L554)),1000000+IFERROR(VALUE(SUBSTITUTE(SUBSTITUTE(SUBSTITUTE(MID(L554,SEARCH("(",L554)+1,SEARCH(")",L554)-SEARCH("(",L554)-1),"$",""),",","")," ","")),0),0))</f>
        <v>0</v>
      </c>
    </row>
    <row r="555" spans="1:27">
      <c r="A555" s="76">
        <v>45905</v>
      </c>
      <c r="B555" s="77" t="s">
        <v>1876</v>
      </c>
      <c r="C555" s="77" t="s">
        <v>145</v>
      </c>
      <c r="D555" s="77" t="s">
        <v>129</v>
      </c>
      <c r="E555" s="77">
        <v>85296</v>
      </c>
      <c r="F555" s="77" t="s">
        <v>310</v>
      </c>
      <c r="G555" s="77" t="s">
        <v>2130</v>
      </c>
      <c r="H555" s="77">
        <v>4860597868</v>
      </c>
      <c r="I555" s="77" t="s">
        <v>126</v>
      </c>
      <c r="J555" s="77" t="s">
        <v>37</v>
      </c>
      <c r="K555" s="77" t="s">
        <v>37</v>
      </c>
      <c r="L555" s="77" t="s">
        <v>38</v>
      </c>
      <c r="M555" s="77" t="s">
        <v>37</v>
      </c>
      <c r="N555" s="77" t="s">
        <v>37</v>
      </c>
      <c r="O555" s="77" t="s">
        <v>38</v>
      </c>
      <c r="P555" s="77" t="s">
        <v>39</v>
      </c>
      <c r="Q555" s="76">
        <v>45966</v>
      </c>
      <c r="R555" s="77"/>
      <c r="S555" s="77"/>
      <c r="T555" s="77"/>
      <c r="U555" s="77"/>
      <c r="V555" s="78"/>
      <c r="W555" s="79"/>
      <c r="X555" s="78"/>
      <c r="Y555" s="78"/>
      <c r="Z555" s="78"/>
      <c r="AA555">
        <f>IF(COUNTIF('Call Queue'!$H$6:$H$20,V555)&gt;0,0,IF(AND(ISNUMBER(N555),N555&gt;0),10000000+N555,IF(ISNUMBER(N555*1),IF(N555*1&gt;0,10000000+N555*1,0),0))+IF(ISNUMBER(SEARCH("(",L555)),1000000+IFERROR(VALUE(SUBSTITUTE(SUBSTITUTE(SUBSTITUTE(MID(L555,SEARCH("(",L555)+1,SEARCH(")",L555)-SEARCH("(",L555)-1),"$",""),",","")," ","")),0),0))</f>
        <v>0</v>
      </c>
    </row>
    <row r="556" spans="1:27">
      <c r="A556" s="76">
        <v>45905</v>
      </c>
      <c r="B556" s="77" t="s">
        <v>2138</v>
      </c>
      <c r="C556" s="77" t="s">
        <v>2139</v>
      </c>
      <c r="D556" s="77" t="s">
        <v>635</v>
      </c>
      <c r="E556" s="77">
        <v>85281</v>
      </c>
      <c r="F556" s="77" t="s">
        <v>310</v>
      </c>
      <c r="G556" s="77" t="s">
        <v>2130</v>
      </c>
      <c r="H556" s="77">
        <v>8125471475</v>
      </c>
      <c r="I556" s="77" t="s">
        <v>196</v>
      </c>
      <c r="J556" s="77" t="s">
        <v>37</v>
      </c>
      <c r="K556" s="77" t="s">
        <v>37</v>
      </c>
      <c r="L556" s="77" t="s">
        <v>38</v>
      </c>
      <c r="M556" s="77" t="s">
        <v>38</v>
      </c>
      <c r="N556" s="77">
        <v>422.52</v>
      </c>
      <c r="O556" s="77" t="s">
        <v>38</v>
      </c>
      <c r="P556" s="77" t="s">
        <v>39</v>
      </c>
      <c r="Q556" s="76">
        <v>45966</v>
      </c>
      <c r="R556" s="77"/>
      <c r="S556" s="77"/>
      <c r="T556" s="77"/>
      <c r="U556" s="77"/>
      <c r="V556" s="78" t="s">
        <v>5432</v>
      </c>
      <c r="W556" s="79">
        <v>46046</v>
      </c>
      <c r="X556" s="78" t="s">
        <v>38</v>
      </c>
      <c r="Y556" s="78"/>
      <c r="Z556" s="78" t="s">
        <v>5555</v>
      </c>
      <c r="AA556">
        <f>IF(COUNTIF('Call Queue'!$H$6:$H$20,V556)&gt;0,0,IF(AND(ISNUMBER(N556),N556&gt;0),10000000+N556,IF(ISNUMBER(N556*1),IF(N556*1&gt;0,10000000+N556*1,0),0))+IF(ISNUMBER(SEARCH("(",L556)),1000000+IFERROR(VALUE(SUBSTITUTE(SUBSTITUTE(SUBSTITUTE(MID(L556,SEARCH("(",L556)+1,SEARCH(")",L556)-SEARCH("(",L556)-1),"$",""),",","")," ","")),0),0))</f>
        <v>0</v>
      </c>
    </row>
    <row r="557" spans="1:27">
      <c r="A557" s="76">
        <v>45905</v>
      </c>
      <c r="B557" s="77" t="s">
        <v>2141</v>
      </c>
      <c r="C557" s="77" t="s">
        <v>1444</v>
      </c>
      <c r="D557" s="77" t="s">
        <v>370</v>
      </c>
      <c r="E557" s="77">
        <v>85225</v>
      </c>
      <c r="F557" s="77" t="s">
        <v>310</v>
      </c>
      <c r="G557" s="77" t="s">
        <v>2130</v>
      </c>
      <c r="H557" s="77">
        <v>7247493303</v>
      </c>
      <c r="I557" s="77" t="s">
        <v>36</v>
      </c>
      <c r="J557" s="77" t="s">
        <v>37</v>
      </c>
      <c r="K557" s="77" t="s">
        <v>37</v>
      </c>
      <c r="L557" s="77" t="s">
        <v>38</v>
      </c>
      <c r="M557" s="77" t="s">
        <v>37</v>
      </c>
      <c r="N557" s="77" t="s">
        <v>37</v>
      </c>
      <c r="O557" s="77" t="s">
        <v>38</v>
      </c>
      <c r="P557" s="77" t="s">
        <v>39</v>
      </c>
      <c r="Q557" s="76">
        <v>45966</v>
      </c>
      <c r="R557" s="77"/>
      <c r="S557" s="77"/>
      <c r="T557" s="77"/>
      <c r="U557" s="77"/>
      <c r="V557" s="78"/>
      <c r="W557" s="79"/>
      <c r="X557" s="78"/>
      <c r="Y557" s="78"/>
      <c r="Z557" s="78"/>
      <c r="AA557">
        <f>IF(COUNTIF('Call Queue'!$H$6:$H$20,V557)&gt;0,0,IF(AND(ISNUMBER(N557),N557&gt;0),10000000+N557,IF(ISNUMBER(N557*1),IF(N557*1&gt;0,10000000+N557*1,0),0))+IF(ISNUMBER(SEARCH("(",L557)),1000000+IFERROR(VALUE(SUBSTITUTE(SUBSTITUTE(SUBSTITUTE(MID(L557,SEARCH("(",L557)+1,SEARCH(")",L557)-SEARCH("(",L557)-1),"$",""),",","")," ","")),0),0))</f>
        <v>0</v>
      </c>
    </row>
    <row r="558" spans="1:27">
      <c r="A558" s="76">
        <v>45905</v>
      </c>
      <c r="B558" s="77" t="s">
        <v>2143</v>
      </c>
      <c r="C558" s="77" t="s">
        <v>2144</v>
      </c>
      <c r="D558" s="77" t="s">
        <v>63</v>
      </c>
      <c r="E558" s="77">
        <v>85032</v>
      </c>
      <c r="F558" s="77" t="s">
        <v>310</v>
      </c>
      <c r="G558" s="77" t="s">
        <v>2130</v>
      </c>
      <c r="H558" s="77">
        <v>3852813845</v>
      </c>
      <c r="I558" s="77" t="s">
        <v>57</v>
      </c>
      <c r="J558" s="77" t="s">
        <v>37</v>
      </c>
      <c r="K558" s="77" t="s">
        <v>37</v>
      </c>
      <c r="L558" s="77" t="s">
        <v>401</v>
      </c>
      <c r="M558" s="77" t="s">
        <v>37</v>
      </c>
      <c r="N558" s="77" t="s">
        <v>37</v>
      </c>
      <c r="O558" s="77" t="s">
        <v>38</v>
      </c>
      <c r="P558" s="77" t="s">
        <v>39</v>
      </c>
      <c r="Q558" s="76">
        <v>45966</v>
      </c>
      <c r="R558" s="77"/>
      <c r="S558" s="77"/>
      <c r="T558" s="77"/>
      <c r="U558" s="77"/>
      <c r="V558" s="78" t="s">
        <v>5432</v>
      </c>
      <c r="W558" s="79">
        <v>46060</v>
      </c>
      <c r="X558" s="78" t="s">
        <v>38</v>
      </c>
      <c r="Y558" s="78"/>
      <c r="Z558" s="78" t="s">
        <v>5555</v>
      </c>
      <c r="AA558">
        <f>IF(COUNTIF('Call Queue'!$H$6:$H$20,V558)&gt;0,0,IF(AND(ISNUMBER(N558),N558&gt;0),10000000+N558,IF(ISNUMBER(N558*1),IF(N558*1&gt;0,10000000+N558*1,0),0))+IF(ISNUMBER(SEARCH("(",L558)),1000000+IFERROR(VALUE(SUBSTITUTE(SUBSTITUTE(SUBSTITUTE(MID(L558,SEARCH("(",L558)+1,SEARCH(")",L558)-SEARCH("(",L558)-1),"$",""),",","")," ","")),0),0))</f>
        <v>0</v>
      </c>
    </row>
    <row r="559" spans="1:27">
      <c r="A559" s="76">
        <v>45905</v>
      </c>
      <c r="B559" s="77" t="s">
        <v>2146</v>
      </c>
      <c r="C559" s="77" t="s">
        <v>120</v>
      </c>
      <c r="D559" s="77" t="s">
        <v>63</v>
      </c>
      <c r="E559" s="77">
        <v>85032</v>
      </c>
      <c r="F559" s="77" t="s">
        <v>310</v>
      </c>
      <c r="G559" s="77" t="s">
        <v>2130</v>
      </c>
      <c r="H559" s="77">
        <v>7042751772</v>
      </c>
      <c r="I559" s="77" t="s">
        <v>196</v>
      </c>
      <c r="J559" s="77" t="s">
        <v>37</v>
      </c>
      <c r="K559" s="77" t="s">
        <v>37</v>
      </c>
      <c r="L559" s="77" t="s">
        <v>2148</v>
      </c>
      <c r="M559" s="77" t="s">
        <v>37</v>
      </c>
      <c r="N559" s="77" t="s">
        <v>37</v>
      </c>
      <c r="O559" s="77" t="s">
        <v>38</v>
      </c>
      <c r="P559" s="77" t="s">
        <v>39</v>
      </c>
      <c r="Q559" s="76">
        <v>45966</v>
      </c>
      <c r="R559" s="77"/>
      <c r="S559" s="77"/>
      <c r="T559" s="77"/>
      <c r="U559" s="77"/>
      <c r="V559" s="78" t="s">
        <v>5432</v>
      </c>
      <c r="W559" s="79">
        <v>46046</v>
      </c>
      <c r="X559" s="78" t="s">
        <v>38</v>
      </c>
      <c r="Y559" s="78"/>
      <c r="Z559" s="78" t="s">
        <v>5555</v>
      </c>
      <c r="AA559">
        <f>IF(COUNTIF('Call Queue'!$H$6:$H$20,V559)&gt;0,0,IF(AND(ISNUMBER(N559),N559&gt;0),10000000+N559,IF(ISNUMBER(N559*1),IF(N559*1&gt;0,10000000+N559*1,0),0))+IF(ISNUMBER(SEARCH("(",L559)),1000000+IFERROR(VALUE(SUBSTITUTE(SUBSTITUTE(SUBSTITUTE(MID(L559,SEARCH("(",L559)+1,SEARCH(")",L559)-SEARCH("(",L559)-1),"$",""),",","")," ","")),0),0))</f>
        <v>0</v>
      </c>
    </row>
    <row r="560" spans="1:27">
      <c r="A560" s="76">
        <v>45905</v>
      </c>
      <c r="B560" s="77" t="s">
        <v>225</v>
      </c>
      <c r="C560" s="77" t="s">
        <v>2149</v>
      </c>
      <c r="D560" s="77" t="s">
        <v>63</v>
      </c>
      <c r="E560" s="77">
        <v>85006</v>
      </c>
      <c r="F560" s="77" t="s">
        <v>310</v>
      </c>
      <c r="G560" s="77" t="s">
        <v>2130</v>
      </c>
      <c r="H560" s="77">
        <v>2698642394</v>
      </c>
      <c r="I560" s="77" t="s">
        <v>73</v>
      </c>
      <c r="J560" s="77" t="s">
        <v>37</v>
      </c>
      <c r="K560" s="77" t="s">
        <v>37</v>
      </c>
      <c r="L560" s="77" t="s">
        <v>38</v>
      </c>
      <c r="M560" s="77" t="s">
        <v>37</v>
      </c>
      <c r="N560" s="77" t="s">
        <v>37</v>
      </c>
      <c r="O560" s="77" t="s">
        <v>38</v>
      </c>
      <c r="P560" s="77" t="s">
        <v>39</v>
      </c>
      <c r="Q560" s="76">
        <v>45966</v>
      </c>
      <c r="R560" s="77"/>
      <c r="S560" s="77"/>
      <c r="T560" s="77"/>
      <c r="U560" s="77"/>
      <c r="V560" s="78"/>
      <c r="W560" s="79"/>
      <c r="X560" s="78"/>
      <c r="Y560" s="78"/>
      <c r="Z560" s="78"/>
      <c r="AA560">
        <f>IF(COUNTIF('Call Queue'!$H$6:$H$20,V560)&gt;0,0,IF(AND(ISNUMBER(N560),N560&gt;0),10000000+N560,IF(ISNUMBER(N560*1),IF(N560*1&gt;0,10000000+N560*1,0),0))+IF(ISNUMBER(SEARCH("(",L560)),1000000+IFERROR(VALUE(SUBSTITUTE(SUBSTITUTE(SUBSTITUTE(MID(L560,SEARCH("(",L560)+1,SEARCH(")",L560)-SEARCH("(",L560)-1),"$",""),",","")," ","")),0),0))</f>
        <v>0</v>
      </c>
    </row>
    <row r="561" spans="1:27">
      <c r="A561" s="76">
        <v>45905</v>
      </c>
      <c r="B561" s="77" t="s">
        <v>2151</v>
      </c>
      <c r="C561" s="77" t="s">
        <v>2152</v>
      </c>
      <c r="D561" s="77" t="s">
        <v>737</v>
      </c>
      <c r="E561" s="77">
        <v>86326</v>
      </c>
      <c r="F561" s="77" t="s">
        <v>1957</v>
      </c>
      <c r="G561" s="77" t="s">
        <v>2130</v>
      </c>
      <c r="H561" s="77">
        <v>871451000</v>
      </c>
      <c r="I561" s="77" t="s">
        <v>46</v>
      </c>
      <c r="J561" s="77" t="s">
        <v>37</v>
      </c>
      <c r="K561" s="77" t="s">
        <v>37</v>
      </c>
      <c r="L561" s="77" t="s">
        <v>38</v>
      </c>
      <c r="M561" s="77" t="s">
        <v>37</v>
      </c>
      <c r="N561" s="77" t="s">
        <v>37</v>
      </c>
      <c r="O561" s="77" t="s">
        <v>38</v>
      </c>
      <c r="P561" s="77" t="s">
        <v>39</v>
      </c>
      <c r="Q561" s="76">
        <v>45966</v>
      </c>
      <c r="R561" s="77"/>
      <c r="S561" s="77"/>
      <c r="T561" s="77"/>
      <c r="U561" s="77"/>
      <c r="V561" s="78"/>
      <c r="W561" s="79"/>
      <c r="X561" s="78"/>
      <c r="Y561" s="78"/>
      <c r="Z561" s="78"/>
      <c r="AA561">
        <f>IF(COUNTIF('Call Queue'!$H$6:$H$20,V561)&gt;0,0,IF(AND(ISNUMBER(N561),N561&gt;0),10000000+N561,IF(ISNUMBER(N561*1),IF(N561*1&gt;0,10000000+N561*1,0),0))+IF(ISNUMBER(SEARCH("(",L561)),1000000+IFERROR(VALUE(SUBSTITUTE(SUBSTITUTE(SUBSTITUTE(MID(L561,SEARCH("(",L561)+1,SEARCH(")",L561)-SEARCH("(",L561)-1),"$",""),",","")," ","")),0),0))</f>
        <v>0</v>
      </c>
    </row>
    <row r="562" spans="1:27">
      <c r="A562" s="76">
        <v>45905</v>
      </c>
      <c r="B562" s="77" t="s">
        <v>2154</v>
      </c>
      <c r="C562" s="77" t="s">
        <v>1862</v>
      </c>
      <c r="D562" s="77" t="s">
        <v>63</v>
      </c>
      <c r="E562" s="77">
        <v>85032</v>
      </c>
      <c r="F562" s="77" t="s">
        <v>310</v>
      </c>
      <c r="G562" s="77" t="s">
        <v>2130</v>
      </c>
      <c r="H562" s="77">
        <v>8085100837</v>
      </c>
      <c r="I562" s="77" t="s">
        <v>126</v>
      </c>
      <c r="J562" s="77" t="s">
        <v>37</v>
      </c>
      <c r="K562" s="77" t="s">
        <v>37</v>
      </c>
      <c r="L562" s="77" t="s">
        <v>38</v>
      </c>
      <c r="M562" s="77" t="s">
        <v>37</v>
      </c>
      <c r="N562" s="77" t="s">
        <v>37</v>
      </c>
      <c r="O562" s="77" t="s">
        <v>38</v>
      </c>
      <c r="P562" s="77" t="s">
        <v>39</v>
      </c>
      <c r="Q562" s="76">
        <v>45966</v>
      </c>
      <c r="R562" s="77"/>
      <c r="S562" s="77"/>
      <c r="T562" s="77"/>
      <c r="U562" s="77"/>
      <c r="V562" s="78"/>
      <c r="W562" s="79"/>
      <c r="X562" s="78"/>
      <c r="Y562" s="78"/>
      <c r="Z562" s="78"/>
      <c r="AA562">
        <f>IF(COUNTIF('Call Queue'!$H$6:$H$20,V562)&gt;0,0,IF(AND(ISNUMBER(N562),N562&gt;0),10000000+N562,IF(ISNUMBER(N562*1),IF(N562*1&gt;0,10000000+N562*1,0),0))+IF(ISNUMBER(SEARCH("(",L562)),1000000+IFERROR(VALUE(SUBSTITUTE(SUBSTITUTE(SUBSTITUTE(MID(L562,SEARCH("(",L562)+1,SEARCH(")",L562)-SEARCH("(",L562)-1),"$",""),",","")," ","")),0),0))</f>
        <v>0</v>
      </c>
    </row>
    <row r="563" spans="1:27">
      <c r="A563" s="76">
        <v>45905</v>
      </c>
      <c r="B563" s="77" t="s">
        <v>2156</v>
      </c>
      <c r="C563" s="77" t="s">
        <v>411</v>
      </c>
      <c r="D563" s="77" t="s">
        <v>63</v>
      </c>
      <c r="E563" s="77">
        <v>85032</v>
      </c>
      <c r="F563" s="77" t="s">
        <v>310</v>
      </c>
      <c r="G563" s="77" t="s">
        <v>2130</v>
      </c>
      <c r="H563" s="77">
        <v>6040546107</v>
      </c>
      <c r="I563" s="77" t="s">
        <v>36</v>
      </c>
      <c r="J563" s="77" t="s">
        <v>37</v>
      </c>
      <c r="K563" s="77" t="s">
        <v>37</v>
      </c>
      <c r="L563" s="77" t="s">
        <v>38</v>
      </c>
      <c r="M563" s="77" t="s">
        <v>37</v>
      </c>
      <c r="N563" s="77" t="s">
        <v>37</v>
      </c>
      <c r="O563" s="77" t="s">
        <v>38</v>
      </c>
      <c r="P563" s="77" t="s">
        <v>39</v>
      </c>
      <c r="Q563" s="76">
        <v>45966</v>
      </c>
      <c r="R563" s="77"/>
      <c r="S563" s="77"/>
      <c r="T563" s="77"/>
      <c r="U563" s="77"/>
      <c r="V563" s="78"/>
      <c r="W563" s="79"/>
      <c r="X563" s="78"/>
      <c r="Y563" s="78"/>
      <c r="Z563" s="78"/>
      <c r="AA563">
        <f>IF(COUNTIF('Call Queue'!$H$6:$H$20,V563)&gt;0,0,IF(AND(ISNUMBER(N563),N563&gt;0),10000000+N563,IF(ISNUMBER(N563*1),IF(N563*1&gt;0,10000000+N563*1,0),0))+IF(ISNUMBER(SEARCH("(",L563)),1000000+IFERROR(VALUE(SUBSTITUTE(SUBSTITUTE(SUBSTITUTE(MID(L563,SEARCH("(",L563)+1,SEARCH(")",L563)-SEARCH("(",L563)-1),"$",""),",","")," ","")),0),0))</f>
        <v>0</v>
      </c>
    </row>
    <row r="564" spans="1:27">
      <c r="A564" s="76">
        <v>45905</v>
      </c>
      <c r="B564" s="77" t="s">
        <v>1839</v>
      </c>
      <c r="C564" s="77" t="s">
        <v>2158</v>
      </c>
      <c r="D564" s="77" t="s">
        <v>63</v>
      </c>
      <c r="E564" s="77">
        <v>85024</v>
      </c>
      <c r="F564" s="77" t="s">
        <v>310</v>
      </c>
      <c r="G564" s="77" t="s">
        <v>2130</v>
      </c>
      <c r="H564" s="77">
        <v>1459950257</v>
      </c>
      <c r="I564" s="77" t="s">
        <v>36</v>
      </c>
      <c r="J564" s="77" t="s">
        <v>37</v>
      </c>
      <c r="K564" s="77" t="s">
        <v>37</v>
      </c>
      <c r="L564" s="77" t="s">
        <v>38</v>
      </c>
      <c r="M564" s="77" t="s">
        <v>37</v>
      </c>
      <c r="N564" s="77" t="s">
        <v>37</v>
      </c>
      <c r="O564" s="77" t="s">
        <v>38</v>
      </c>
      <c r="P564" s="77" t="s">
        <v>39</v>
      </c>
      <c r="Q564" s="76">
        <v>45966</v>
      </c>
      <c r="R564" s="77"/>
      <c r="S564" s="77"/>
      <c r="T564" s="77"/>
      <c r="U564" s="77"/>
      <c r="V564" s="78"/>
      <c r="W564" s="79"/>
      <c r="X564" s="78"/>
      <c r="Y564" s="78"/>
      <c r="Z564" s="78"/>
      <c r="AA564">
        <f>IF(COUNTIF('Call Queue'!$H$6:$H$20,V564)&gt;0,0,IF(AND(ISNUMBER(N564),N564&gt;0),10000000+N564,IF(ISNUMBER(N564*1),IF(N564*1&gt;0,10000000+N564*1,0),0))+IF(ISNUMBER(SEARCH("(",L564)),1000000+IFERROR(VALUE(SUBSTITUTE(SUBSTITUTE(SUBSTITUTE(MID(L564,SEARCH("(",L564)+1,SEARCH(")",L564)-SEARCH("(",L564)-1),"$",""),",","")," ","")),0),0))</f>
        <v>0</v>
      </c>
    </row>
    <row r="565" spans="1:27">
      <c r="A565" s="76">
        <v>45905</v>
      </c>
      <c r="B565" s="77" t="s">
        <v>2162</v>
      </c>
      <c r="C565" s="77" t="s">
        <v>705</v>
      </c>
      <c r="D565" s="77" t="s">
        <v>63</v>
      </c>
      <c r="E565" s="77">
        <v>85020</v>
      </c>
      <c r="F565" s="77" t="s">
        <v>2163</v>
      </c>
      <c r="G565" s="77" t="s">
        <v>2130</v>
      </c>
      <c r="H565" s="77" t="s">
        <v>2164</v>
      </c>
      <c r="I565" s="77" t="s">
        <v>36</v>
      </c>
      <c r="J565" s="77" t="s">
        <v>37</v>
      </c>
      <c r="K565" s="77" t="s">
        <v>37</v>
      </c>
      <c r="L565" s="77" t="s">
        <v>38</v>
      </c>
      <c r="M565" s="77" t="s">
        <v>37</v>
      </c>
      <c r="N565" s="77" t="s">
        <v>37</v>
      </c>
      <c r="O565" s="77" t="s">
        <v>38</v>
      </c>
      <c r="P565" s="77" t="s">
        <v>39</v>
      </c>
      <c r="Q565" s="76">
        <v>45966</v>
      </c>
      <c r="R565" s="77"/>
      <c r="S565" s="77"/>
      <c r="T565" s="77"/>
      <c r="U565" s="77"/>
      <c r="V565" s="78"/>
      <c r="W565" s="79"/>
      <c r="X565" s="78"/>
      <c r="Y565" s="78"/>
      <c r="Z565" s="78"/>
      <c r="AA565">
        <f>IF(COUNTIF('Call Queue'!$H$6:$H$20,V565)&gt;0,0,IF(AND(ISNUMBER(N565),N565&gt;0),10000000+N565,IF(ISNUMBER(N565*1),IF(N565*1&gt;0,10000000+N565*1,0),0))+IF(ISNUMBER(SEARCH("(",L565)),1000000+IFERROR(VALUE(SUBSTITUTE(SUBSTITUTE(SUBSTITUTE(MID(L565,SEARCH("(",L565)+1,SEARCH(")",L565)-SEARCH("(",L565)-1),"$",""),",","")," ","")),0),0))</f>
        <v>0</v>
      </c>
    </row>
    <row r="566" spans="1:27">
      <c r="A566" s="76">
        <v>45905</v>
      </c>
      <c r="B566" s="77" t="s">
        <v>2165</v>
      </c>
      <c r="C566" s="77" t="s">
        <v>835</v>
      </c>
      <c r="D566" s="77" t="s">
        <v>63</v>
      </c>
      <c r="E566" s="77">
        <v>85003</v>
      </c>
      <c r="F566" s="77" t="s">
        <v>2166</v>
      </c>
      <c r="G566" s="77" t="s">
        <v>2130</v>
      </c>
      <c r="H566" s="77">
        <v>126527094</v>
      </c>
      <c r="I566" s="77" t="s">
        <v>46</v>
      </c>
      <c r="J566" s="77" t="s">
        <v>37</v>
      </c>
      <c r="K566" s="77" t="s">
        <v>37</v>
      </c>
      <c r="L566" s="77" t="s">
        <v>38</v>
      </c>
      <c r="M566" s="77" t="s">
        <v>37</v>
      </c>
      <c r="N566" s="77" t="s">
        <v>37</v>
      </c>
      <c r="O566" s="77" t="s">
        <v>38</v>
      </c>
      <c r="P566" s="77" t="s">
        <v>39</v>
      </c>
      <c r="Q566" s="76">
        <v>45966</v>
      </c>
      <c r="R566" s="77"/>
      <c r="S566" s="77"/>
      <c r="T566" s="77"/>
      <c r="U566" s="77"/>
      <c r="V566" s="78"/>
      <c r="W566" s="79"/>
      <c r="X566" s="78"/>
      <c r="Y566" s="78"/>
      <c r="Z566" s="78"/>
      <c r="AA566">
        <f>IF(COUNTIF('Call Queue'!$H$6:$H$20,V566)&gt;0,0,IF(AND(ISNUMBER(N566),N566&gt;0),10000000+N566,IF(ISNUMBER(N566*1),IF(N566*1&gt;0,10000000+N566*1,0),0))+IF(ISNUMBER(SEARCH("(",L566)),1000000+IFERROR(VALUE(SUBSTITUTE(SUBSTITUTE(SUBSTITUTE(MID(L566,SEARCH("(",L566)+1,SEARCH(")",L566)-SEARCH("(",L566)-1),"$",""),",","")," ","")),0),0))</f>
        <v>0</v>
      </c>
    </row>
    <row r="567" spans="1:27">
      <c r="A567" s="76">
        <v>45905</v>
      </c>
      <c r="B567" s="77" t="s">
        <v>2168</v>
      </c>
      <c r="C567" s="77" t="s">
        <v>2169</v>
      </c>
      <c r="D567" s="77" t="s">
        <v>68</v>
      </c>
      <c r="E567" s="77">
        <v>85331</v>
      </c>
      <c r="F567" s="77" t="s">
        <v>310</v>
      </c>
      <c r="G567" s="77" t="s">
        <v>2130</v>
      </c>
      <c r="H567" s="77">
        <v>4096651000</v>
      </c>
      <c r="I567" s="77" t="s">
        <v>196</v>
      </c>
      <c r="J567" s="77" t="s">
        <v>37</v>
      </c>
      <c r="K567" s="77" t="s">
        <v>37</v>
      </c>
      <c r="L567" s="77" t="s">
        <v>2171</v>
      </c>
      <c r="M567" s="77" t="s">
        <v>37</v>
      </c>
      <c r="N567" s="77" t="s">
        <v>37</v>
      </c>
      <c r="O567" s="77" t="s">
        <v>38</v>
      </c>
      <c r="P567" s="77">
        <v>45971</v>
      </c>
      <c r="Q567" s="76">
        <v>45966</v>
      </c>
      <c r="R567" s="77" t="s">
        <v>2172</v>
      </c>
      <c r="S567" s="77"/>
      <c r="T567" s="77"/>
      <c r="U567" s="77"/>
      <c r="V567" s="78" t="s">
        <v>5432</v>
      </c>
      <c r="W567" s="79">
        <v>46046</v>
      </c>
      <c r="X567" s="78" t="s">
        <v>38</v>
      </c>
      <c r="Y567" s="78"/>
      <c r="Z567" s="78" t="s">
        <v>5555</v>
      </c>
      <c r="AA567">
        <f>IF(COUNTIF('Call Queue'!$H$6:$H$20,V567)&gt;0,0,IF(AND(ISNUMBER(N567),N567&gt;0),10000000+N567,IF(ISNUMBER(N567*1),IF(N567*1&gt;0,10000000+N567*1,0),0))+IF(ISNUMBER(SEARCH("(",L567)),1000000+IFERROR(VALUE(SUBSTITUTE(SUBSTITUTE(SUBSTITUTE(MID(L567,SEARCH("(",L567)+1,SEARCH(")",L567)-SEARCH("(",L567)-1),"$",""),",","")," ","")),0),0))</f>
        <v>0</v>
      </c>
    </row>
    <row r="568" spans="1:27">
      <c r="A568" s="76">
        <v>45905</v>
      </c>
      <c r="B568" s="77" t="s">
        <v>2173</v>
      </c>
      <c r="C568" s="77" t="s">
        <v>471</v>
      </c>
      <c r="D568" s="77" t="s">
        <v>24</v>
      </c>
      <c r="E568" s="77">
        <v>85308</v>
      </c>
      <c r="F568" s="77" t="s">
        <v>310</v>
      </c>
      <c r="G568" s="77" t="s">
        <v>2130</v>
      </c>
      <c r="H568" s="77">
        <v>3920858144</v>
      </c>
      <c r="I568" s="77" t="s">
        <v>36</v>
      </c>
      <c r="J568" s="77" t="s">
        <v>37</v>
      </c>
      <c r="K568" s="77" t="s">
        <v>37</v>
      </c>
      <c r="L568" s="77" t="s">
        <v>38</v>
      </c>
      <c r="M568" s="77" t="s">
        <v>37</v>
      </c>
      <c r="N568" s="77" t="s">
        <v>37</v>
      </c>
      <c r="O568" s="77" t="s">
        <v>38</v>
      </c>
      <c r="P568" s="77" t="s">
        <v>39</v>
      </c>
      <c r="Q568" s="76">
        <v>45966</v>
      </c>
      <c r="R568" s="77"/>
      <c r="S568" s="77"/>
      <c r="T568" s="77"/>
      <c r="U568" s="77"/>
      <c r="V568" s="78"/>
      <c r="W568" s="79"/>
      <c r="X568" s="78"/>
      <c r="Y568" s="78"/>
      <c r="Z568" s="78"/>
      <c r="AA568">
        <f>IF(COUNTIF('Call Queue'!$H$6:$H$20,V568)&gt;0,0,IF(AND(ISNUMBER(N568),N568&gt;0),10000000+N568,IF(ISNUMBER(N568*1),IF(N568*1&gt;0,10000000+N568*1,0),0))+IF(ISNUMBER(SEARCH("(",L568)),1000000+IFERROR(VALUE(SUBSTITUTE(SUBSTITUTE(SUBSTITUTE(MID(L568,SEARCH("(",L568)+1,SEARCH(")",L568)-SEARCH("(",L568)-1),"$",""),",","")," ","")),0),0))</f>
        <v>0</v>
      </c>
    </row>
    <row r="569" spans="1:27">
      <c r="A569" s="76">
        <v>45905</v>
      </c>
      <c r="B569" s="77" t="s">
        <v>2178</v>
      </c>
      <c r="C569" s="77" t="s">
        <v>2179</v>
      </c>
      <c r="D569" s="77" t="s">
        <v>169</v>
      </c>
      <c r="E569" s="77">
        <v>85338</v>
      </c>
      <c r="F569" s="77" t="s">
        <v>310</v>
      </c>
      <c r="G569" s="77" t="s">
        <v>2130</v>
      </c>
      <c r="H569" s="77">
        <v>8764120000</v>
      </c>
      <c r="I569" s="77" t="s">
        <v>126</v>
      </c>
      <c r="J569" s="77" t="s">
        <v>37</v>
      </c>
      <c r="K569" s="77" t="s">
        <v>37</v>
      </c>
      <c r="L569" s="77" t="s">
        <v>38</v>
      </c>
      <c r="M569" s="77" t="s">
        <v>37</v>
      </c>
      <c r="N569" s="77" t="s">
        <v>37</v>
      </c>
      <c r="O569" s="77" t="s">
        <v>38</v>
      </c>
      <c r="P569" s="77" t="s">
        <v>39</v>
      </c>
      <c r="Q569" s="76">
        <v>45966</v>
      </c>
      <c r="R569" s="77"/>
      <c r="S569" s="77"/>
      <c r="T569" s="77"/>
      <c r="U569" s="77"/>
      <c r="V569" s="78"/>
      <c r="W569" s="79"/>
      <c r="X569" s="78"/>
      <c r="Y569" s="78"/>
      <c r="Z569" s="78"/>
      <c r="AA569">
        <f>IF(COUNTIF('Call Queue'!$H$6:$H$20,V569)&gt;0,0,IF(AND(ISNUMBER(N569),N569&gt;0),10000000+N569,IF(ISNUMBER(N569*1),IF(N569*1&gt;0,10000000+N569*1,0),0))+IF(ISNUMBER(SEARCH("(",L569)),1000000+IFERROR(VALUE(SUBSTITUTE(SUBSTITUTE(SUBSTITUTE(MID(L569,SEARCH("(",L569)+1,SEARCH(")",L569)-SEARCH("(",L569)-1),"$",""),",","")," ","")),0),0))</f>
        <v>0</v>
      </c>
    </row>
    <row r="570" spans="1:27">
      <c r="A570" s="76">
        <v>45905</v>
      </c>
      <c r="B570" s="77" t="s">
        <v>2181</v>
      </c>
      <c r="C570" s="77" t="s">
        <v>75</v>
      </c>
      <c r="D570" s="77" t="s">
        <v>63</v>
      </c>
      <c r="E570" s="77">
        <v>85050</v>
      </c>
      <c r="F570" s="77" t="s">
        <v>310</v>
      </c>
      <c r="G570" s="77" t="s">
        <v>2130</v>
      </c>
      <c r="H570" s="77">
        <v>1567183764</v>
      </c>
      <c r="I570" s="77" t="s">
        <v>36</v>
      </c>
      <c r="J570" s="77" t="s">
        <v>37</v>
      </c>
      <c r="K570" s="77" t="s">
        <v>37</v>
      </c>
      <c r="L570" s="77" t="s">
        <v>38</v>
      </c>
      <c r="M570" s="77" t="s">
        <v>37</v>
      </c>
      <c r="N570" s="77" t="s">
        <v>37</v>
      </c>
      <c r="O570" s="77" t="s">
        <v>38</v>
      </c>
      <c r="P570" s="77" t="s">
        <v>39</v>
      </c>
      <c r="Q570" s="76">
        <v>45966</v>
      </c>
      <c r="R570" s="77"/>
      <c r="S570" s="77"/>
      <c r="T570" s="77"/>
      <c r="U570" s="77"/>
      <c r="V570" s="78"/>
      <c r="W570" s="79"/>
      <c r="X570" s="78"/>
      <c r="Y570" s="78"/>
      <c r="Z570" s="78"/>
      <c r="AA570">
        <f>IF(COUNTIF('Call Queue'!$H$6:$H$20,V570)&gt;0,0,IF(AND(ISNUMBER(N570),N570&gt;0),10000000+N570,IF(ISNUMBER(N570*1),IF(N570*1&gt;0,10000000+N570*1,0),0))+IF(ISNUMBER(SEARCH("(",L570)),1000000+IFERROR(VALUE(SUBSTITUTE(SUBSTITUTE(SUBSTITUTE(MID(L570,SEARCH("(",L570)+1,SEARCH(")",L570)-SEARCH("(",L570)-1),"$",""),",","")," ","")),0),0))</f>
        <v>0</v>
      </c>
    </row>
    <row r="571" spans="1:27">
      <c r="A571" s="76">
        <v>45905</v>
      </c>
      <c r="B571" s="77" t="s">
        <v>2183</v>
      </c>
      <c r="C571" s="77" t="s">
        <v>2184</v>
      </c>
      <c r="D571" s="77" t="s">
        <v>125</v>
      </c>
      <c r="E571" s="77">
        <v>85260</v>
      </c>
      <c r="F571" s="77" t="s">
        <v>2185</v>
      </c>
      <c r="G571" s="77" t="s">
        <v>2130</v>
      </c>
      <c r="H571" s="77">
        <v>6206172265</v>
      </c>
      <c r="I571" s="77" t="s">
        <v>36</v>
      </c>
      <c r="J571" s="77" t="s">
        <v>37</v>
      </c>
      <c r="K571" s="77" t="s">
        <v>37</v>
      </c>
      <c r="L571" s="77" t="s">
        <v>38</v>
      </c>
      <c r="M571" s="77" t="s">
        <v>37</v>
      </c>
      <c r="N571" s="77" t="s">
        <v>37</v>
      </c>
      <c r="O571" s="77" t="s">
        <v>38</v>
      </c>
      <c r="P571" s="77" t="s">
        <v>39</v>
      </c>
      <c r="Q571" s="76">
        <v>45966</v>
      </c>
      <c r="R571" s="77"/>
      <c r="S571" s="77"/>
      <c r="T571" s="77"/>
      <c r="U571" s="77"/>
      <c r="V571" s="78"/>
      <c r="W571" s="79"/>
      <c r="X571" s="78"/>
      <c r="Y571" s="78"/>
      <c r="Z571" s="78"/>
      <c r="AA571">
        <f>IF(COUNTIF('Call Queue'!$H$6:$H$20,V571)&gt;0,0,IF(AND(ISNUMBER(N571),N571&gt;0),10000000+N571,IF(ISNUMBER(N571*1),IF(N571*1&gt;0,10000000+N571*1,0),0))+IF(ISNUMBER(SEARCH("(",L571)),1000000+IFERROR(VALUE(SUBSTITUTE(SUBSTITUTE(SUBSTITUTE(MID(L571,SEARCH("(",L571)+1,SEARCH(")",L571)-SEARCH("(",L571)-1),"$",""),",","")," ","")),0),0))</f>
        <v>0</v>
      </c>
    </row>
    <row r="572" spans="1:27">
      <c r="A572" s="76">
        <v>45905</v>
      </c>
      <c r="B572" s="77" t="s">
        <v>2187</v>
      </c>
      <c r="C572" s="77" t="s">
        <v>2188</v>
      </c>
      <c r="D572" s="77" t="s">
        <v>63</v>
      </c>
      <c r="E572" s="77">
        <v>85024</v>
      </c>
      <c r="F572" s="77" t="s">
        <v>2189</v>
      </c>
      <c r="G572" s="77" t="s">
        <v>2130</v>
      </c>
      <c r="H572" s="77">
        <v>4300170000</v>
      </c>
      <c r="I572" s="77" t="s">
        <v>196</v>
      </c>
      <c r="J572" s="77" t="s">
        <v>37</v>
      </c>
      <c r="K572" s="77" t="s">
        <v>37</v>
      </c>
      <c r="L572" s="77" t="s">
        <v>2191</v>
      </c>
      <c r="M572" s="77" t="s">
        <v>38</v>
      </c>
      <c r="N572" s="77">
        <v>470.06</v>
      </c>
      <c r="O572" s="77" t="s">
        <v>38</v>
      </c>
      <c r="P572" s="77" t="s">
        <v>39</v>
      </c>
      <c r="Q572" s="76">
        <v>45966</v>
      </c>
      <c r="R572" s="77"/>
      <c r="S572" s="77"/>
      <c r="T572" s="77"/>
      <c r="U572" s="77"/>
      <c r="V572" s="78" t="s">
        <v>5432</v>
      </c>
      <c r="W572" s="79">
        <v>46046</v>
      </c>
      <c r="X572" s="78" t="s">
        <v>38</v>
      </c>
      <c r="Y572" s="78"/>
      <c r="Z572" s="78" t="s">
        <v>5562</v>
      </c>
      <c r="AA572">
        <f>IF(COUNTIF('Call Queue'!$H$6:$H$20,V572)&gt;0,0,IF(AND(ISNUMBER(N572),N572&gt;0),10000000+N572,IF(ISNUMBER(N572*1),IF(N572*1&gt;0,10000000+N572*1,0),0))+IF(ISNUMBER(SEARCH("(",L572)),1000000+IFERROR(VALUE(SUBSTITUTE(SUBSTITUTE(SUBSTITUTE(MID(L572,SEARCH("(",L572)+1,SEARCH(")",L572)-SEARCH("(",L572)-1),"$",""),",","")," ","")),0),0))</f>
        <v>0</v>
      </c>
    </row>
    <row r="573" spans="1:27">
      <c r="A573" s="76">
        <v>45905</v>
      </c>
      <c r="B573" s="77" t="s">
        <v>2192</v>
      </c>
      <c r="C573" s="77" t="s">
        <v>835</v>
      </c>
      <c r="D573" s="77" t="s">
        <v>63</v>
      </c>
      <c r="E573" s="77">
        <v>85016</v>
      </c>
      <c r="F573" s="77" t="s">
        <v>310</v>
      </c>
      <c r="G573" s="77" t="s">
        <v>2130</v>
      </c>
      <c r="H573" s="77">
        <v>3300419615</v>
      </c>
      <c r="I573" s="77" t="s">
        <v>126</v>
      </c>
      <c r="J573" s="77" t="s">
        <v>37</v>
      </c>
      <c r="K573" s="77" t="s">
        <v>37</v>
      </c>
      <c r="L573" s="77" t="s">
        <v>38</v>
      </c>
      <c r="M573" s="77" t="s">
        <v>37</v>
      </c>
      <c r="N573" s="77" t="s">
        <v>37</v>
      </c>
      <c r="O573" s="77" t="s">
        <v>38</v>
      </c>
      <c r="P573" s="77" t="s">
        <v>39</v>
      </c>
      <c r="Q573" s="76">
        <v>45966</v>
      </c>
      <c r="R573" s="77"/>
      <c r="S573" s="77"/>
      <c r="T573" s="77"/>
      <c r="U573" s="77"/>
      <c r="V573" s="78"/>
      <c r="W573" s="79"/>
      <c r="X573" s="78"/>
      <c r="Y573" s="78"/>
      <c r="Z573" s="78"/>
      <c r="AA573">
        <f>IF(COUNTIF('Call Queue'!$H$6:$H$20,V573)&gt;0,0,IF(AND(ISNUMBER(N573),N573&gt;0),10000000+N573,IF(ISNUMBER(N573*1),IF(N573*1&gt;0,10000000+N573*1,0),0))+IF(ISNUMBER(SEARCH("(",L573)),1000000+IFERROR(VALUE(SUBSTITUTE(SUBSTITUTE(SUBSTITUTE(MID(L573,SEARCH("(",L573)+1,SEARCH(")",L573)-SEARCH("(",L573)-1),"$",""),",","")," ","")),0),0))</f>
        <v>0</v>
      </c>
    </row>
    <row r="574" spans="1:27">
      <c r="A574" s="76">
        <v>45905</v>
      </c>
      <c r="B574" s="77" t="s">
        <v>2194</v>
      </c>
      <c r="C574" s="77" t="s">
        <v>206</v>
      </c>
      <c r="D574" s="77" t="s">
        <v>125</v>
      </c>
      <c r="E574" s="77">
        <v>85258</v>
      </c>
      <c r="F574" s="77" t="s">
        <v>2195</v>
      </c>
      <c r="G574" s="77" t="s">
        <v>2130</v>
      </c>
      <c r="H574" s="77">
        <v>5127241787</v>
      </c>
      <c r="I574" s="77" t="s">
        <v>36</v>
      </c>
      <c r="J574" s="77" t="s">
        <v>37</v>
      </c>
      <c r="K574" s="77" t="s">
        <v>37</v>
      </c>
      <c r="L574" s="77" t="s">
        <v>2197</v>
      </c>
      <c r="M574" s="77" t="s">
        <v>37</v>
      </c>
      <c r="N574" s="77" t="s">
        <v>37</v>
      </c>
      <c r="O574" s="77" t="s">
        <v>38</v>
      </c>
      <c r="P574" s="77" t="s">
        <v>39</v>
      </c>
      <c r="Q574" s="76">
        <v>45966</v>
      </c>
      <c r="R574" s="77" t="s">
        <v>1421</v>
      </c>
      <c r="S574" s="77"/>
      <c r="T574" s="77"/>
      <c r="U574" s="77"/>
      <c r="V574" s="78" t="s">
        <v>5432</v>
      </c>
      <c r="W574" s="79">
        <v>46060</v>
      </c>
      <c r="X574" s="78" t="s">
        <v>37</v>
      </c>
      <c r="Y574" s="78" t="s">
        <v>5442</v>
      </c>
      <c r="Z574" s="78"/>
      <c r="AA574">
        <f>IF(COUNTIF('Call Queue'!$H$6:$H$20,V574)&gt;0,0,IF(AND(ISNUMBER(N574),N574&gt;0),10000000+N574,IF(ISNUMBER(N574*1),IF(N574*1&gt;0,10000000+N574*1,0),0))+IF(ISNUMBER(SEARCH("(",L574)),1000000+IFERROR(VALUE(SUBSTITUTE(SUBSTITUTE(SUBSTITUTE(MID(L574,SEARCH("(",L574)+1,SEARCH(")",L574)-SEARCH("(",L574)-1),"$",""),",","")," ","")),0),0))</f>
        <v>0</v>
      </c>
    </row>
    <row r="575" spans="1:27">
      <c r="A575" s="76">
        <v>45905</v>
      </c>
      <c r="B575" s="77" t="s">
        <v>2198</v>
      </c>
      <c r="C575" s="77" t="s">
        <v>705</v>
      </c>
      <c r="D575" s="77" t="s">
        <v>63</v>
      </c>
      <c r="E575" s="77">
        <v>85022</v>
      </c>
      <c r="F575" s="77" t="s">
        <v>310</v>
      </c>
      <c r="G575" s="77" t="s">
        <v>2130</v>
      </c>
      <c r="H575" s="77">
        <v>3567250984</v>
      </c>
      <c r="I575" s="77" t="s">
        <v>73</v>
      </c>
      <c r="J575" s="77" t="s">
        <v>37</v>
      </c>
      <c r="K575" s="77" t="s">
        <v>37</v>
      </c>
      <c r="L575" s="77" t="s">
        <v>38</v>
      </c>
      <c r="M575" s="77" t="s">
        <v>37</v>
      </c>
      <c r="N575" s="77" t="s">
        <v>37</v>
      </c>
      <c r="O575" s="77" t="s">
        <v>38</v>
      </c>
      <c r="P575" s="77" t="s">
        <v>39</v>
      </c>
      <c r="Q575" s="76">
        <v>45966</v>
      </c>
      <c r="R575" s="77"/>
      <c r="S575" s="77"/>
      <c r="T575" s="77"/>
      <c r="U575" s="77"/>
      <c r="V575" s="78" t="s">
        <v>117</v>
      </c>
      <c r="W575" s="79">
        <v>45997</v>
      </c>
      <c r="X575" s="78" t="s">
        <v>37</v>
      </c>
      <c r="Y575" s="78"/>
      <c r="Z575" s="78" t="s">
        <v>5449</v>
      </c>
      <c r="AA575">
        <f>IF(COUNTIF('Call Queue'!$H$6:$H$20,V575)&gt;0,0,IF(AND(ISNUMBER(N575),N575&gt;0),10000000+N575,IF(ISNUMBER(N575*1),IF(N575*1&gt;0,10000000+N575*1,0),0))+IF(ISNUMBER(SEARCH("(",L575)),1000000+IFERROR(VALUE(SUBSTITUTE(SUBSTITUTE(SUBSTITUTE(MID(L575,SEARCH("(",L575)+1,SEARCH(")",L575)-SEARCH("(",L575)-1),"$",""),",","")," ","")),0),0))</f>
        <v>0</v>
      </c>
    </row>
    <row r="576" spans="1:27">
      <c r="A576" s="76">
        <v>45905</v>
      </c>
      <c r="B576" s="77" t="s">
        <v>2200</v>
      </c>
      <c r="C576" s="77" t="s">
        <v>2201</v>
      </c>
      <c r="D576" s="77" t="s">
        <v>24</v>
      </c>
      <c r="E576" s="77">
        <v>85308</v>
      </c>
      <c r="F576" s="77" t="s">
        <v>310</v>
      </c>
      <c r="G576" s="77" t="s">
        <v>2130</v>
      </c>
      <c r="H576" s="77">
        <v>7298780000</v>
      </c>
      <c r="I576" s="77" t="s">
        <v>36</v>
      </c>
      <c r="J576" s="77" t="s">
        <v>37</v>
      </c>
      <c r="K576" s="77" t="s">
        <v>37</v>
      </c>
      <c r="L576" s="77" t="s">
        <v>38</v>
      </c>
      <c r="M576" s="77" t="s">
        <v>37</v>
      </c>
      <c r="N576" s="77" t="s">
        <v>37</v>
      </c>
      <c r="O576" s="77" t="s">
        <v>38</v>
      </c>
      <c r="P576" s="77" t="s">
        <v>39</v>
      </c>
      <c r="Q576" s="76">
        <v>45966</v>
      </c>
      <c r="R576" s="77"/>
      <c r="S576" s="77"/>
      <c r="T576" s="77"/>
      <c r="U576" s="77"/>
      <c r="V576" s="78"/>
      <c r="W576" s="79"/>
      <c r="X576" s="78"/>
      <c r="Y576" s="78"/>
      <c r="Z576" s="78"/>
      <c r="AA576">
        <f>IF(COUNTIF('Call Queue'!$H$6:$H$20,V576)&gt;0,0,IF(AND(ISNUMBER(N576),N576&gt;0),10000000+N576,IF(ISNUMBER(N576*1),IF(N576*1&gt;0,10000000+N576*1,0),0))+IF(ISNUMBER(SEARCH("(",L576)),1000000+IFERROR(VALUE(SUBSTITUTE(SUBSTITUTE(SUBSTITUTE(MID(L576,SEARCH("(",L576)+1,SEARCH(")",L576)-SEARCH("(",L576)-1),"$",""),",","")," ","")),0),0))</f>
        <v>0</v>
      </c>
    </row>
    <row r="577" spans="1:27">
      <c r="A577" s="76">
        <v>45905</v>
      </c>
      <c r="B577" s="77" t="s">
        <v>2203</v>
      </c>
      <c r="C577" s="77" t="s">
        <v>329</v>
      </c>
      <c r="D577" s="77" t="s">
        <v>174</v>
      </c>
      <c r="E577" s="77">
        <v>85396</v>
      </c>
      <c r="F577" s="77" t="s">
        <v>310</v>
      </c>
      <c r="G577" s="77" t="s">
        <v>2130</v>
      </c>
      <c r="H577" s="77">
        <v>4409132093</v>
      </c>
      <c r="I577" s="77" t="s">
        <v>36</v>
      </c>
      <c r="J577" s="77" t="s">
        <v>37</v>
      </c>
      <c r="K577" s="77" t="s">
        <v>37</v>
      </c>
      <c r="L577" s="77" t="s">
        <v>38</v>
      </c>
      <c r="M577" s="77" t="s">
        <v>37</v>
      </c>
      <c r="N577" s="77" t="s">
        <v>37</v>
      </c>
      <c r="O577" s="77" t="s">
        <v>38</v>
      </c>
      <c r="P577" s="77" t="s">
        <v>39</v>
      </c>
      <c r="Q577" s="76">
        <v>45966</v>
      </c>
      <c r="R577" s="77"/>
      <c r="S577" s="77"/>
      <c r="T577" s="77"/>
      <c r="U577" s="77"/>
      <c r="V577" s="78"/>
      <c r="W577" s="79"/>
      <c r="X577" s="78"/>
      <c r="Y577" s="78"/>
      <c r="Z577" s="78"/>
      <c r="AA577">
        <f>IF(COUNTIF('Call Queue'!$H$6:$H$20,V577)&gt;0,0,IF(AND(ISNUMBER(N577),N577&gt;0),10000000+N577,IF(ISNUMBER(N577*1),IF(N577*1&gt;0,10000000+N577*1,0),0))+IF(ISNUMBER(SEARCH("(",L577)),1000000+IFERROR(VALUE(SUBSTITUTE(SUBSTITUTE(SUBSTITUTE(MID(L577,SEARCH("(",L577)+1,SEARCH(")",L577)-SEARCH("(",L577)-1),"$",""),",","")," ","")),0),0))</f>
        <v>0</v>
      </c>
    </row>
    <row r="578" spans="1:27">
      <c r="A578" s="76">
        <v>45905</v>
      </c>
      <c r="B578" s="77" t="s">
        <v>2205</v>
      </c>
      <c r="C578" s="77" t="s">
        <v>965</v>
      </c>
      <c r="D578" s="77" t="s">
        <v>1693</v>
      </c>
      <c r="E578" s="77">
        <v>85351</v>
      </c>
      <c r="F578" s="77" t="s">
        <v>2206</v>
      </c>
      <c r="G578" s="77" t="s">
        <v>2130</v>
      </c>
      <c r="H578" s="77" t="s">
        <v>2207</v>
      </c>
      <c r="I578" s="77" t="s">
        <v>541</v>
      </c>
      <c r="J578" s="77" t="s">
        <v>37</v>
      </c>
      <c r="K578" s="77" t="s">
        <v>37</v>
      </c>
      <c r="L578" s="77" t="s">
        <v>389</v>
      </c>
      <c r="M578" s="77" t="s">
        <v>37</v>
      </c>
      <c r="N578" s="77" t="s">
        <v>37</v>
      </c>
      <c r="O578" s="77" t="s">
        <v>38</v>
      </c>
      <c r="P578" s="77" t="s">
        <v>39</v>
      </c>
      <c r="Q578" s="76">
        <v>45966</v>
      </c>
      <c r="R578" s="77"/>
      <c r="S578" s="77"/>
      <c r="T578" s="77"/>
      <c r="U578" s="77"/>
      <c r="V578" s="78"/>
      <c r="W578" s="79"/>
      <c r="X578" s="78"/>
      <c r="Y578" s="78"/>
      <c r="Z578" s="78"/>
      <c r="AA578">
        <f>IF(COUNTIF('Call Queue'!$H$6:$H$20,V578)&gt;0,0,IF(AND(ISNUMBER(N578),N578&gt;0),10000000+N578,IF(ISNUMBER(N578*1),IF(N578*1&gt;0,10000000+N578*1,0),0))+IF(ISNUMBER(SEARCH("(",L578)),1000000+IFERROR(VALUE(SUBSTITUTE(SUBSTITUTE(SUBSTITUTE(MID(L578,SEARCH("(",L578)+1,SEARCH(")",L578)-SEARCH("(",L578)-1),"$",""),",","")," ","")),0),0))</f>
        <v>0</v>
      </c>
    </row>
    <row r="579" spans="1:27">
      <c r="A579" s="76">
        <v>45905</v>
      </c>
      <c r="B579" s="77" t="s">
        <v>2208</v>
      </c>
      <c r="C579" s="77" t="s">
        <v>145</v>
      </c>
      <c r="D579" s="77" t="s">
        <v>63</v>
      </c>
      <c r="E579" s="77">
        <v>85014</v>
      </c>
      <c r="F579" s="77" t="s">
        <v>31</v>
      </c>
      <c r="G579" s="77" t="s">
        <v>2130</v>
      </c>
      <c r="H579" s="77">
        <v>4864054917</v>
      </c>
      <c r="I579" s="77" t="s">
        <v>126</v>
      </c>
      <c r="J579" s="77" t="s">
        <v>37</v>
      </c>
      <c r="K579" s="77" t="s">
        <v>37</v>
      </c>
      <c r="L579" s="77" t="s">
        <v>2210</v>
      </c>
      <c r="M579" s="77" t="s">
        <v>37</v>
      </c>
      <c r="N579" s="77" t="s">
        <v>37</v>
      </c>
      <c r="O579" s="77" t="s">
        <v>38</v>
      </c>
      <c r="P579" s="77" t="s">
        <v>39</v>
      </c>
      <c r="Q579" s="76">
        <v>45966</v>
      </c>
      <c r="R579" s="77"/>
      <c r="S579" s="77"/>
      <c r="T579" s="77"/>
      <c r="U579" s="77"/>
      <c r="V579" s="78" t="s">
        <v>5432</v>
      </c>
      <c r="W579" s="79">
        <v>46046</v>
      </c>
      <c r="X579" s="78" t="s">
        <v>38</v>
      </c>
      <c r="Y579" s="78"/>
      <c r="Z579" s="78" t="s">
        <v>5555</v>
      </c>
      <c r="AA579">
        <f>IF(COUNTIF('Call Queue'!$H$6:$H$20,V579)&gt;0,0,IF(AND(ISNUMBER(N579),N579&gt;0),10000000+N579,IF(ISNUMBER(N579*1),IF(N579*1&gt;0,10000000+N579*1,0),0))+IF(ISNUMBER(SEARCH("(",L579)),1000000+IFERROR(VALUE(SUBSTITUTE(SUBSTITUTE(SUBSTITUTE(MID(L579,SEARCH("(",L579)+1,SEARCH(")",L579)-SEARCH("(",L579)-1),"$",""),",","")," ","")),0),0))</f>
        <v>0</v>
      </c>
    </row>
    <row r="580" spans="1:27">
      <c r="A580" s="76">
        <v>45905</v>
      </c>
      <c r="B580" s="77" t="s">
        <v>2211</v>
      </c>
      <c r="C580" s="77" t="s">
        <v>2212</v>
      </c>
      <c r="D580" s="77" t="s">
        <v>202</v>
      </c>
      <c r="E580" s="77">
        <v>85383</v>
      </c>
      <c r="F580" s="77" t="s">
        <v>310</v>
      </c>
      <c r="G580" s="77" t="s">
        <v>2130</v>
      </c>
      <c r="H580" s="77">
        <v>228851000</v>
      </c>
      <c r="I580" s="77" t="s">
        <v>46</v>
      </c>
      <c r="J580" s="77" t="s">
        <v>37</v>
      </c>
      <c r="K580" s="77" t="s">
        <v>37</v>
      </c>
      <c r="L580" s="77" t="s">
        <v>2214</v>
      </c>
      <c r="M580" s="77" t="s">
        <v>37</v>
      </c>
      <c r="N580" s="77" t="s">
        <v>37</v>
      </c>
      <c r="O580" s="77" t="s">
        <v>38</v>
      </c>
      <c r="P580" s="77" t="s">
        <v>39</v>
      </c>
      <c r="Q580" s="76">
        <v>45966</v>
      </c>
      <c r="R580" s="77"/>
      <c r="S580" s="77"/>
      <c r="T580" s="77"/>
      <c r="U580" s="77" t="s">
        <v>2215</v>
      </c>
      <c r="V580" s="78" t="s">
        <v>5432</v>
      </c>
      <c r="W580" s="79">
        <v>46046</v>
      </c>
      <c r="X580" s="78" t="s">
        <v>37</v>
      </c>
      <c r="Y580" s="78" t="s">
        <v>5441</v>
      </c>
      <c r="Z580" s="78" t="s">
        <v>5563</v>
      </c>
      <c r="AA580">
        <f>IF(COUNTIF('Call Queue'!$H$6:$H$20,V580)&gt;0,0,IF(AND(ISNUMBER(N580),N580&gt;0),10000000+N580,IF(ISNUMBER(N580*1),IF(N580*1&gt;0,10000000+N580*1,0),0))+IF(ISNUMBER(SEARCH("(",L580)),1000000+IFERROR(VALUE(SUBSTITUTE(SUBSTITUTE(SUBSTITUTE(MID(L580,SEARCH("(",L580)+1,SEARCH(")",L580)-SEARCH("(",L580)-1),"$",""),",","")," ","")),0),0))</f>
        <v>0</v>
      </c>
    </row>
    <row r="581" spans="1:27">
      <c r="A581" s="76">
        <v>45905</v>
      </c>
      <c r="B581" s="77" t="s">
        <v>2216</v>
      </c>
      <c r="C581" s="77" t="s">
        <v>312</v>
      </c>
      <c r="D581" s="77" t="s">
        <v>63</v>
      </c>
      <c r="E581" s="77">
        <v>85023</v>
      </c>
      <c r="F581" s="77" t="s">
        <v>310</v>
      </c>
      <c r="G581" s="77" t="s">
        <v>2130</v>
      </c>
      <c r="H581" s="77" t="s">
        <v>2217</v>
      </c>
      <c r="I581" s="77" t="s">
        <v>73</v>
      </c>
      <c r="J581" s="77" t="s">
        <v>37</v>
      </c>
      <c r="K581" s="77" t="s">
        <v>37</v>
      </c>
      <c r="L581" s="77" t="s">
        <v>38</v>
      </c>
      <c r="M581" s="77" t="s">
        <v>37</v>
      </c>
      <c r="N581" s="77" t="s">
        <v>37</v>
      </c>
      <c r="O581" s="77" t="s">
        <v>38</v>
      </c>
      <c r="P581" s="77" t="s">
        <v>39</v>
      </c>
      <c r="Q581" s="76">
        <v>45966</v>
      </c>
      <c r="R581" s="77"/>
      <c r="S581" s="77"/>
      <c r="T581" s="77"/>
      <c r="U581" s="77"/>
      <c r="V581" s="78"/>
      <c r="W581" s="79"/>
      <c r="X581" s="78"/>
      <c r="Y581" s="78"/>
      <c r="Z581" s="78"/>
      <c r="AA581">
        <f>IF(COUNTIF('Call Queue'!$H$6:$H$20,V581)&gt;0,0,IF(AND(ISNUMBER(N581),N581&gt;0),10000000+N581,IF(ISNUMBER(N581*1),IF(N581*1&gt;0,10000000+N581*1,0),0))+IF(ISNUMBER(SEARCH("(",L581)),1000000+IFERROR(VALUE(SUBSTITUTE(SUBSTITUTE(SUBSTITUTE(MID(L581,SEARCH("(",L581)+1,SEARCH(")",L581)-SEARCH("(",L581)-1),"$",""),",","")," ","")),0),0))</f>
        <v>0</v>
      </c>
    </row>
    <row r="582" spans="1:27">
      <c r="A582" s="76">
        <v>45905</v>
      </c>
      <c r="B582" s="77" t="s">
        <v>2218</v>
      </c>
      <c r="C582" s="77" t="s">
        <v>2219</v>
      </c>
      <c r="D582" s="77" t="s">
        <v>174</v>
      </c>
      <c r="E582" s="77">
        <v>85396</v>
      </c>
      <c r="F582" s="77" t="s">
        <v>31</v>
      </c>
      <c r="G582" s="77" t="s">
        <v>2130</v>
      </c>
      <c r="H582" s="77">
        <v>20521000</v>
      </c>
      <c r="I582" s="77" t="s">
        <v>418</v>
      </c>
      <c r="J582" s="77" t="s">
        <v>37</v>
      </c>
      <c r="K582" s="77" t="s">
        <v>37</v>
      </c>
      <c r="L582" s="77" t="s">
        <v>389</v>
      </c>
      <c r="M582" s="77" t="s">
        <v>37</v>
      </c>
      <c r="N582" s="77" t="s">
        <v>37</v>
      </c>
      <c r="O582" s="77" t="s">
        <v>38</v>
      </c>
      <c r="P582" s="77" t="s">
        <v>39</v>
      </c>
      <c r="Q582" s="76">
        <v>45966</v>
      </c>
      <c r="R582" s="77"/>
      <c r="S582" s="77"/>
      <c r="T582" s="77"/>
      <c r="U582" s="77"/>
      <c r="V582" s="78"/>
      <c r="W582" s="79"/>
      <c r="X582" s="78"/>
      <c r="Y582" s="78"/>
      <c r="Z582" s="78"/>
      <c r="AA582">
        <f>IF(COUNTIF('Call Queue'!$H$6:$H$20,V582)&gt;0,0,IF(AND(ISNUMBER(N582),N582&gt;0),10000000+N582,IF(ISNUMBER(N582*1),IF(N582*1&gt;0,10000000+N582*1,0),0))+IF(ISNUMBER(SEARCH("(",L582)),1000000+IFERROR(VALUE(SUBSTITUTE(SUBSTITUTE(SUBSTITUTE(MID(L582,SEARCH("(",L582)+1,SEARCH(")",L582)-SEARCH("(",L582)-1),"$",""),",","")," ","")),0),0))</f>
        <v>0</v>
      </c>
    </row>
    <row r="583" spans="1:27">
      <c r="A583" s="76">
        <v>45905</v>
      </c>
      <c r="B583" s="77" t="s">
        <v>2222</v>
      </c>
      <c r="C583" s="77" t="s">
        <v>392</v>
      </c>
      <c r="D583" s="77" t="s">
        <v>169</v>
      </c>
      <c r="E583" s="77">
        <v>85448</v>
      </c>
      <c r="F583" s="77" t="s">
        <v>1777</v>
      </c>
      <c r="G583" s="77" t="s">
        <v>2130</v>
      </c>
      <c r="H583" s="77">
        <v>7447867552</v>
      </c>
      <c r="I583" s="77" t="s">
        <v>418</v>
      </c>
      <c r="J583" s="77" t="s">
        <v>37</v>
      </c>
      <c r="K583" s="77" t="s">
        <v>37</v>
      </c>
      <c r="L583" s="77" t="s">
        <v>389</v>
      </c>
      <c r="M583" s="77" t="s">
        <v>37</v>
      </c>
      <c r="N583" s="77" t="s">
        <v>37</v>
      </c>
      <c r="O583" s="77" t="s">
        <v>38</v>
      </c>
      <c r="P583" s="77" t="s">
        <v>39</v>
      </c>
      <c r="Q583" s="76">
        <v>45966</v>
      </c>
      <c r="R583" s="77"/>
      <c r="S583" s="77"/>
      <c r="T583" s="77"/>
      <c r="U583" s="77"/>
      <c r="V583" s="78"/>
      <c r="W583" s="79"/>
      <c r="X583" s="78"/>
      <c r="Y583" s="78"/>
      <c r="Z583" s="78"/>
      <c r="AA583">
        <f>IF(COUNTIF('Call Queue'!$H$6:$H$20,V583)&gt;0,0,IF(AND(ISNUMBER(N583),N583&gt;0),10000000+N583,IF(ISNUMBER(N583*1),IF(N583*1&gt;0,10000000+N583*1,0),0))+IF(ISNUMBER(SEARCH("(",L583)),1000000+IFERROR(VALUE(SUBSTITUTE(SUBSTITUTE(SUBSTITUTE(MID(L583,SEARCH("(",L583)+1,SEARCH(")",L583)-SEARCH("(",L583)-1),"$",""),",","")," ","")),0),0))</f>
        <v>0</v>
      </c>
    </row>
    <row r="584" spans="1:27">
      <c r="A584" s="76">
        <v>45905</v>
      </c>
      <c r="B584" s="77" t="s">
        <v>2224</v>
      </c>
      <c r="C584" s="77" t="s">
        <v>956</v>
      </c>
      <c r="D584" s="77" t="s">
        <v>112</v>
      </c>
      <c r="E584" s="77">
        <v>85387</v>
      </c>
      <c r="F584" s="77" t="s">
        <v>310</v>
      </c>
      <c r="G584" s="77" t="s">
        <v>2130</v>
      </c>
      <c r="H584" s="77">
        <v>356005964</v>
      </c>
      <c r="I584" s="77" t="s">
        <v>196</v>
      </c>
      <c r="J584" s="77" t="s">
        <v>37</v>
      </c>
      <c r="K584" s="77" t="s">
        <v>37</v>
      </c>
      <c r="L584" s="77" t="s">
        <v>2226</v>
      </c>
      <c r="M584" s="77" t="s">
        <v>1586</v>
      </c>
      <c r="N584" s="77">
        <v>1278.31</v>
      </c>
      <c r="O584" s="77" t="s">
        <v>38</v>
      </c>
      <c r="P584" s="77">
        <v>45936</v>
      </c>
      <c r="Q584" s="76">
        <v>45966</v>
      </c>
      <c r="R584" s="77" t="s">
        <v>5426</v>
      </c>
      <c r="S584" s="77"/>
      <c r="T584" s="77"/>
      <c r="U584" s="77"/>
      <c r="V584" s="78" t="s">
        <v>5432</v>
      </c>
      <c r="W584" s="79">
        <v>46046</v>
      </c>
      <c r="X584" s="78" t="s">
        <v>37</v>
      </c>
      <c r="Y584" s="78" t="s">
        <v>5442</v>
      </c>
      <c r="Z584" s="78" t="s">
        <v>5564</v>
      </c>
      <c r="AA584">
        <f>IF(COUNTIF('Call Queue'!$H$6:$H$20,V584)&gt;0,0,IF(AND(ISNUMBER(N584),N584&gt;0),10000000+N584,IF(ISNUMBER(N584*1),IF(N584*1&gt;0,10000000+N584*1,0),0))+IF(ISNUMBER(SEARCH("(",L584)),1000000+IFERROR(VALUE(SUBSTITUTE(SUBSTITUTE(SUBSTITUTE(MID(L584,SEARCH("(",L584)+1,SEARCH(")",L584)-SEARCH("(",L584)-1),"$",""),",","")," ","")),0),0))</f>
        <v>0</v>
      </c>
    </row>
    <row r="585" spans="1:27">
      <c r="A585" s="76">
        <v>45905</v>
      </c>
      <c r="B585" s="77" t="s">
        <v>2228</v>
      </c>
      <c r="C585" s="77" t="s">
        <v>395</v>
      </c>
      <c r="D585" s="77" t="s">
        <v>2229</v>
      </c>
      <c r="E585" s="77">
        <v>85321</v>
      </c>
      <c r="F585" s="77" t="s">
        <v>310</v>
      </c>
      <c r="G585" s="77" t="s">
        <v>2130</v>
      </c>
      <c r="H585" s="77">
        <v>7898944772</v>
      </c>
      <c r="I585" s="77" t="s">
        <v>46</v>
      </c>
      <c r="J585" s="77" t="s">
        <v>37</v>
      </c>
      <c r="K585" s="77" t="s">
        <v>37</v>
      </c>
      <c r="L585" s="77" t="s">
        <v>38</v>
      </c>
      <c r="M585" s="77" t="s">
        <v>37</v>
      </c>
      <c r="N585" s="77" t="s">
        <v>37</v>
      </c>
      <c r="O585" s="77" t="s">
        <v>38</v>
      </c>
      <c r="P585" s="77" t="s">
        <v>39</v>
      </c>
      <c r="Q585" s="76">
        <v>45966</v>
      </c>
      <c r="R585" s="77"/>
      <c r="S585" s="77"/>
      <c r="T585" s="77"/>
      <c r="U585" s="77"/>
      <c r="V585" s="78"/>
      <c r="W585" s="79"/>
      <c r="X585" s="78"/>
      <c r="Y585" s="78"/>
      <c r="Z585" s="78"/>
      <c r="AA585">
        <f>IF(COUNTIF('Call Queue'!$H$6:$H$20,V585)&gt;0,0,IF(AND(ISNUMBER(N585),N585&gt;0),10000000+N585,IF(ISNUMBER(N585*1),IF(N585*1&gt;0,10000000+N585*1,0),0))+IF(ISNUMBER(SEARCH("(",L585)),1000000+IFERROR(VALUE(SUBSTITUTE(SUBSTITUTE(SUBSTITUTE(MID(L585,SEARCH("(",L585)+1,SEARCH(")",L585)-SEARCH("(",L585)-1),"$",""),",","")," ","")),0),0))</f>
        <v>0</v>
      </c>
    </row>
    <row r="586" spans="1:27">
      <c r="A586" s="76">
        <v>45905</v>
      </c>
      <c r="B586" s="77" t="s">
        <v>1134</v>
      </c>
      <c r="C586" s="77" t="s">
        <v>2231</v>
      </c>
      <c r="D586" s="77" t="s">
        <v>169</v>
      </c>
      <c r="E586" s="77">
        <v>85338</v>
      </c>
      <c r="F586" s="77" t="s">
        <v>310</v>
      </c>
      <c r="G586" s="77" t="s">
        <v>2130</v>
      </c>
      <c r="H586" s="77" t="s">
        <v>209</v>
      </c>
      <c r="I586" s="77"/>
      <c r="J586" s="77"/>
      <c r="K586" s="77"/>
      <c r="L586" s="77"/>
      <c r="M586" s="77"/>
      <c r="N586" s="77"/>
      <c r="O586" s="77"/>
      <c r="P586" s="77"/>
      <c r="Q586" s="76"/>
      <c r="R586" s="77"/>
      <c r="S586" s="77"/>
      <c r="T586" s="77"/>
      <c r="U586" s="77"/>
      <c r="V586" s="78"/>
      <c r="W586" s="79"/>
      <c r="X586" s="78"/>
      <c r="Y586" s="78"/>
      <c r="Z586" s="78"/>
      <c r="AA586">
        <f>IF(COUNTIF('Call Queue'!$H$6:$H$20,V586)&gt;0,0,IF(AND(ISNUMBER(N586),N586&gt;0),10000000+N586,IF(ISNUMBER(N586*1),IF(N586*1&gt;0,10000000+N586*1,0),0))+IF(ISNUMBER(SEARCH("(",L586)),1000000+IFERROR(VALUE(SUBSTITUTE(SUBSTITUTE(SUBSTITUTE(MID(L586,SEARCH("(",L586)+1,SEARCH(")",L586)-SEARCH("(",L586)-1),"$",""),",","")," ","")),0),0))</f>
        <v>0</v>
      </c>
    </row>
    <row r="587" spans="1:27">
      <c r="A587" s="76">
        <v>45905</v>
      </c>
      <c r="B587" s="77" t="s">
        <v>2232</v>
      </c>
      <c r="C587" s="77" t="s">
        <v>376</v>
      </c>
      <c r="D587" s="77" t="s">
        <v>169</v>
      </c>
      <c r="E587" s="77">
        <v>85338</v>
      </c>
      <c r="F587" s="77" t="s">
        <v>2233</v>
      </c>
      <c r="G587" s="77" t="s">
        <v>2130</v>
      </c>
      <c r="H587" s="77">
        <v>849482490</v>
      </c>
      <c r="I587" s="77" t="s">
        <v>46</v>
      </c>
      <c r="J587" s="77" t="s">
        <v>37</v>
      </c>
      <c r="K587" s="77" t="s">
        <v>37</v>
      </c>
      <c r="L587" s="77" t="s">
        <v>38</v>
      </c>
      <c r="M587" s="77" t="s">
        <v>37</v>
      </c>
      <c r="N587" s="77" t="s">
        <v>37</v>
      </c>
      <c r="O587" s="77" t="s">
        <v>38</v>
      </c>
      <c r="P587" s="77" t="s">
        <v>39</v>
      </c>
      <c r="Q587" s="76">
        <v>45966</v>
      </c>
      <c r="R587" s="77"/>
      <c r="S587" s="77"/>
      <c r="T587" s="77"/>
      <c r="U587" s="77"/>
      <c r="V587" s="78"/>
      <c r="W587" s="79"/>
      <c r="X587" s="78"/>
      <c r="Y587" s="78"/>
      <c r="Z587" s="78"/>
      <c r="AA587">
        <f>IF(COUNTIF('Call Queue'!$H$6:$H$20,V587)&gt;0,0,IF(AND(ISNUMBER(N587),N587&gt;0),10000000+N587,IF(ISNUMBER(N587*1),IF(N587*1&gt;0,10000000+N587*1,0),0))+IF(ISNUMBER(SEARCH("(",L587)),1000000+IFERROR(VALUE(SUBSTITUTE(SUBSTITUTE(SUBSTITUTE(MID(L587,SEARCH("(",L587)+1,SEARCH(")",L587)-SEARCH("(",L587)-1),"$",""),",","")," ","")),0),0))</f>
        <v>0</v>
      </c>
    </row>
    <row r="588" spans="1:27">
      <c r="A588" s="76">
        <v>45905</v>
      </c>
      <c r="B588" s="77" t="s">
        <v>2235</v>
      </c>
      <c r="C588" s="77" t="s">
        <v>2236</v>
      </c>
      <c r="D588" s="77" t="s">
        <v>63</v>
      </c>
      <c r="E588" s="77">
        <v>85006</v>
      </c>
      <c r="F588" s="77" t="s">
        <v>31</v>
      </c>
      <c r="G588" s="77" t="s">
        <v>2130</v>
      </c>
      <c r="H588" s="77">
        <v>7370951000</v>
      </c>
      <c r="I588" s="77" t="s">
        <v>57</v>
      </c>
      <c r="J588" s="77" t="s">
        <v>37</v>
      </c>
      <c r="K588" s="77" t="s">
        <v>37</v>
      </c>
      <c r="L588" s="77" t="s">
        <v>2238</v>
      </c>
      <c r="M588" s="77" t="s">
        <v>37</v>
      </c>
      <c r="N588" s="77" t="s">
        <v>37</v>
      </c>
      <c r="O588" s="77" t="s">
        <v>38</v>
      </c>
      <c r="P588" s="77">
        <v>45937</v>
      </c>
      <c r="Q588" s="76">
        <v>45966</v>
      </c>
      <c r="R588" s="77" t="s">
        <v>2239</v>
      </c>
      <c r="S588" s="77"/>
      <c r="T588" s="77"/>
      <c r="U588" s="77"/>
      <c r="V588" s="78" t="s">
        <v>5432</v>
      </c>
      <c r="W588" s="79">
        <v>46060</v>
      </c>
      <c r="X588" s="78" t="s">
        <v>37</v>
      </c>
      <c r="Y588" s="78"/>
      <c r="Z588" s="78" t="s">
        <v>5565</v>
      </c>
      <c r="AA588">
        <f>IF(COUNTIF('Call Queue'!$H$6:$H$20,V588)&gt;0,0,IF(AND(ISNUMBER(N588),N588&gt;0),10000000+N588,IF(ISNUMBER(N588*1),IF(N588*1&gt;0,10000000+N588*1,0),0))+IF(ISNUMBER(SEARCH("(",L588)),1000000+IFERROR(VALUE(SUBSTITUTE(SUBSTITUTE(SUBSTITUTE(MID(L588,SEARCH("(",L588)+1,SEARCH(")",L588)-SEARCH("(",L588)-1),"$",""),",","")," ","")),0),0))</f>
        <v>0</v>
      </c>
    </row>
    <row r="589" spans="1:27">
      <c r="A589" s="76">
        <v>45905</v>
      </c>
      <c r="B589" s="77" t="s">
        <v>2240</v>
      </c>
      <c r="C589" s="77" t="s">
        <v>911</v>
      </c>
      <c r="D589" s="77" t="s">
        <v>125</v>
      </c>
      <c r="E589" s="77">
        <v>85258</v>
      </c>
      <c r="F589" s="77" t="s">
        <v>310</v>
      </c>
      <c r="G589" s="77" t="s">
        <v>2130</v>
      </c>
      <c r="H589" s="77">
        <v>4650100233</v>
      </c>
      <c r="I589" s="77" t="s">
        <v>541</v>
      </c>
      <c r="J589" s="77" t="s">
        <v>37</v>
      </c>
      <c r="K589" s="77" t="s">
        <v>37</v>
      </c>
      <c r="L589" s="77" t="s">
        <v>389</v>
      </c>
      <c r="M589" s="77" t="s">
        <v>37</v>
      </c>
      <c r="N589" s="77" t="s">
        <v>37</v>
      </c>
      <c r="O589" s="77" t="s">
        <v>38</v>
      </c>
      <c r="P589" s="77" t="s">
        <v>39</v>
      </c>
      <c r="Q589" s="76">
        <v>45966</v>
      </c>
      <c r="R589" s="77"/>
      <c r="S589" s="77"/>
      <c r="T589" s="77"/>
      <c r="U589" s="77"/>
      <c r="V589" s="78"/>
      <c r="W589" s="79"/>
      <c r="X589" s="78"/>
      <c r="Y589" s="78"/>
      <c r="Z589" s="78"/>
      <c r="AA589">
        <f>IF(COUNTIF('Call Queue'!$H$6:$H$20,V589)&gt;0,0,IF(AND(ISNUMBER(N589),N589&gt;0),10000000+N589,IF(ISNUMBER(N589*1),IF(N589*1&gt;0,10000000+N589*1,0),0))+IF(ISNUMBER(SEARCH("(",L589)),1000000+IFERROR(VALUE(SUBSTITUTE(SUBSTITUTE(SUBSTITUTE(MID(L589,SEARCH("(",L589)+1,SEARCH(")",L589)-SEARCH("(",L589)-1),"$",""),",","")," ","")),0),0))</f>
        <v>0</v>
      </c>
    </row>
    <row r="590" spans="1:27">
      <c r="A590" s="76">
        <v>45905</v>
      </c>
      <c r="B590" s="77" t="s">
        <v>2242</v>
      </c>
      <c r="C590" s="77" t="s">
        <v>2034</v>
      </c>
      <c r="D590" s="77" t="s">
        <v>125</v>
      </c>
      <c r="E590" s="77">
        <v>85258</v>
      </c>
      <c r="F590" s="77" t="s">
        <v>31</v>
      </c>
      <c r="G590" s="77" t="s">
        <v>2130</v>
      </c>
      <c r="H590" s="77">
        <v>2090761111</v>
      </c>
      <c r="I590" s="77" t="s">
        <v>36</v>
      </c>
      <c r="J590" s="77" t="s">
        <v>37</v>
      </c>
      <c r="K590" s="77" t="s">
        <v>37</v>
      </c>
      <c r="L590" s="77" t="s">
        <v>38</v>
      </c>
      <c r="M590" s="77" t="s">
        <v>37</v>
      </c>
      <c r="N590" s="77" t="s">
        <v>37</v>
      </c>
      <c r="O590" s="77" t="s">
        <v>38</v>
      </c>
      <c r="P590" s="77" t="s">
        <v>39</v>
      </c>
      <c r="Q590" s="76">
        <v>45966</v>
      </c>
      <c r="R590" s="77"/>
      <c r="S590" s="77"/>
      <c r="T590" s="77"/>
      <c r="U590" s="77"/>
      <c r="V590" s="78"/>
      <c r="W590" s="79"/>
      <c r="X590" s="78"/>
      <c r="Y590" s="78"/>
      <c r="Z590" s="78"/>
      <c r="AA590">
        <f>IF(COUNTIF('Call Queue'!$H$6:$H$20,V590)&gt;0,0,IF(AND(ISNUMBER(N590),N590&gt;0),10000000+N590,IF(ISNUMBER(N590*1),IF(N590*1&gt;0,10000000+N590*1,0),0))+IF(ISNUMBER(SEARCH("(",L590)),1000000+IFERROR(VALUE(SUBSTITUTE(SUBSTITUTE(SUBSTITUTE(MID(L590,SEARCH("(",L590)+1,SEARCH(")",L590)-SEARCH("(",L590)-1),"$",""),",","")," ","")),0),0))</f>
        <v>0</v>
      </c>
    </row>
    <row r="591" spans="1:27">
      <c r="A591" s="76">
        <v>45905</v>
      </c>
      <c r="B591" s="77" t="s">
        <v>2244</v>
      </c>
      <c r="C591" s="77" t="s">
        <v>965</v>
      </c>
      <c r="D591" s="77" t="s">
        <v>63</v>
      </c>
      <c r="E591" s="77">
        <v>85085</v>
      </c>
      <c r="F591" s="77" t="s">
        <v>2245</v>
      </c>
      <c r="G591" s="77" t="s">
        <v>2130</v>
      </c>
      <c r="H591" s="77">
        <v>7675631000</v>
      </c>
      <c r="I591" s="77" t="s">
        <v>36</v>
      </c>
      <c r="J591" s="77" t="s">
        <v>37</v>
      </c>
      <c r="K591" s="77" t="s">
        <v>37</v>
      </c>
      <c r="L591" s="77" t="s">
        <v>38</v>
      </c>
      <c r="M591" s="77" t="s">
        <v>37</v>
      </c>
      <c r="N591" s="77" t="s">
        <v>37</v>
      </c>
      <c r="O591" s="77" t="s">
        <v>38</v>
      </c>
      <c r="P591" s="77" t="s">
        <v>39</v>
      </c>
      <c r="Q591" s="76">
        <v>45966</v>
      </c>
      <c r="R591" s="77"/>
      <c r="S591" s="77"/>
      <c r="T591" s="77"/>
      <c r="U591" s="77"/>
      <c r="V591" s="78"/>
      <c r="W591" s="79"/>
      <c r="X591" s="78"/>
      <c r="Y591" s="78"/>
      <c r="Z591" s="78"/>
      <c r="AA591">
        <f>IF(COUNTIF('Call Queue'!$H$6:$H$20,V591)&gt;0,0,IF(AND(ISNUMBER(N591),N591&gt;0),10000000+N591,IF(ISNUMBER(N591*1),IF(N591*1&gt;0,10000000+N591*1,0),0))+IF(ISNUMBER(SEARCH("(",L591)),1000000+IFERROR(VALUE(SUBSTITUTE(SUBSTITUTE(SUBSTITUTE(MID(L591,SEARCH("(",L591)+1,SEARCH(")",L591)-SEARCH("(",L591)-1),"$",""),",","")," ","")),0),0))</f>
        <v>0</v>
      </c>
    </row>
    <row r="592" spans="1:27">
      <c r="A592" s="76">
        <v>45905</v>
      </c>
      <c r="B592" s="77" t="s">
        <v>686</v>
      </c>
      <c r="C592" s="77" t="s">
        <v>443</v>
      </c>
      <c r="D592" s="77" t="s">
        <v>63</v>
      </c>
      <c r="E592" s="77">
        <v>85014</v>
      </c>
      <c r="F592" s="77" t="s">
        <v>310</v>
      </c>
      <c r="G592" s="77" t="s">
        <v>2130</v>
      </c>
      <c r="H592" s="77">
        <v>9779470098</v>
      </c>
      <c r="I592" s="77" t="s">
        <v>73</v>
      </c>
      <c r="J592" s="77" t="s">
        <v>37</v>
      </c>
      <c r="K592" s="77" t="s">
        <v>37</v>
      </c>
      <c r="L592" s="77" t="s">
        <v>38</v>
      </c>
      <c r="M592" s="77" t="s">
        <v>37</v>
      </c>
      <c r="N592" s="77" t="s">
        <v>37</v>
      </c>
      <c r="O592" s="77" t="s">
        <v>38</v>
      </c>
      <c r="P592" s="77" t="s">
        <v>39</v>
      </c>
      <c r="Q592" s="76">
        <v>45966</v>
      </c>
      <c r="R592" s="77"/>
      <c r="S592" s="77"/>
      <c r="T592" s="77"/>
      <c r="U592" s="77"/>
      <c r="V592" s="78"/>
      <c r="W592" s="79"/>
      <c r="X592" s="78"/>
      <c r="Y592" s="78"/>
      <c r="Z592" s="78"/>
      <c r="AA592">
        <f>IF(COUNTIF('Call Queue'!$H$6:$H$20,V592)&gt;0,0,IF(AND(ISNUMBER(N592),N592&gt;0),10000000+N592,IF(ISNUMBER(N592*1),IF(N592*1&gt;0,10000000+N592*1,0),0))+IF(ISNUMBER(SEARCH("(",L592)),1000000+IFERROR(VALUE(SUBSTITUTE(SUBSTITUTE(SUBSTITUTE(MID(L592,SEARCH("(",L592)+1,SEARCH(")",L592)-SEARCH("(",L592)-1),"$",""),",","")," ","")),0),0))</f>
        <v>0</v>
      </c>
    </row>
    <row r="593" spans="1:27">
      <c r="A593" s="76">
        <v>45905</v>
      </c>
      <c r="B593" s="77" t="s">
        <v>2248</v>
      </c>
      <c r="C593" s="77" t="s">
        <v>225</v>
      </c>
      <c r="D593" s="77" t="s">
        <v>63</v>
      </c>
      <c r="E593" s="77">
        <v>85016</v>
      </c>
      <c r="F593" s="77" t="s">
        <v>310</v>
      </c>
      <c r="G593" s="77" t="s">
        <v>2130</v>
      </c>
      <c r="H593" s="77">
        <v>6229785331</v>
      </c>
      <c r="I593" s="77" t="s">
        <v>126</v>
      </c>
      <c r="J593" s="77" t="s">
        <v>37</v>
      </c>
      <c r="K593" s="77" t="s">
        <v>37</v>
      </c>
      <c r="L593" s="77" t="s">
        <v>38</v>
      </c>
      <c r="M593" s="77" t="s">
        <v>37</v>
      </c>
      <c r="N593" s="77" t="s">
        <v>37</v>
      </c>
      <c r="O593" s="77" t="s">
        <v>38</v>
      </c>
      <c r="P593" s="77" t="s">
        <v>39</v>
      </c>
      <c r="Q593" s="76">
        <v>45966</v>
      </c>
      <c r="R593" s="77"/>
      <c r="S593" s="77"/>
      <c r="T593" s="77"/>
      <c r="U593" s="77"/>
      <c r="V593" s="78"/>
      <c r="W593" s="79"/>
      <c r="X593" s="78"/>
      <c r="Y593" s="78"/>
      <c r="Z593" s="78"/>
      <c r="AA593">
        <f>IF(COUNTIF('Call Queue'!$H$6:$H$20,V593)&gt;0,0,IF(AND(ISNUMBER(N593),N593&gt;0),10000000+N593,IF(ISNUMBER(N593*1),IF(N593*1&gt;0,10000000+N593*1,0),0))+IF(ISNUMBER(SEARCH("(",L593)),1000000+IFERROR(VALUE(SUBSTITUTE(SUBSTITUTE(SUBSTITUTE(MID(L593,SEARCH("(",L593)+1,SEARCH(")",L593)-SEARCH("(",L593)-1),"$",""),",","")," ","")),0),0))</f>
        <v>0</v>
      </c>
    </row>
    <row r="594" spans="1:27">
      <c r="A594" s="76">
        <v>45905</v>
      </c>
      <c r="B594" s="77" t="s">
        <v>2250</v>
      </c>
      <c r="C594" s="77" t="s">
        <v>2019</v>
      </c>
      <c r="D594" s="77" t="s">
        <v>125</v>
      </c>
      <c r="E594" s="77">
        <v>85254</v>
      </c>
      <c r="F594" s="77" t="s">
        <v>2251</v>
      </c>
      <c r="G594" s="77" t="s">
        <v>2130</v>
      </c>
      <c r="H594" s="77">
        <v>1794260000</v>
      </c>
      <c r="I594" s="77" t="s">
        <v>243</v>
      </c>
      <c r="J594" s="77" t="s">
        <v>37</v>
      </c>
      <c r="K594" s="77" t="s">
        <v>37</v>
      </c>
      <c r="L594" s="77" t="s">
        <v>389</v>
      </c>
      <c r="M594" s="77" t="s">
        <v>37</v>
      </c>
      <c r="N594" s="77" t="s">
        <v>37</v>
      </c>
      <c r="O594" s="77" t="s">
        <v>38</v>
      </c>
      <c r="P594" s="77" t="s">
        <v>39</v>
      </c>
      <c r="Q594" s="76">
        <v>45966</v>
      </c>
      <c r="R594" s="77"/>
      <c r="S594" s="77"/>
      <c r="T594" s="77"/>
      <c r="U594" s="77"/>
      <c r="V594" s="78"/>
      <c r="W594" s="79"/>
      <c r="X594" s="78"/>
      <c r="Y594" s="78"/>
      <c r="Z594" s="78"/>
      <c r="AA594">
        <f>IF(COUNTIF('Call Queue'!$H$6:$H$20,V594)&gt;0,0,IF(AND(ISNUMBER(N594),N594&gt;0),10000000+N594,IF(ISNUMBER(N594*1),IF(N594*1&gt;0,10000000+N594*1,0),0))+IF(ISNUMBER(SEARCH("(",L594)),1000000+IFERROR(VALUE(SUBSTITUTE(SUBSTITUTE(SUBSTITUTE(MID(L594,SEARCH("(",L594)+1,SEARCH(")",L594)-SEARCH("(",L594)-1),"$",""),",","")," ","")),0),0))</f>
        <v>0</v>
      </c>
    </row>
    <row r="595" spans="1:27">
      <c r="A595" s="76">
        <v>45905</v>
      </c>
      <c r="B595" s="77" t="s">
        <v>2258</v>
      </c>
      <c r="C595" s="77" t="s">
        <v>658</v>
      </c>
      <c r="D595" s="77" t="s">
        <v>63</v>
      </c>
      <c r="E595" s="77">
        <v>85083</v>
      </c>
      <c r="F595" s="77" t="s">
        <v>31</v>
      </c>
      <c r="G595" s="77" t="s">
        <v>2130</v>
      </c>
      <c r="H595" s="77">
        <v>7776290000</v>
      </c>
      <c r="I595" s="77" t="s">
        <v>36</v>
      </c>
      <c r="J595" s="77" t="s">
        <v>37</v>
      </c>
      <c r="K595" s="77" t="s">
        <v>37</v>
      </c>
      <c r="L595" s="77" t="s">
        <v>38</v>
      </c>
      <c r="M595" s="77" t="s">
        <v>37</v>
      </c>
      <c r="N595" s="77" t="s">
        <v>37</v>
      </c>
      <c r="O595" s="77" t="s">
        <v>38</v>
      </c>
      <c r="P595" s="77" t="s">
        <v>39</v>
      </c>
      <c r="Q595" s="76">
        <v>45966</v>
      </c>
      <c r="R595" s="77"/>
      <c r="S595" s="77"/>
      <c r="T595" s="77"/>
      <c r="U595" s="77"/>
      <c r="V595" s="78"/>
      <c r="W595" s="79"/>
      <c r="X595" s="78"/>
      <c r="Y595" s="78"/>
      <c r="Z595" s="78"/>
      <c r="AA595">
        <f>IF(COUNTIF('Call Queue'!$H$6:$H$20,V595)&gt;0,0,IF(AND(ISNUMBER(N595),N595&gt;0),10000000+N595,IF(ISNUMBER(N595*1),IF(N595*1&gt;0,10000000+N595*1,0),0))+IF(ISNUMBER(SEARCH("(",L595)),1000000+IFERROR(VALUE(SUBSTITUTE(SUBSTITUTE(SUBSTITUTE(MID(L595,SEARCH("(",L595)+1,SEARCH(")",L595)-SEARCH("(",L595)-1),"$",""),",","")," ","")),0),0))</f>
        <v>0</v>
      </c>
    </row>
    <row r="596" spans="1:27">
      <c r="A596" s="76">
        <v>45905</v>
      </c>
      <c r="B596" s="77" t="s">
        <v>2260</v>
      </c>
      <c r="C596" s="77" t="s">
        <v>2261</v>
      </c>
      <c r="D596" s="77" t="s">
        <v>370</v>
      </c>
      <c r="E596" s="77">
        <v>85225</v>
      </c>
      <c r="F596" s="77" t="s">
        <v>310</v>
      </c>
      <c r="G596" s="77" t="s">
        <v>2130</v>
      </c>
      <c r="H596" s="77" t="s">
        <v>2262</v>
      </c>
      <c r="I596" s="77" t="s">
        <v>418</v>
      </c>
      <c r="J596" s="77" t="s">
        <v>37</v>
      </c>
      <c r="K596" s="77" t="s">
        <v>37</v>
      </c>
      <c r="L596" s="77" t="s">
        <v>389</v>
      </c>
      <c r="M596" s="77" t="s">
        <v>37</v>
      </c>
      <c r="N596" s="77" t="s">
        <v>37</v>
      </c>
      <c r="O596" s="77" t="s">
        <v>38</v>
      </c>
      <c r="P596" s="77" t="s">
        <v>39</v>
      </c>
      <c r="Q596" s="76">
        <v>45966</v>
      </c>
      <c r="R596" s="77"/>
      <c r="S596" s="77"/>
      <c r="T596" s="77"/>
      <c r="U596" s="77"/>
      <c r="V596" s="78"/>
      <c r="W596" s="79"/>
      <c r="X596" s="78"/>
      <c r="Y596" s="78"/>
      <c r="Z596" s="78"/>
      <c r="AA596">
        <f>IF(COUNTIF('Call Queue'!$H$6:$H$20,V596)&gt;0,0,IF(AND(ISNUMBER(N596),N596&gt;0),10000000+N596,IF(ISNUMBER(N596*1),IF(N596*1&gt;0,10000000+N596*1,0),0))+IF(ISNUMBER(SEARCH("(",L596)),1000000+IFERROR(VALUE(SUBSTITUTE(SUBSTITUTE(SUBSTITUTE(MID(L596,SEARCH("(",L596)+1,SEARCH(")",L596)-SEARCH("(",L596)-1),"$",""),",","")," ","")),0),0))</f>
        <v>0</v>
      </c>
    </row>
    <row r="597" spans="1:27">
      <c r="A597" s="76">
        <v>45905</v>
      </c>
      <c r="B597" s="77" t="s">
        <v>2263</v>
      </c>
      <c r="C597" s="77" t="s">
        <v>2264</v>
      </c>
      <c r="D597" s="77" t="s">
        <v>2265</v>
      </c>
      <c r="E597" s="77">
        <v>85603</v>
      </c>
      <c r="F597" s="77" t="s">
        <v>31</v>
      </c>
      <c r="G597" s="77" t="s">
        <v>2130</v>
      </c>
      <c r="H597" s="77">
        <v>6833563852</v>
      </c>
      <c r="I597" s="77" t="s">
        <v>36</v>
      </c>
      <c r="J597" s="77" t="s">
        <v>37</v>
      </c>
      <c r="K597" s="77" t="s">
        <v>37</v>
      </c>
      <c r="L597" s="77" t="s">
        <v>38</v>
      </c>
      <c r="M597" s="77" t="s">
        <v>37</v>
      </c>
      <c r="N597" s="77" t="s">
        <v>37</v>
      </c>
      <c r="O597" s="77" t="s">
        <v>38</v>
      </c>
      <c r="P597" s="77" t="s">
        <v>39</v>
      </c>
      <c r="Q597" s="76">
        <v>45966</v>
      </c>
      <c r="R597" s="77"/>
      <c r="S597" s="77"/>
      <c r="T597" s="77"/>
      <c r="U597" s="77"/>
      <c r="V597" s="78"/>
      <c r="W597" s="79"/>
      <c r="X597" s="78"/>
      <c r="Y597" s="78"/>
      <c r="Z597" s="78"/>
      <c r="AA597">
        <f>IF(COUNTIF('Call Queue'!$H$6:$H$20,V597)&gt;0,0,IF(AND(ISNUMBER(N597),N597&gt;0),10000000+N597,IF(ISNUMBER(N597*1),IF(N597*1&gt;0,10000000+N597*1,0),0))+IF(ISNUMBER(SEARCH("(",L597)),1000000+IFERROR(VALUE(SUBSTITUTE(SUBSTITUTE(SUBSTITUTE(MID(L597,SEARCH("(",L597)+1,SEARCH(")",L597)-SEARCH("(",L597)-1),"$",""),",","")," ","")),0),0))</f>
        <v>0</v>
      </c>
    </row>
    <row r="598" spans="1:27">
      <c r="A598" s="76">
        <v>45905</v>
      </c>
      <c r="B598" s="77" t="s">
        <v>2269</v>
      </c>
      <c r="C598" s="77" t="s">
        <v>1815</v>
      </c>
      <c r="D598" s="77" t="s">
        <v>125</v>
      </c>
      <c r="E598" s="77">
        <v>85260</v>
      </c>
      <c r="F598" s="77" t="s">
        <v>310</v>
      </c>
      <c r="G598" s="77" t="s">
        <v>2130</v>
      </c>
      <c r="H598" s="77">
        <v>5604121000</v>
      </c>
      <c r="I598" s="77" t="s">
        <v>57</v>
      </c>
      <c r="J598" s="77" t="s">
        <v>37</v>
      </c>
      <c r="K598" s="77" t="s">
        <v>37</v>
      </c>
      <c r="L598" s="77" t="s">
        <v>2271</v>
      </c>
      <c r="M598" s="77" t="s">
        <v>37</v>
      </c>
      <c r="N598" s="77" t="s">
        <v>37</v>
      </c>
      <c r="O598" s="77" t="s">
        <v>38</v>
      </c>
      <c r="P598" s="77">
        <v>45937</v>
      </c>
      <c r="Q598" s="76">
        <v>45966</v>
      </c>
      <c r="R598" s="77" t="s">
        <v>2272</v>
      </c>
      <c r="S598" s="77"/>
      <c r="T598" s="77"/>
      <c r="U598" s="77"/>
      <c r="V598" s="78" t="s">
        <v>5432</v>
      </c>
      <c r="W598" s="79">
        <v>46046</v>
      </c>
      <c r="X598" s="78" t="s">
        <v>38</v>
      </c>
      <c r="Y598" s="78"/>
      <c r="Z598" s="78" t="s">
        <v>5555</v>
      </c>
      <c r="AA598">
        <f>IF(COUNTIF('Call Queue'!$H$6:$H$20,V598)&gt;0,0,IF(AND(ISNUMBER(N598),N598&gt;0),10000000+N598,IF(ISNUMBER(N598*1),IF(N598*1&gt;0,10000000+N598*1,0),0))+IF(ISNUMBER(SEARCH("(",L598)),1000000+IFERROR(VALUE(SUBSTITUTE(SUBSTITUTE(SUBSTITUTE(MID(L598,SEARCH("(",L598)+1,SEARCH(")",L598)-SEARCH("(",L598)-1),"$",""),",","")," ","")),0),0))</f>
        <v>0</v>
      </c>
    </row>
    <row r="599" spans="1:27">
      <c r="A599" s="76">
        <v>45905</v>
      </c>
      <c r="B599" s="77" t="s">
        <v>841</v>
      </c>
      <c r="C599" s="77" t="s">
        <v>2273</v>
      </c>
      <c r="D599" s="77" t="s">
        <v>112</v>
      </c>
      <c r="E599" s="77">
        <v>85388</v>
      </c>
      <c r="F599" s="77" t="s">
        <v>2274</v>
      </c>
      <c r="G599" s="77" t="s">
        <v>2130</v>
      </c>
      <c r="H599" s="77" t="s">
        <v>2275</v>
      </c>
      <c r="I599" s="77" t="s">
        <v>36</v>
      </c>
      <c r="J599" s="77" t="s">
        <v>37</v>
      </c>
      <c r="K599" s="77" t="s">
        <v>37</v>
      </c>
      <c r="L599" s="77" t="s">
        <v>38</v>
      </c>
      <c r="M599" s="77" t="s">
        <v>37</v>
      </c>
      <c r="N599" s="77" t="s">
        <v>37</v>
      </c>
      <c r="O599" s="77" t="s">
        <v>38</v>
      </c>
      <c r="P599" s="77" t="s">
        <v>39</v>
      </c>
      <c r="Q599" s="76">
        <v>45966</v>
      </c>
      <c r="R599" s="77"/>
      <c r="S599" s="77"/>
      <c r="T599" s="77"/>
      <c r="U599" s="77"/>
      <c r="V599" s="78"/>
      <c r="W599" s="79"/>
      <c r="X599" s="78"/>
      <c r="Y599" s="78"/>
      <c r="Z599" s="78"/>
      <c r="AA599">
        <f>IF(COUNTIF('Call Queue'!$H$6:$H$20,V599)&gt;0,0,IF(AND(ISNUMBER(N599),N599&gt;0),10000000+N599,IF(ISNUMBER(N599*1),IF(N599*1&gt;0,10000000+N599*1,0),0))+IF(ISNUMBER(SEARCH("(",L599)),1000000+IFERROR(VALUE(SUBSTITUTE(SUBSTITUTE(SUBSTITUTE(MID(L599,SEARCH("(",L599)+1,SEARCH(")",L599)-SEARCH("(",L599)-1),"$",""),",","")," ","")),0),0))</f>
        <v>0</v>
      </c>
    </row>
    <row r="600" spans="1:27">
      <c r="A600" s="76">
        <v>45905</v>
      </c>
      <c r="B600" s="77" t="s">
        <v>2276</v>
      </c>
      <c r="C600" s="77" t="s">
        <v>1824</v>
      </c>
      <c r="D600" s="77" t="s">
        <v>24</v>
      </c>
      <c r="E600" s="77">
        <v>85308</v>
      </c>
      <c r="F600" s="77" t="s">
        <v>31</v>
      </c>
      <c r="G600" s="77" t="s">
        <v>2130</v>
      </c>
      <c r="H600" s="77">
        <v>7671960000</v>
      </c>
      <c r="I600" s="77" t="s">
        <v>196</v>
      </c>
      <c r="J600" s="77" t="s">
        <v>37</v>
      </c>
      <c r="K600" s="77" t="s">
        <v>37</v>
      </c>
      <c r="L600" s="77" t="s">
        <v>38</v>
      </c>
      <c r="M600" s="77" t="s">
        <v>37</v>
      </c>
      <c r="N600" s="77" t="s">
        <v>37</v>
      </c>
      <c r="O600" s="77" t="s">
        <v>38</v>
      </c>
      <c r="P600" s="77" t="s">
        <v>39</v>
      </c>
      <c r="Q600" s="76">
        <v>45966</v>
      </c>
      <c r="R600" s="77"/>
      <c r="S600" s="77"/>
      <c r="T600" s="77"/>
      <c r="U600" s="77"/>
      <c r="V600" s="78"/>
      <c r="W600" s="79"/>
      <c r="X600" s="78"/>
      <c r="Y600" s="78"/>
      <c r="Z600" s="78"/>
      <c r="AA600">
        <f>IF(COUNTIF('Call Queue'!$H$6:$H$20,V600)&gt;0,0,IF(AND(ISNUMBER(N600),N600&gt;0),10000000+N600,IF(ISNUMBER(N600*1),IF(N600*1&gt;0,10000000+N600*1,0),0))+IF(ISNUMBER(SEARCH("(",L600)),1000000+IFERROR(VALUE(SUBSTITUTE(SUBSTITUTE(SUBSTITUTE(MID(L600,SEARCH("(",L600)+1,SEARCH(")",L600)-SEARCH("(",L600)-1),"$",""),",","")," ","")),0),0))</f>
        <v>0</v>
      </c>
    </row>
    <row r="601" spans="1:27">
      <c r="A601" s="76">
        <v>45905</v>
      </c>
      <c r="B601" s="77" t="s">
        <v>2087</v>
      </c>
      <c r="C601" s="77" t="s">
        <v>215</v>
      </c>
      <c r="D601" s="77" t="s">
        <v>63</v>
      </c>
      <c r="E601" s="77">
        <v>85028</v>
      </c>
      <c r="F601" s="77" t="s">
        <v>310</v>
      </c>
      <c r="G601" s="77" t="s">
        <v>2130</v>
      </c>
      <c r="H601" s="77" t="s">
        <v>2278</v>
      </c>
      <c r="I601" s="77" t="s">
        <v>46</v>
      </c>
      <c r="J601" s="77" t="s">
        <v>37</v>
      </c>
      <c r="K601" s="77" t="s">
        <v>37</v>
      </c>
      <c r="L601" s="77" t="s">
        <v>2279</v>
      </c>
      <c r="M601" s="77" t="s">
        <v>37</v>
      </c>
      <c r="N601" s="77" t="s">
        <v>37</v>
      </c>
      <c r="O601" s="77" t="s">
        <v>38</v>
      </c>
      <c r="P601" s="77">
        <v>45937</v>
      </c>
      <c r="Q601" s="76">
        <v>45966</v>
      </c>
      <c r="R601" s="77" t="s">
        <v>2280</v>
      </c>
      <c r="S601" s="77"/>
      <c r="T601" s="77"/>
      <c r="U601" s="77"/>
      <c r="V601" s="78" t="s">
        <v>5432</v>
      </c>
      <c r="W601" s="79">
        <v>46046</v>
      </c>
      <c r="X601" s="78" t="s">
        <v>38</v>
      </c>
      <c r="Y601" s="78" t="s">
        <v>5438</v>
      </c>
      <c r="Z601" s="78"/>
      <c r="AA601">
        <f>IF(COUNTIF('Call Queue'!$H$6:$H$20,V601)&gt;0,0,IF(AND(ISNUMBER(N601),N601&gt;0),10000000+N601,IF(ISNUMBER(N601*1),IF(N601*1&gt;0,10000000+N601*1,0),0))+IF(ISNUMBER(SEARCH("(",L601)),1000000+IFERROR(VALUE(SUBSTITUTE(SUBSTITUTE(SUBSTITUTE(MID(L601,SEARCH("(",L601)+1,SEARCH(")",L601)-SEARCH("(",L601)-1),"$",""),",","")," ","")),0),0))</f>
        <v>0</v>
      </c>
    </row>
    <row r="602" spans="1:27">
      <c r="A602" s="76">
        <v>45905</v>
      </c>
      <c r="B602" s="77" t="s">
        <v>636</v>
      </c>
      <c r="C602" s="77" t="s">
        <v>225</v>
      </c>
      <c r="D602" s="77" t="s">
        <v>63</v>
      </c>
      <c r="E602" s="77">
        <v>85050</v>
      </c>
      <c r="F602" s="77" t="s">
        <v>310</v>
      </c>
      <c r="G602" s="77" t="s">
        <v>2130</v>
      </c>
      <c r="H602" s="77">
        <v>3846098682</v>
      </c>
      <c r="I602" s="77" t="s">
        <v>36</v>
      </c>
      <c r="J602" s="77" t="s">
        <v>37</v>
      </c>
      <c r="K602" s="77" t="s">
        <v>37</v>
      </c>
      <c r="L602" s="77" t="s">
        <v>38</v>
      </c>
      <c r="M602" s="77" t="s">
        <v>37</v>
      </c>
      <c r="N602" s="77" t="s">
        <v>37</v>
      </c>
      <c r="O602" s="77" t="s">
        <v>38</v>
      </c>
      <c r="P602" s="77" t="s">
        <v>39</v>
      </c>
      <c r="Q602" s="76">
        <v>45966</v>
      </c>
      <c r="R602" s="77"/>
      <c r="S602" s="77"/>
      <c r="T602" s="77"/>
      <c r="U602" s="77"/>
      <c r="V602" s="78"/>
      <c r="W602" s="79"/>
      <c r="X602" s="78"/>
      <c r="Y602" s="78"/>
      <c r="Z602" s="78"/>
      <c r="AA602">
        <f>IF(COUNTIF('Call Queue'!$H$6:$H$20,V602)&gt;0,0,IF(AND(ISNUMBER(N602),N602&gt;0),10000000+N602,IF(ISNUMBER(N602*1),IF(N602*1&gt;0,10000000+N602*1,0),0))+IF(ISNUMBER(SEARCH("(",L602)),1000000+IFERROR(VALUE(SUBSTITUTE(SUBSTITUTE(SUBSTITUTE(MID(L602,SEARCH("(",L602)+1,SEARCH(")",L602)-SEARCH("(",L602)-1),"$",""),",","")," ","")),0),0))</f>
        <v>0</v>
      </c>
    </row>
    <row r="603" spans="1:27">
      <c r="A603" s="76">
        <v>45905</v>
      </c>
      <c r="B603" s="77" t="s">
        <v>2282</v>
      </c>
      <c r="C603" s="77" t="s">
        <v>131</v>
      </c>
      <c r="D603" s="77" t="s">
        <v>125</v>
      </c>
      <c r="E603" s="77">
        <v>85254</v>
      </c>
      <c r="F603" s="77" t="s">
        <v>310</v>
      </c>
      <c r="G603" s="77" t="s">
        <v>2130</v>
      </c>
      <c r="H603" s="77" t="s">
        <v>2283</v>
      </c>
      <c r="I603" s="77" t="s">
        <v>126</v>
      </c>
      <c r="J603" s="77" t="s">
        <v>37</v>
      </c>
      <c r="K603" s="77" t="s">
        <v>37</v>
      </c>
      <c r="L603" s="77" t="s">
        <v>2284</v>
      </c>
      <c r="M603" s="77" t="s">
        <v>37</v>
      </c>
      <c r="N603" s="77" t="s">
        <v>37</v>
      </c>
      <c r="O603" s="77" t="s">
        <v>38</v>
      </c>
      <c r="P603" s="77" t="s">
        <v>39</v>
      </c>
      <c r="Q603" s="76">
        <v>45966</v>
      </c>
      <c r="R603" s="77" t="s">
        <v>280</v>
      </c>
      <c r="S603" s="77"/>
      <c r="T603" s="77"/>
      <c r="U603" s="77"/>
      <c r="V603" s="78" t="s">
        <v>5432</v>
      </c>
      <c r="W603" s="79">
        <v>46046</v>
      </c>
      <c r="X603" s="78" t="s">
        <v>38</v>
      </c>
      <c r="Y603" s="78"/>
      <c r="Z603" s="78"/>
      <c r="AA603">
        <f>IF(COUNTIF('Call Queue'!$H$6:$H$20,V603)&gt;0,0,IF(AND(ISNUMBER(N603),N603&gt;0),10000000+N603,IF(ISNUMBER(N603*1),IF(N603*1&gt;0,10000000+N603*1,0),0))+IF(ISNUMBER(SEARCH("(",L603)),1000000+IFERROR(VALUE(SUBSTITUTE(SUBSTITUTE(SUBSTITUTE(MID(L603,SEARCH("(",L603)+1,SEARCH(")",L603)-SEARCH("(",L603)-1),"$",""),",","")," ","")),0),0))</f>
        <v>0</v>
      </c>
    </row>
    <row r="604" spans="1:27">
      <c r="A604" s="76">
        <v>45905</v>
      </c>
      <c r="B604" s="77" t="s">
        <v>2290</v>
      </c>
      <c r="C604" s="77" t="s">
        <v>548</v>
      </c>
      <c r="D604" s="77" t="s">
        <v>63</v>
      </c>
      <c r="E604" s="77">
        <v>85024</v>
      </c>
      <c r="F604" s="77" t="s">
        <v>31</v>
      </c>
      <c r="G604" s="77" t="s">
        <v>2130</v>
      </c>
      <c r="H604" s="77" t="s">
        <v>209</v>
      </c>
      <c r="I604" s="77"/>
      <c r="J604" s="77"/>
      <c r="K604" s="77"/>
      <c r="L604" s="77"/>
      <c r="M604" s="77"/>
      <c r="N604" s="77"/>
      <c r="O604" s="77"/>
      <c r="P604" s="77"/>
      <c r="Q604" s="76"/>
      <c r="R604" s="77"/>
      <c r="S604" s="77"/>
      <c r="T604" s="77"/>
      <c r="U604" s="77"/>
      <c r="V604" s="78"/>
      <c r="W604" s="79"/>
      <c r="X604" s="78"/>
      <c r="Y604" s="78"/>
      <c r="Z604" s="78"/>
      <c r="AA604">
        <f>IF(COUNTIF('Call Queue'!$H$6:$H$20,V604)&gt;0,0,IF(AND(ISNUMBER(N604),N604&gt;0),10000000+N604,IF(ISNUMBER(N604*1),IF(N604*1&gt;0,10000000+N604*1,0),0))+IF(ISNUMBER(SEARCH("(",L604)),1000000+IFERROR(VALUE(SUBSTITUTE(SUBSTITUTE(SUBSTITUTE(MID(L604,SEARCH("(",L604)+1,SEARCH(")",L604)-SEARCH("(",L604)-1),"$",""),",","")," ","")),0),0))</f>
        <v>0</v>
      </c>
    </row>
    <row r="605" spans="1:27">
      <c r="A605" s="76">
        <v>45905</v>
      </c>
      <c r="B605" s="77" t="s">
        <v>1828</v>
      </c>
      <c r="C605" s="77" t="s">
        <v>124</v>
      </c>
      <c r="D605" s="77" t="s">
        <v>504</v>
      </c>
      <c r="E605" s="77">
        <v>86001</v>
      </c>
      <c r="F605" s="77" t="s">
        <v>2291</v>
      </c>
      <c r="G605" s="77" t="s">
        <v>2130</v>
      </c>
      <c r="H605" s="77">
        <v>5983450000</v>
      </c>
      <c r="I605" s="77" t="s">
        <v>126</v>
      </c>
      <c r="J605" s="77" t="s">
        <v>37</v>
      </c>
      <c r="K605" s="77" t="s">
        <v>37</v>
      </c>
      <c r="L605" s="77" t="s">
        <v>2293</v>
      </c>
      <c r="M605" s="77" t="s">
        <v>37</v>
      </c>
      <c r="N605" s="77" t="s">
        <v>37</v>
      </c>
      <c r="O605" s="77" t="s">
        <v>38</v>
      </c>
      <c r="P605" s="77">
        <v>45937</v>
      </c>
      <c r="Q605" s="76">
        <v>45966</v>
      </c>
      <c r="R605" s="77" t="s">
        <v>2280</v>
      </c>
      <c r="S605" s="77"/>
      <c r="T605" s="77"/>
      <c r="U605" s="77"/>
      <c r="V605" s="78" t="s">
        <v>5432</v>
      </c>
      <c r="W605" s="79">
        <v>46060</v>
      </c>
      <c r="X605" s="78" t="s">
        <v>38</v>
      </c>
      <c r="Y605" s="78"/>
      <c r="Z605" s="78" t="s">
        <v>5467</v>
      </c>
      <c r="AA605">
        <f>IF(COUNTIF('Call Queue'!$H$6:$H$20,V605)&gt;0,0,IF(AND(ISNUMBER(N605),N605&gt;0),10000000+N605,IF(ISNUMBER(N605*1),IF(N605*1&gt;0,10000000+N605*1,0),0))+IF(ISNUMBER(SEARCH("(",L605)),1000000+IFERROR(VALUE(SUBSTITUTE(SUBSTITUTE(SUBSTITUTE(MID(L605,SEARCH("(",L605)+1,SEARCH(")",L605)-SEARCH("(",L605)-1),"$",""),",","")," ","")),0),0))</f>
        <v>0</v>
      </c>
    </row>
    <row r="606" spans="1:27">
      <c r="A606" s="76">
        <v>45905</v>
      </c>
      <c r="B606" s="77" t="s">
        <v>2294</v>
      </c>
      <c r="C606" s="77" t="s">
        <v>382</v>
      </c>
      <c r="D606" s="77" t="s">
        <v>240</v>
      </c>
      <c r="E606" s="77">
        <v>85340</v>
      </c>
      <c r="F606" s="77" t="s">
        <v>1990</v>
      </c>
      <c r="G606" s="77" t="s">
        <v>2130</v>
      </c>
      <c r="H606" s="77">
        <v>6393740000</v>
      </c>
      <c r="I606" s="77" t="s">
        <v>36</v>
      </c>
      <c r="J606" s="77" t="s">
        <v>37</v>
      </c>
      <c r="K606" s="77" t="s">
        <v>37</v>
      </c>
      <c r="L606" s="77" t="s">
        <v>38</v>
      </c>
      <c r="M606" s="77" t="s">
        <v>37</v>
      </c>
      <c r="N606" s="77" t="s">
        <v>37</v>
      </c>
      <c r="O606" s="77" t="s">
        <v>38</v>
      </c>
      <c r="P606" s="77" t="s">
        <v>39</v>
      </c>
      <c r="Q606" s="76">
        <v>45966</v>
      </c>
      <c r="R606" s="77"/>
      <c r="S606" s="77"/>
      <c r="T606" s="77"/>
      <c r="U606" s="77"/>
      <c r="V606" s="78"/>
      <c r="W606" s="79"/>
      <c r="X606" s="78"/>
      <c r="Y606" s="78"/>
      <c r="Z606" s="78"/>
      <c r="AA606">
        <f>IF(COUNTIF('Call Queue'!$H$6:$H$20,V606)&gt;0,0,IF(AND(ISNUMBER(N606),N606&gt;0),10000000+N606,IF(ISNUMBER(N606*1),IF(N606*1&gt;0,10000000+N606*1,0),0))+IF(ISNUMBER(SEARCH("(",L606)),1000000+IFERROR(VALUE(SUBSTITUTE(SUBSTITUTE(SUBSTITUTE(MID(L606,SEARCH("(",L606)+1,SEARCH(")",L606)-SEARCH("(",L606)-1),"$",""),",","")," ","")),0),0))</f>
        <v>0</v>
      </c>
    </row>
    <row r="607" spans="1:27">
      <c r="A607" s="76">
        <v>45905</v>
      </c>
      <c r="B607" s="77" t="s">
        <v>219</v>
      </c>
      <c r="C607" s="77" t="s">
        <v>220</v>
      </c>
      <c r="D607" s="77" t="s">
        <v>63</v>
      </c>
      <c r="E607" s="77">
        <v>85032</v>
      </c>
      <c r="F607" s="77" t="s">
        <v>31</v>
      </c>
      <c r="G607" s="77" t="s">
        <v>2130</v>
      </c>
      <c r="H607" s="77">
        <v>1164092226</v>
      </c>
      <c r="I607" s="77" t="s">
        <v>126</v>
      </c>
      <c r="J607" s="77" t="s">
        <v>37</v>
      </c>
      <c r="K607" s="77" t="s">
        <v>37</v>
      </c>
      <c r="L607" s="77" t="s">
        <v>38</v>
      </c>
      <c r="M607" s="77" t="s">
        <v>37</v>
      </c>
      <c r="N607" s="77" t="s">
        <v>37</v>
      </c>
      <c r="O607" s="77" t="s">
        <v>38</v>
      </c>
      <c r="P607" s="77" t="s">
        <v>39</v>
      </c>
      <c r="Q607" s="76">
        <v>45966</v>
      </c>
      <c r="R607" s="77"/>
      <c r="S607" s="77"/>
      <c r="T607" s="77"/>
      <c r="U607" s="77" t="s">
        <v>2215</v>
      </c>
      <c r="V607" s="78"/>
      <c r="W607" s="79"/>
      <c r="X607" s="78"/>
      <c r="Y607" s="78"/>
      <c r="Z607" s="78"/>
      <c r="AA607">
        <f>IF(COUNTIF('Call Queue'!$H$6:$H$20,V607)&gt;0,0,IF(AND(ISNUMBER(N607),N607&gt;0),10000000+N607,IF(ISNUMBER(N607*1),IF(N607*1&gt;0,10000000+N607*1,0),0))+IF(ISNUMBER(SEARCH("(",L607)),1000000+IFERROR(VALUE(SUBSTITUTE(SUBSTITUTE(SUBSTITUTE(MID(L607,SEARCH("(",L607)+1,SEARCH(")",L607)-SEARCH("(",L607)-1),"$",""),",","")," ","")),0),0))</f>
        <v>0</v>
      </c>
    </row>
    <row r="608" spans="1:27">
      <c r="A608" s="76">
        <v>45905</v>
      </c>
      <c r="B608" s="77" t="s">
        <v>2301</v>
      </c>
      <c r="C608" s="77" t="s">
        <v>2302</v>
      </c>
      <c r="D608" s="77" t="s">
        <v>63</v>
      </c>
      <c r="E608" s="77">
        <v>85028</v>
      </c>
      <c r="F608" s="77" t="s">
        <v>310</v>
      </c>
      <c r="G608" s="77" t="s">
        <v>2130</v>
      </c>
      <c r="H608" s="77">
        <v>2356371197</v>
      </c>
      <c r="I608" s="77" t="s">
        <v>36</v>
      </c>
      <c r="J608" s="77" t="s">
        <v>37</v>
      </c>
      <c r="K608" s="77" t="s">
        <v>37</v>
      </c>
      <c r="L608" s="77" t="s">
        <v>38</v>
      </c>
      <c r="M608" s="77" t="s">
        <v>37</v>
      </c>
      <c r="N608" s="77" t="s">
        <v>37</v>
      </c>
      <c r="O608" s="77" t="s">
        <v>38</v>
      </c>
      <c r="P608" s="77" t="s">
        <v>39</v>
      </c>
      <c r="Q608" s="76">
        <v>45966</v>
      </c>
      <c r="R608" s="77"/>
      <c r="S608" s="77"/>
      <c r="T608" s="77"/>
      <c r="U608" s="77"/>
      <c r="V608" s="78"/>
      <c r="W608" s="79"/>
      <c r="X608" s="78"/>
      <c r="Y608" s="78"/>
      <c r="Z608" s="78"/>
      <c r="AA608">
        <f>IF(COUNTIF('Call Queue'!$H$6:$H$20,V608)&gt;0,0,IF(AND(ISNUMBER(N608),N608&gt;0),10000000+N608,IF(ISNUMBER(N608*1),IF(N608*1&gt;0,10000000+N608*1,0),0))+IF(ISNUMBER(SEARCH("(",L608)),1000000+IFERROR(VALUE(SUBSTITUTE(SUBSTITUTE(SUBSTITUTE(MID(L608,SEARCH("(",L608)+1,SEARCH(")",L608)-SEARCH("(",L608)-1),"$",""),",","")," ","")),0),0))</f>
        <v>0</v>
      </c>
    </row>
    <row r="609" spans="1:27">
      <c r="A609" s="76">
        <v>45905</v>
      </c>
      <c r="B609" s="77" t="s">
        <v>2304</v>
      </c>
      <c r="C609" s="77" t="s">
        <v>481</v>
      </c>
      <c r="D609" s="77" t="s">
        <v>112</v>
      </c>
      <c r="E609" s="77">
        <v>85374</v>
      </c>
      <c r="F609" s="77" t="s">
        <v>2305</v>
      </c>
      <c r="G609" s="77" t="s">
        <v>2130</v>
      </c>
      <c r="H609" s="77">
        <v>510900360</v>
      </c>
      <c r="I609" s="77" t="s">
        <v>36</v>
      </c>
      <c r="J609" s="77" t="s">
        <v>37</v>
      </c>
      <c r="K609" s="77" t="s">
        <v>37</v>
      </c>
      <c r="L609" s="77" t="s">
        <v>38</v>
      </c>
      <c r="M609" s="77" t="s">
        <v>37</v>
      </c>
      <c r="N609" s="77" t="s">
        <v>37</v>
      </c>
      <c r="O609" s="77" t="s">
        <v>38</v>
      </c>
      <c r="P609" s="77" t="s">
        <v>39</v>
      </c>
      <c r="Q609" s="76">
        <v>45966</v>
      </c>
      <c r="R609" s="77"/>
      <c r="S609" s="77"/>
      <c r="T609" s="77"/>
      <c r="U609" s="77"/>
      <c r="V609" s="78" t="s">
        <v>117</v>
      </c>
      <c r="W609" s="79">
        <v>45997</v>
      </c>
      <c r="X609" s="78" t="s">
        <v>37</v>
      </c>
      <c r="Y609" s="78"/>
      <c r="Z609" s="78" t="s">
        <v>5450</v>
      </c>
      <c r="AA609">
        <f>IF(COUNTIF('Call Queue'!$H$6:$H$20,V609)&gt;0,0,IF(AND(ISNUMBER(N609),N609&gt;0),10000000+N609,IF(ISNUMBER(N609*1),IF(N609*1&gt;0,10000000+N609*1,0),0))+IF(ISNUMBER(SEARCH("(",L609)),1000000+IFERROR(VALUE(SUBSTITUTE(SUBSTITUTE(SUBSTITUTE(MID(L609,SEARCH("(",L609)+1,SEARCH(")",L609)-SEARCH("(",L609)-1),"$",""),",","")," ","")),0),0))</f>
        <v>0</v>
      </c>
    </row>
    <row r="610" spans="1:27">
      <c r="A610" s="76">
        <v>45905</v>
      </c>
      <c r="B610" s="77" t="s">
        <v>2307</v>
      </c>
      <c r="C610" s="77" t="s">
        <v>2308</v>
      </c>
      <c r="D610" s="77" t="s">
        <v>63</v>
      </c>
      <c r="E610" s="77">
        <v>85029</v>
      </c>
      <c r="F610" s="77" t="s">
        <v>310</v>
      </c>
      <c r="G610" s="77" t="s">
        <v>2130</v>
      </c>
      <c r="H610" s="77">
        <v>6346280696</v>
      </c>
      <c r="I610" s="77" t="s">
        <v>418</v>
      </c>
      <c r="J610" s="77" t="s">
        <v>37</v>
      </c>
      <c r="K610" s="77" t="s">
        <v>37</v>
      </c>
      <c r="L610" s="77" t="s">
        <v>389</v>
      </c>
      <c r="M610" s="77" t="s">
        <v>37</v>
      </c>
      <c r="N610" s="77" t="s">
        <v>37</v>
      </c>
      <c r="O610" s="77" t="s">
        <v>38</v>
      </c>
      <c r="P610" s="77" t="s">
        <v>39</v>
      </c>
      <c r="Q610" s="76">
        <v>45966</v>
      </c>
      <c r="R610" s="77"/>
      <c r="S610" s="77"/>
      <c r="T610" s="77"/>
      <c r="U610" s="77"/>
      <c r="V610" s="78"/>
      <c r="W610" s="79"/>
      <c r="X610" s="78"/>
      <c r="Y610" s="78"/>
      <c r="Z610" s="78"/>
      <c r="AA610">
        <f>IF(COUNTIF('Call Queue'!$H$6:$H$20,V610)&gt;0,0,IF(AND(ISNUMBER(N610),N610&gt;0),10000000+N610,IF(ISNUMBER(N610*1),IF(N610*1&gt;0,10000000+N610*1,0),0))+IF(ISNUMBER(SEARCH("(",L610)),1000000+IFERROR(VALUE(SUBSTITUTE(SUBSTITUTE(SUBSTITUTE(MID(L610,SEARCH("(",L610)+1,SEARCH(")",L610)-SEARCH("(",L610)-1),"$",""),",","")," ","")),0),0))</f>
        <v>0</v>
      </c>
    </row>
    <row r="611" spans="1:27">
      <c r="A611" s="76">
        <v>45905</v>
      </c>
      <c r="B611" s="77" t="s">
        <v>2313</v>
      </c>
      <c r="C611" s="77" t="s">
        <v>194</v>
      </c>
      <c r="D611" s="77" t="s">
        <v>63</v>
      </c>
      <c r="E611" s="77">
        <v>85013</v>
      </c>
      <c r="F611" s="77" t="s">
        <v>310</v>
      </c>
      <c r="G611" s="77" t="s">
        <v>2130</v>
      </c>
      <c r="H611" s="77">
        <v>6276745354</v>
      </c>
      <c r="I611" s="77" t="s">
        <v>36</v>
      </c>
      <c r="J611" s="77" t="s">
        <v>37</v>
      </c>
      <c r="K611" s="77" t="s">
        <v>37</v>
      </c>
      <c r="L611" s="77" t="s">
        <v>38</v>
      </c>
      <c r="M611" s="77" t="s">
        <v>37</v>
      </c>
      <c r="N611" s="77" t="s">
        <v>37</v>
      </c>
      <c r="O611" s="77" t="s">
        <v>38</v>
      </c>
      <c r="P611" s="77" t="s">
        <v>39</v>
      </c>
      <c r="Q611" s="76">
        <v>45965</v>
      </c>
      <c r="R611" s="77"/>
      <c r="S611" s="77"/>
      <c r="T611" s="77"/>
      <c r="U611" s="77"/>
      <c r="V611" s="78"/>
      <c r="W611" s="79"/>
      <c r="X611" s="78"/>
      <c r="Y611" s="78"/>
      <c r="Z611" s="78"/>
      <c r="AA611">
        <f>IF(COUNTIF('Call Queue'!$H$6:$H$20,V611)&gt;0,0,IF(AND(ISNUMBER(N611),N611&gt;0),10000000+N611,IF(ISNUMBER(N611*1),IF(N611*1&gt;0,10000000+N611*1,0),0))+IF(ISNUMBER(SEARCH("(",L611)),1000000+IFERROR(VALUE(SUBSTITUTE(SUBSTITUTE(SUBSTITUTE(MID(L611,SEARCH("(",L611)+1,SEARCH(")",L611)-SEARCH("(",L611)-1),"$",""),",","")," ","")),0),0))</f>
        <v>0</v>
      </c>
    </row>
    <row r="612" spans="1:27">
      <c r="A612" s="76">
        <v>45905</v>
      </c>
      <c r="B612" s="77" t="s">
        <v>2315</v>
      </c>
      <c r="C612" s="77" t="s">
        <v>2316</v>
      </c>
      <c r="D612" s="77" t="s">
        <v>370</v>
      </c>
      <c r="E612" s="77">
        <v>85225</v>
      </c>
      <c r="F612" s="77" t="s">
        <v>2317</v>
      </c>
      <c r="G612" s="77" t="s">
        <v>2130</v>
      </c>
      <c r="H612" s="77" t="s">
        <v>2318</v>
      </c>
      <c r="I612" s="77" t="s">
        <v>36</v>
      </c>
      <c r="J612" s="77" t="s">
        <v>38</v>
      </c>
      <c r="K612" s="77" t="s">
        <v>37</v>
      </c>
      <c r="L612" s="77" t="s">
        <v>38</v>
      </c>
      <c r="M612" s="77" t="s">
        <v>37</v>
      </c>
      <c r="N612" s="77" t="s">
        <v>37</v>
      </c>
      <c r="O612" s="77" t="s">
        <v>38</v>
      </c>
      <c r="P612" s="77" t="s">
        <v>39</v>
      </c>
      <c r="Q612" s="76">
        <v>45965</v>
      </c>
      <c r="R612" s="77"/>
      <c r="S612" s="77"/>
      <c r="T612" s="77"/>
      <c r="U612" s="77"/>
      <c r="V612" s="78"/>
      <c r="W612" s="79"/>
      <c r="X612" s="78"/>
      <c r="Y612" s="78"/>
      <c r="Z612" s="78"/>
      <c r="AA612">
        <f>IF(COUNTIF('Call Queue'!$H$6:$H$20,V612)&gt;0,0,IF(AND(ISNUMBER(N612),N612&gt;0),10000000+N612,IF(ISNUMBER(N612*1),IF(N612*1&gt;0,10000000+N612*1,0),0))+IF(ISNUMBER(SEARCH("(",L612)),1000000+IFERROR(VALUE(SUBSTITUTE(SUBSTITUTE(SUBSTITUTE(MID(L612,SEARCH("(",L612)+1,SEARCH(")",L612)-SEARCH("(",L612)-1),"$",""),",","")," ","")),0),0))</f>
        <v>0</v>
      </c>
    </row>
    <row r="613" spans="1:27">
      <c r="A613" s="76">
        <v>45905</v>
      </c>
      <c r="B613" s="77" t="s">
        <v>2319</v>
      </c>
      <c r="C613" s="77" t="s">
        <v>2320</v>
      </c>
      <c r="D613" s="77" t="s">
        <v>202</v>
      </c>
      <c r="E613" s="77">
        <v>85383</v>
      </c>
      <c r="F613" s="77" t="s">
        <v>310</v>
      </c>
      <c r="G613" s="77" t="s">
        <v>2130</v>
      </c>
      <c r="H613" s="77" t="s">
        <v>2321</v>
      </c>
      <c r="I613" s="77" t="s">
        <v>36</v>
      </c>
      <c r="J613" s="77" t="s">
        <v>37</v>
      </c>
      <c r="K613" s="77" t="s">
        <v>37</v>
      </c>
      <c r="L613" s="77" t="s">
        <v>38</v>
      </c>
      <c r="M613" s="77" t="s">
        <v>37</v>
      </c>
      <c r="N613" s="77" t="s">
        <v>37</v>
      </c>
      <c r="O613" s="77" t="s">
        <v>38</v>
      </c>
      <c r="P613" s="77" t="s">
        <v>39</v>
      </c>
      <c r="Q613" s="76">
        <v>45965</v>
      </c>
      <c r="R613" s="77"/>
      <c r="S613" s="77"/>
      <c r="T613" s="77"/>
      <c r="U613" s="77"/>
      <c r="V613" s="78"/>
      <c r="W613" s="79"/>
      <c r="X613" s="78"/>
      <c r="Y613" s="78"/>
      <c r="Z613" s="78"/>
      <c r="AA613">
        <f>IF(COUNTIF('Call Queue'!$H$6:$H$20,V613)&gt;0,0,IF(AND(ISNUMBER(N613),N613&gt;0),10000000+N613,IF(ISNUMBER(N613*1),IF(N613*1&gt;0,10000000+N613*1,0),0))+IF(ISNUMBER(SEARCH("(",L613)),1000000+IFERROR(VALUE(SUBSTITUTE(SUBSTITUTE(SUBSTITUTE(MID(L613,SEARCH("(",L613)+1,SEARCH(")",L613)-SEARCH("(",L613)-1),"$",""),",","")," ","")),0),0))</f>
        <v>0</v>
      </c>
    </row>
    <row r="614" spans="1:27">
      <c r="A614" s="76">
        <v>45905</v>
      </c>
      <c r="B614" s="77" t="s">
        <v>2322</v>
      </c>
      <c r="C614" s="77" t="s">
        <v>2184</v>
      </c>
      <c r="D614" s="77" t="s">
        <v>136</v>
      </c>
      <c r="E614" s="77">
        <v>85377</v>
      </c>
      <c r="F614" s="77" t="s">
        <v>2323</v>
      </c>
      <c r="G614" s="77" t="s">
        <v>2130</v>
      </c>
      <c r="H614" s="77">
        <v>3128248912</v>
      </c>
      <c r="I614" s="77" t="s">
        <v>196</v>
      </c>
      <c r="J614" s="77" t="s">
        <v>37</v>
      </c>
      <c r="K614" s="77" t="s">
        <v>37</v>
      </c>
      <c r="L614" s="77" t="s">
        <v>2325</v>
      </c>
      <c r="M614" s="77" t="s">
        <v>37</v>
      </c>
      <c r="N614" s="77" t="s">
        <v>37</v>
      </c>
      <c r="O614" s="77" t="s">
        <v>38</v>
      </c>
      <c r="P614" s="77">
        <v>45937</v>
      </c>
      <c r="Q614" s="76">
        <v>45965</v>
      </c>
      <c r="R614" s="77" t="s">
        <v>2326</v>
      </c>
      <c r="S614" s="77"/>
      <c r="T614" s="77"/>
      <c r="U614" s="77"/>
      <c r="V614" s="78" t="s">
        <v>5432</v>
      </c>
      <c r="W614" s="79">
        <v>46060</v>
      </c>
      <c r="X614" s="78" t="s">
        <v>38</v>
      </c>
      <c r="Y614" s="78"/>
      <c r="Z614" s="78" t="s">
        <v>5467</v>
      </c>
      <c r="AA614">
        <f>IF(COUNTIF('Call Queue'!$H$6:$H$20,V614)&gt;0,0,IF(AND(ISNUMBER(N614),N614&gt;0),10000000+N614,IF(ISNUMBER(N614*1),IF(N614*1&gt;0,10000000+N614*1,0),0))+IF(ISNUMBER(SEARCH("(",L614)),1000000+IFERROR(VALUE(SUBSTITUTE(SUBSTITUTE(SUBSTITUTE(MID(L614,SEARCH("(",L614)+1,SEARCH(")",L614)-SEARCH("(",L614)-1),"$",""),",","")," ","")),0),0))</f>
        <v>0</v>
      </c>
    </row>
    <row r="615" spans="1:27">
      <c r="A615" s="76">
        <v>45905</v>
      </c>
      <c r="B615" s="77" t="s">
        <v>2327</v>
      </c>
      <c r="C615" s="77" t="s">
        <v>2328</v>
      </c>
      <c r="D615" s="77" t="s">
        <v>63</v>
      </c>
      <c r="E615" s="77">
        <v>85006</v>
      </c>
      <c r="F615" s="77" t="s">
        <v>2329</v>
      </c>
      <c r="G615" s="77" t="s">
        <v>2130</v>
      </c>
      <c r="H615" s="77">
        <v>9775140000</v>
      </c>
      <c r="I615" s="77" t="s">
        <v>73</v>
      </c>
      <c r="J615" s="77" t="s">
        <v>37</v>
      </c>
      <c r="K615" s="77" t="s">
        <v>37</v>
      </c>
      <c r="L615" s="77" t="s">
        <v>38</v>
      </c>
      <c r="M615" s="77" t="s">
        <v>37</v>
      </c>
      <c r="N615" s="77" t="s">
        <v>37</v>
      </c>
      <c r="O615" s="77" t="s">
        <v>38</v>
      </c>
      <c r="P615" s="77" t="s">
        <v>39</v>
      </c>
      <c r="Q615" s="76">
        <v>45965</v>
      </c>
      <c r="R615" s="77"/>
      <c r="S615" s="77"/>
      <c r="T615" s="77"/>
      <c r="U615" s="77"/>
      <c r="V615" s="78"/>
      <c r="W615" s="79"/>
      <c r="X615" s="78"/>
      <c r="Y615" s="78"/>
      <c r="Z615" s="78"/>
      <c r="AA615">
        <f>IF(COUNTIF('Call Queue'!$H$6:$H$20,V615)&gt;0,0,IF(AND(ISNUMBER(N615),N615&gt;0),10000000+N615,IF(ISNUMBER(N615*1),IF(N615*1&gt;0,10000000+N615*1,0),0))+IF(ISNUMBER(SEARCH("(",L615)),1000000+IFERROR(VALUE(SUBSTITUTE(SUBSTITUTE(SUBSTITUTE(MID(L615,SEARCH("(",L615)+1,SEARCH(")",L615)-SEARCH("(",L615)-1),"$",""),",","")," ","")),0),0))</f>
        <v>0</v>
      </c>
    </row>
    <row r="616" spans="1:27">
      <c r="A616" s="76">
        <v>45905</v>
      </c>
      <c r="B616" s="77" t="s">
        <v>2331</v>
      </c>
      <c r="C616" s="77" t="s">
        <v>2332</v>
      </c>
      <c r="D616" s="77" t="s">
        <v>635</v>
      </c>
      <c r="E616" s="77">
        <v>85281</v>
      </c>
      <c r="F616" s="77" t="s">
        <v>310</v>
      </c>
      <c r="G616" s="77" t="s">
        <v>2130</v>
      </c>
      <c r="H616" s="77">
        <v>2655378250</v>
      </c>
      <c r="I616" s="77" t="s">
        <v>126</v>
      </c>
      <c r="J616" s="77" t="s">
        <v>37</v>
      </c>
      <c r="K616" s="77" t="s">
        <v>37</v>
      </c>
      <c r="L616" s="77" t="s">
        <v>2334</v>
      </c>
      <c r="M616" s="77" t="s">
        <v>37</v>
      </c>
      <c r="N616" s="77" t="s">
        <v>37</v>
      </c>
      <c r="O616" s="77" t="s">
        <v>38</v>
      </c>
      <c r="P616" s="77" t="s">
        <v>39</v>
      </c>
      <c r="Q616" s="76">
        <v>45965</v>
      </c>
      <c r="R616" s="77"/>
      <c r="S616" s="77"/>
      <c r="T616" s="77"/>
      <c r="U616" s="77"/>
      <c r="V616" s="78" t="s">
        <v>5432</v>
      </c>
      <c r="W616" s="79">
        <v>46046</v>
      </c>
      <c r="X616" s="78" t="s">
        <v>38</v>
      </c>
      <c r="Y616" s="78"/>
      <c r="Z616" s="78"/>
      <c r="AA616">
        <f>IF(COUNTIF('Call Queue'!$H$6:$H$20,V616)&gt;0,0,IF(AND(ISNUMBER(N616),N616&gt;0),10000000+N616,IF(ISNUMBER(N616*1),IF(N616*1&gt;0,10000000+N616*1,0),0))+IF(ISNUMBER(SEARCH("(",L616)),1000000+IFERROR(VALUE(SUBSTITUTE(SUBSTITUTE(SUBSTITUTE(MID(L616,SEARCH("(",L616)+1,SEARCH(")",L616)-SEARCH("(",L616)-1),"$",""),",","")," ","")),0),0))</f>
        <v>0</v>
      </c>
    </row>
    <row r="617" spans="1:27">
      <c r="A617" s="76">
        <v>45905</v>
      </c>
      <c r="B617" s="77" t="s">
        <v>2340</v>
      </c>
      <c r="C617" s="77" t="s">
        <v>2341</v>
      </c>
      <c r="D617" s="77" t="s">
        <v>174</v>
      </c>
      <c r="E617" s="77">
        <v>85326</v>
      </c>
      <c r="F617" s="77" t="s">
        <v>310</v>
      </c>
      <c r="G617" s="77" t="s">
        <v>2130</v>
      </c>
      <c r="H617" s="77">
        <v>1908399537</v>
      </c>
      <c r="I617" s="77" t="s">
        <v>541</v>
      </c>
      <c r="J617" s="77" t="s">
        <v>38</v>
      </c>
      <c r="K617" s="77" t="s">
        <v>37</v>
      </c>
      <c r="L617" s="77" t="s">
        <v>389</v>
      </c>
      <c r="M617" s="77" t="s">
        <v>37</v>
      </c>
      <c r="N617" s="77" t="s">
        <v>37</v>
      </c>
      <c r="O617" s="77" t="s">
        <v>38</v>
      </c>
      <c r="P617" s="77" t="s">
        <v>39</v>
      </c>
      <c r="Q617" s="76">
        <v>45965</v>
      </c>
      <c r="R617" s="77"/>
      <c r="S617" s="77"/>
      <c r="T617" s="77"/>
      <c r="U617" s="77"/>
      <c r="V617" s="78"/>
      <c r="W617" s="79"/>
      <c r="X617" s="78"/>
      <c r="Y617" s="78"/>
      <c r="Z617" s="78"/>
      <c r="AA617">
        <f>IF(COUNTIF('Call Queue'!$H$6:$H$20,V617)&gt;0,0,IF(AND(ISNUMBER(N617),N617&gt;0),10000000+N617,IF(ISNUMBER(N617*1),IF(N617*1&gt;0,10000000+N617*1,0),0))+IF(ISNUMBER(SEARCH("(",L617)),1000000+IFERROR(VALUE(SUBSTITUTE(SUBSTITUTE(SUBSTITUTE(MID(L617,SEARCH("(",L617)+1,SEARCH(")",L617)-SEARCH("(",L617)-1),"$",""),",","")," ","")),0),0))</f>
        <v>0</v>
      </c>
    </row>
    <row r="618" spans="1:27">
      <c r="A618" s="76">
        <v>45905</v>
      </c>
      <c r="B618" s="77" t="s">
        <v>2290</v>
      </c>
      <c r="C618" s="77" t="s">
        <v>2343</v>
      </c>
      <c r="D618" s="77" t="s">
        <v>63</v>
      </c>
      <c r="E618" s="77">
        <v>85024</v>
      </c>
      <c r="F618" s="77" t="s">
        <v>31</v>
      </c>
      <c r="G618" s="77" t="s">
        <v>2130</v>
      </c>
      <c r="H618" s="77">
        <v>7791021977</v>
      </c>
      <c r="I618" s="77" t="s">
        <v>36</v>
      </c>
      <c r="J618" s="77" t="s">
        <v>37</v>
      </c>
      <c r="K618" s="77" t="s">
        <v>37</v>
      </c>
      <c r="L618" s="77" t="s">
        <v>38</v>
      </c>
      <c r="M618" s="77" t="s">
        <v>37</v>
      </c>
      <c r="N618" s="77" t="s">
        <v>37</v>
      </c>
      <c r="O618" s="77" t="s">
        <v>38</v>
      </c>
      <c r="P618" s="77" t="s">
        <v>39</v>
      </c>
      <c r="Q618" s="76">
        <v>45965</v>
      </c>
      <c r="R618" s="77"/>
      <c r="S618" s="77"/>
      <c r="T618" s="77"/>
      <c r="U618" s="77"/>
      <c r="V618" s="78"/>
      <c r="W618" s="79"/>
      <c r="X618" s="78"/>
      <c r="Y618" s="78"/>
      <c r="Z618" s="78"/>
      <c r="AA618">
        <f>IF(COUNTIF('Call Queue'!$H$6:$H$20,V618)&gt;0,0,IF(AND(ISNUMBER(N618),N618&gt;0),10000000+N618,IF(ISNUMBER(N618*1),IF(N618*1&gt;0,10000000+N618*1,0),0))+IF(ISNUMBER(SEARCH("(",L618)),1000000+IFERROR(VALUE(SUBSTITUTE(SUBSTITUTE(SUBSTITUTE(MID(L618,SEARCH("(",L618)+1,SEARCH(")",L618)-SEARCH("(",L618)-1),"$",""),",","")," ","")),0),0))</f>
        <v>0</v>
      </c>
    </row>
    <row r="619" spans="1:27">
      <c r="A619" s="76">
        <v>45905</v>
      </c>
      <c r="B619" s="77" t="s">
        <v>2345</v>
      </c>
      <c r="C619" s="77" t="s">
        <v>75</v>
      </c>
      <c r="D619" s="77" t="s">
        <v>63</v>
      </c>
      <c r="E619" s="77">
        <v>85012</v>
      </c>
      <c r="F619" s="77" t="s">
        <v>310</v>
      </c>
      <c r="G619" s="77" t="s">
        <v>2130</v>
      </c>
      <c r="H619" s="77" t="s">
        <v>2346</v>
      </c>
      <c r="I619" s="77" t="s">
        <v>73</v>
      </c>
      <c r="J619" s="77" t="s">
        <v>37</v>
      </c>
      <c r="K619" s="77" t="s">
        <v>37</v>
      </c>
      <c r="L619" s="77" t="s">
        <v>401</v>
      </c>
      <c r="M619" s="77" t="s">
        <v>37</v>
      </c>
      <c r="N619" s="77" t="s">
        <v>37</v>
      </c>
      <c r="O619" s="77" t="s">
        <v>38</v>
      </c>
      <c r="P619" s="77" t="s">
        <v>39</v>
      </c>
      <c r="Q619" s="76">
        <v>38660</v>
      </c>
      <c r="R619" s="77" t="s">
        <v>2347</v>
      </c>
      <c r="S619" s="77"/>
      <c r="T619" s="77"/>
      <c r="U619" s="77"/>
      <c r="V619" s="78" t="s">
        <v>5432</v>
      </c>
      <c r="W619" s="79">
        <v>46060</v>
      </c>
      <c r="X619" s="78" t="s">
        <v>37</v>
      </c>
      <c r="Y619" s="78" t="s">
        <v>5442</v>
      </c>
      <c r="Z619" s="78" t="s">
        <v>5468</v>
      </c>
      <c r="AA619">
        <f>IF(COUNTIF('Call Queue'!$H$6:$H$20,V619)&gt;0,0,IF(AND(ISNUMBER(N619),N619&gt;0),10000000+N619,IF(ISNUMBER(N619*1),IF(N619*1&gt;0,10000000+N619*1,0),0))+IF(ISNUMBER(SEARCH("(",L619)),1000000+IFERROR(VALUE(SUBSTITUTE(SUBSTITUTE(SUBSTITUTE(MID(L619,SEARCH("(",L619)+1,SEARCH(")",L619)-SEARCH("(",L619)-1),"$",""),",","")," ","")),0),0))</f>
        <v>0</v>
      </c>
    </row>
    <row r="620" spans="1:27">
      <c r="A620" s="76">
        <v>45905</v>
      </c>
      <c r="B620" s="77" t="s">
        <v>2348</v>
      </c>
      <c r="C620" s="77" t="s">
        <v>2349</v>
      </c>
      <c r="D620" s="77" t="s">
        <v>63</v>
      </c>
      <c r="E620" s="77">
        <v>85008</v>
      </c>
      <c r="F620" s="77" t="s">
        <v>31</v>
      </c>
      <c r="G620" s="77" t="s">
        <v>2130</v>
      </c>
      <c r="H620" s="77">
        <v>2649331000</v>
      </c>
      <c r="I620" s="77" t="s">
        <v>196</v>
      </c>
      <c r="J620" s="77" t="s">
        <v>37</v>
      </c>
      <c r="K620" s="77" t="s">
        <v>37</v>
      </c>
      <c r="L620" s="77" t="s">
        <v>2351</v>
      </c>
      <c r="M620" s="77" t="s">
        <v>37</v>
      </c>
      <c r="N620" s="77" t="s">
        <v>37</v>
      </c>
      <c r="O620" s="77" t="s">
        <v>38</v>
      </c>
      <c r="P620" s="77">
        <v>45937</v>
      </c>
      <c r="Q620" s="76">
        <v>45965</v>
      </c>
      <c r="R620" s="77" t="s">
        <v>2352</v>
      </c>
      <c r="S620" s="77"/>
      <c r="T620" s="77"/>
      <c r="U620" s="77"/>
      <c r="V620" s="78" t="s">
        <v>5432</v>
      </c>
      <c r="W620" s="79">
        <v>46060</v>
      </c>
      <c r="X620" s="78" t="s">
        <v>37</v>
      </c>
      <c r="Y620" s="78" t="s">
        <v>5442</v>
      </c>
      <c r="Z620" s="78" t="s">
        <v>5566</v>
      </c>
      <c r="AA620">
        <f>IF(COUNTIF('Call Queue'!$H$6:$H$20,V620)&gt;0,0,IF(AND(ISNUMBER(N620),N620&gt;0),10000000+N620,IF(ISNUMBER(N620*1),IF(N620*1&gt;0,10000000+N620*1,0),0))+IF(ISNUMBER(SEARCH("(",L620)),1000000+IFERROR(VALUE(SUBSTITUTE(SUBSTITUTE(SUBSTITUTE(MID(L620,SEARCH("(",L620)+1,SEARCH(")",L620)-SEARCH("(",L620)-1),"$",""),",","")," ","")),0),0))</f>
        <v>0</v>
      </c>
    </row>
    <row r="621" spans="1:27">
      <c r="A621" s="76">
        <v>45905</v>
      </c>
      <c r="B621" s="77" t="s">
        <v>2353</v>
      </c>
      <c r="C621" s="77" t="s">
        <v>2354</v>
      </c>
      <c r="D621" s="77" t="s">
        <v>63</v>
      </c>
      <c r="E621" s="77">
        <v>85027</v>
      </c>
      <c r="F621" s="77" t="s">
        <v>310</v>
      </c>
      <c r="G621" s="77" t="s">
        <v>2130</v>
      </c>
      <c r="H621" s="77" t="s">
        <v>2355</v>
      </c>
      <c r="I621" s="77" t="s">
        <v>541</v>
      </c>
      <c r="J621" s="77" t="s">
        <v>37</v>
      </c>
      <c r="K621" s="77" t="s">
        <v>37</v>
      </c>
      <c r="L621" s="77" t="s">
        <v>389</v>
      </c>
      <c r="M621" s="77" t="s">
        <v>37</v>
      </c>
      <c r="N621" s="77" t="s">
        <v>37</v>
      </c>
      <c r="O621" s="77" t="s">
        <v>38</v>
      </c>
      <c r="P621" s="77" t="s">
        <v>39</v>
      </c>
      <c r="Q621" s="76">
        <v>45965</v>
      </c>
      <c r="R621" s="77"/>
      <c r="S621" s="77"/>
      <c r="T621" s="77"/>
      <c r="U621" s="77"/>
      <c r="V621" s="78"/>
      <c r="W621" s="79"/>
      <c r="X621" s="78"/>
      <c r="Y621" s="78"/>
      <c r="Z621" s="78"/>
      <c r="AA621">
        <f>IF(COUNTIF('Call Queue'!$H$6:$H$20,V621)&gt;0,0,IF(AND(ISNUMBER(N621),N621&gt;0),10000000+N621,IF(ISNUMBER(N621*1),IF(N621*1&gt;0,10000000+N621*1,0),0))+IF(ISNUMBER(SEARCH("(",L621)),1000000+IFERROR(VALUE(SUBSTITUTE(SUBSTITUTE(SUBSTITUTE(MID(L621,SEARCH("(",L621)+1,SEARCH(")",L621)-SEARCH("(",L621)-1),"$",""),",","")," ","")),0),0))</f>
        <v>0</v>
      </c>
    </row>
    <row r="622" spans="1:27">
      <c r="A622" s="76">
        <v>45905</v>
      </c>
      <c r="B622" s="77" t="s">
        <v>2356</v>
      </c>
      <c r="C622" s="77" t="s">
        <v>2219</v>
      </c>
      <c r="D622" s="77" t="s">
        <v>30</v>
      </c>
      <c r="E622" s="77" t="s">
        <v>30</v>
      </c>
      <c r="F622" s="77" t="s">
        <v>2357</v>
      </c>
      <c r="G622" s="77" t="s">
        <v>2130</v>
      </c>
      <c r="H622" s="77">
        <v>4218400000</v>
      </c>
      <c r="I622" s="77" t="s">
        <v>126</v>
      </c>
      <c r="J622" s="77" t="s">
        <v>37</v>
      </c>
      <c r="K622" s="77" t="s">
        <v>37</v>
      </c>
      <c r="L622" s="77" t="s">
        <v>38</v>
      </c>
      <c r="M622" s="77" t="s">
        <v>37</v>
      </c>
      <c r="N622" s="77" t="s">
        <v>37</v>
      </c>
      <c r="O622" s="77" t="s">
        <v>38</v>
      </c>
      <c r="P622" s="77" t="s">
        <v>39</v>
      </c>
      <c r="Q622" s="76">
        <v>45965</v>
      </c>
      <c r="R622" s="77"/>
      <c r="S622" s="77"/>
      <c r="T622" s="77"/>
      <c r="U622" s="77"/>
      <c r="V622" s="78"/>
      <c r="W622" s="79"/>
      <c r="X622" s="78"/>
      <c r="Y622" s="78"/>
      <c r="Z622" s="78"/>
      <c r="AA622">
        <f>IF(COUNTIF('Call Queue'!$H$6:$H$20,V622)&gt;0,0,IF(AND(ISNUMBER(N622),N622&gt;0),10000000+N622,IF(ISNUMBER(N622*1),IF(N622*1&gt;0,10000000+N622*1,0),0))+IF(ISNUMBER(SEARCH("(",L622)),1000000+IFERROR(VALUE(SUBSTITUTE(SUBSTITUTE(SUBSTITUTE(MID(L622,SEARCH("(",L622)+1,SEARCH(")",L622)-SEARCH("(",L622)-1),"$",""),",","")," ","")),0),0))</f>
        <v>0</v>
      </c>
    </row>
    <row r="623" spans="1:27">
      <c r="A623" s="76">
        <v>45905</v>
      </c>
      <c r="B623" s="77" t="s">
        <v>747</v>
      </c>
      <c r="C623" s="77" t="s">
        <v>1962</v>
      </c>
      <c r="D623" s="77" t="s">
        <v>30</v>
      </c>
      <c r="E623" s="77" t="s">
        <v>30</v>
      </c>
      <c r="F623" s="77" t="s">
        <v>31</v>
      </c>
      <c r="G623" s="77" t="s">
        <v>2130</v>
      </c>
      <c r="H623" s="77" t="s">
        <v>209</v>
      </c>
      <c r="I623" s="77"/>
      <c r="J623" s="77"/>
      <c r="K623" s="77"/>
      <c r="L623" s="77"/>
      <c r="M623" s="77"/>
      <c r="N623" s="77"/>
      <c r="O623" s="77"/>
      <c r="P623" s="77"/>
      <c r="Q623" s="76"/>
      <c r="R623" s="77"/>
      <c r="S623" s="77"/>
      <c r="T623" s="77"/>
      <c r="U623" s="77"/>
      <c r="V623" s="78"/>
      <c r="W623" s="79"/>
      <c r="X623" s="78"/>
      <c r="Y623" s="78"/>
      <c r="Z623" s="78"/>
      <c r="AA623">
        <f>IF(COUNTIF('Call Queue'!$H$6:$H$20,V623)&gt;0,0,IF(AND(ISNUMBER(N623),N623&gt;0),10000000+N623,IF(ISNUMBER(N623*1),IF(N623*1&gt;0,10000000+N623*1,0),0))+IF(ISNUMBER(SEARCH("(",L623)),1000000+IFERROR(VALUE(SUBSTITUTE(SUBSTITUTE(SUBSTITUTE(MID(L623,SEARCH("(",L623)+1,SEARCH(")",L623)-SEARCH("(",L623)-1),"$",""),",","")," ","")),0),0))</f>
        <v>0</v>
      </c>
    </row>
    <row r="624" spans="1:27">
      <c r="A624" s="76">
        <v>45906</v>
      </c>
      <c r="B624" s="77" t="s">
        <v>2365</v>
      </c>
      <c r="C624" s="77" t="s">
        <v>550</v>
      </c>
      <c r="D624" s="77" t="s">
        <v>63</v>
      </c>
      <c r="E624" s="77">
        <v>85004</v>
      </c>
      <c r="F624" s="77" t="s">
        <v>2366</v>
      </c>
      <c r="G624" s="77" t="s">
        <v>2364</v>
      </c>
      <c r="H624" s="77">
        <v>460101000</v>
      </c>
      <c r="I624" s="77" t="s">
        <v>36</v>
      </c>
      <c r="J624" s="77" t="s">
        <v>37</v>
      </c>
      <c r="K624" s="77" t="s">
        <v>37</v>
      </c>
      <c r="L624" s="77" t="s">
        <v>38</v>
      </c>
      <c r="M624" s="77" t="s">
        <v>37</v>
      </c>
      <c r="N624" s="77" t="s">
        <v>37</v>
      </c>
      <c r="O624" s="77" t="s">
        <v>38</v>
      </c>
      <c r="P624" s="77" t="s">
        <v>39</v>
      </c>
      <c r="Q624" s="76">
        <v>45965</v>
      </c>
      <c r="R624" s="77"/>
      <c r="S624" s="77"/>
      <c r="T624" s="77"/>
      <c r="U624" s="77"/>
      <c r="V624" s="78"/>
      <c r="W624" s="79"/>
      <c r="X624" s="78"/>
      <c r="Y624" s="78"/>
      <c r="Z624" s="78"/>
      <c r="AA624">
        <f>IF(COUNTIF('Call Queue'!$H$6:$H$20,V624)&gt;0,0,IF(AND(ISNUMBER(N624),N624&gt;0),10000000+N624,IF(ISNUMBER(N624*1),IF(N624*1&gt;0,10000000+N624*1,0),0))+IF(ISNUMBER(SEARCH("(",L624)),1000000+IFERROR(VALUE(SUBSTITUTE(SUBSTITUTE(SUBSTITUTE(MID(L624,SEARCH("(",L624)+1,SEARCH(")",L624)-SEARCH("(",L624)-1),"$",""),",","")," ","")),0),0))</f>
        <v>0</v>
      </c>
    </row>
    <row r="625" spans="1:27">
      <c r="A625" s="76">
        <v>45906</v>
      </c>
      <c r="B625" s="77" t="s">
        <v>2368</v>
      </c>
      <c r="C625" s="77" t="s">
        <v>2116</v>
      </c>
      <c r="D625" s="77" t="s">
        <v>63</v>
      </c>
      <c r="E625" s="77">
        <v>85022</v>
      </c>
      <c r="F625" s="77" t="s">
        <v>310</v>
      </c>
      <c r="G625" s="77" t="s">
        <v>2364</v>
      </c>
      <c r="H625" s="77">
        <v>8598239302</v>
      </c>
      <c r="I625" s="77" t="s">
        <v>196</v>
      </c>
      <c r="J625" s="77" t="s">
        <v>37</v>
      </c>
      <c r="K625" s="77" t="s">
        <v>37</v>
      </c>
      <c r="L625" s="77" t="s">
        <v>2370</v>
      </c>
      <c r="M625" s="77" t="s">
        <v>37</v>
      </c>
      <c r="N625" s="77" t="s">
        <v>37</v>
      </c>
      <c r="O625" s="77" t="s">
        <v>38</v>
      </c>
      <c r="P625" s="77" t="s">
        <v>39</v>
      </c>
      <c r="Q625" s="76">
        <v>45965</v>
      </c>
      <c r="R625" s="77"/>
      <c r="S625" s="77"/>
      <c r="T625" s="77"/>
      <c r="U625" s="77"/>
      <c r="V625" s="78" t="s">
        <v>5432</v>
      </c>
      <c r="W625" s="79">
        <v>46046</v>
      </c>
      <c r="X625" s="78" t="s">
        <v>37</v>
      </c>
      <c r="Y625" s="78" t="s">
        <v>5442</v>
      </c>
      <c r="Z625" s="78" t="s">
        <v>5564</v>
      </c>
      <c r="AA625">
        <f>IF(COUNTIF('Call Queue'!$H$6:$H$20,V625)&gt;0,0,IF(AND(ISNUMBER(N625),N625&gt;0),10000000+N625,IF(ISNUMBER(N625*1),IF(N625*1&gt;0,10000000+N625*1,0),0))+IF(ISNUMBER(SEARCH("(",L625)),1000000+IFERROR(VALUE(SUBSTITUTE(SUBSTITUTE(SUBSTITUTE(MID(L625,SEARCH("(",L625)+1,SEARCH(")",L625)-SEARCH("(",L625)-1),"$",""),",","")," ","")),0),0))</f>
        <v>0</v>
      </c>
    </row>
    <row r="626" spans="1:27">
      <c r="A626" s="76">
        <v>45906</v>
      </c>
      <c r="B626" s="77" t="s">
        <v>2371</v>
      </c>
      <c r="C626" s="77" t="s">
        <v>503</v>
      </c>
      <c r="D626" s="77" t="s">
        <v>125</v>
      </c>
      <c r="E626" s="77">
        <v>85260</v>
      </c>
      <c r="F626" s="77" t="s">
        <v>310</v>
      </c>
      <c r="G626" s="77" t="s">
        <v>2364</v>
      </c>
      <c r="H626" s="77">
        <v>5554267371</v>
      </c>
      <c r="I626" s="77" t="s">
        <v>36</v>
      </c>
      <c r="J626" s="77" t="s">
        <v>37</v>
      </c>
      <c r="K626" s="77" t="s">
        <v>37</v>
      </c>
      <c r="L626" s="77" t="s">
        <v>38</v>
      </c>
      <c r="M626" s="77" t="s">
        <v>37</v>
      </c>
      <c r="N626" s="77" t="s">
        <v>37</v>
      </c>
      <c r="O626" s="77" t="s">
        <v>38</v>
      </c>
      <c r="P626" s="77" t="s">
        <v>39</v>
      </c>
      <c r="Q626" s="76">
        <v>45965</v>
      </c>
      <c r="R626" s="77"/>
      <c r="S626" s="77"/>
      <c r="T626" s="77"/>
      <c r="U626" s="77"/>
      <c r="V626" s="78"/>
      <c r="W626" s="79"/>
      <c r="X626" s="78"/>
      <c r="Y626" s="78"/>
      <c r="Z626" s="78"/>
      <c r="AA626">
        <f>IF(COUNTIF('Call Queue'!$H$6:$H$20,V626)&gt;0,0,IF(AND(ISNUMBER(N626),N626&gt;0),10000000+N626,IF(ISNUMBER(N626*1),IF(N626*1&gt;0,10000000+N626*1,0),0))+IF(ISNUMBER(SEARCH("(",L626)),1000000+IFERROR(VALUE(SUBSTITUTE(SUBSTITUTE(SUBSTITUTE(MID(L626,SEARCH("(",L626)+1,SEARCH(")",L626)-SEARCH("(",L626)-1),"$",""),",","")," ","")),0),0))</f>
        <v>0</v>
      </c>
    </row>
    <row r="627" spans="1:27">
      <c r="A627" s="76">
        <v>45906</v>
      </c>
      <c r="B627" s="77" t="s">
        <v>2373</v>
      </c>
      <c r="C627" s="77" t="s">
        <v>2339</v>
      </c>
      <c r="D627" s="77" t="s">
        <v>63</v>
      </c>
      <c r="E627" s="77">
        <v>85016</v>
      </c>
      <c r="F627" s="77" t="s">
        <v>2374</v>
      </c>
      <c r="G627" s="77" t="s">
        <v>2364</v>
      </c>
      <c r="H627" s="77">
        <v>4656135575</v>
      </c>
      <c r="I627" s="77" t="s">
        <v>126</v>
      </c>
      <c r="J627" s="77" t="s">
        <v>37</v>
      </c>
      <c r="K627" s="77" t="s">
        <v>37</v>
      </c>
      <c r="L627" s="77" t="s">
        <v>38</v>
      </c>
      <c r="M627" s="77" t="s">
        <v>37</v>
      </c>
      <c r="N627" s="77" t="s">
        <v>37</v>
      </c>
      <c r="O627" s="77" t="s">
        <v>38</v>
      </c>
      <c r="P627" s="77" t="s">
        <v>39</v>
      </c>
      <c r="Q627" s="76">
        <v>45965</v>
      </c>
      <c r="R627" s="77"/>
      <c r="S627" s="77"/>
      <c r="T627" s="77"/>
      <c r="U627" s="77"/>
      <c r="V627" s="78"/>
      <c r="W627" s="79"/>
      <c r="X627" s="78"/>
      <c r="Y627" s="78"/>
      <c r="Z627" s="78"/>
      <c r="AA627">
        <f>IF(COUNTIF('Call Queue'!$H$6:$H$20,V627)&gt;0,0,IF(AND(ISNUMBER(N627),N627&gt;0),10000000+N627,IF(ISNUMBER(N627*1),IF(N627*1&gt;0,10000000+N627*1,0),0))+IF(ISNUMBER(SEARCH("(",L627)),1000000+IFERROR(VALUE(SUBSTITUTE(SUBSTITUTE(SUBSTITUTE(MID(L627,SEARCH("(",L627)+1,SEARCH(")",L627)-SEARCH("(",L627)-1),"$",""),",","")," ","")),0),0))</f>
        <v>0</v>
      </c>
    </row>
    <row r="628" spans="1:27">
      <c r="A628" s="76">
        <v>45906</v>
      </c>
      <c r="B628" s="77" t="s">
        <v>2379</v>
      </c>
      <c r="C628" s="77" t="s">
        <v>2380</v>
      </c>
      <c r="D628" s="77" t="s">
        <v>63</v>
      </c>
      <c r="E628" s="77">
        <v>37204</v>
      </c>
      <c r="F628" s="77" t="s">
        <v>2381</v>
      </c>
      <c r="G628" s="77" t="s">
        <v>2364</v>
      </c>
      <c r="H628" s="77">
        <v>7871459753</v>
      </c>
      <c r="I628" s="77" t="s">
        <v>541</v>
      </c>
      <c r="J628" s="77" t="s">
        <v>37</v>
      </c>
      <c r="K628" s="77" t="s">
        <v>37</v>
      </c>
      <c r="L628" s="77" t="s">
        <v>389</v>
      </c>
      <c r="M628" s="77" t="s">
        <v>37</v>
      </c>
      <c r="N628" s="77" t="s">
        <v>37</v>
      </c>
      <c r="O628" s="77" t="s">
        <v>38</v>
      </c>
      <c r="P628" s="77" t="s">
        <v>39</v>
      </c>
      <c r="Q628" s="76">
        <v>45965</v>
      </c>
      <c r="R628" s="77"/>
      <c r="S628" s="77"/>
      <c r="T628" s="77"/>
      <c r="U628" s="77" t="s">
        <v>724</v>
      </c>
      <c r="V628" s="78"/>
      <c r="W628" s="79"/>
      <c r="X628" s="78"/>
      <c r="Y628" s="78"/>
      <c r="Z628" s="78"/>
      <c r="AA628">
        <f>IF(COUNTIF('Call Queue'!$H$6:$H$20,V628)&gt;0,0,IF(AND(ISNUMBER(N628),N628&gt;0),10000000+N628,IF(ISNUMBER(N628*1),IF(N628*1&gt;0,10000000+N628*1,0),0))+IF(ISNUMBER(SEARCH("(",L628)),1000000+IFERROR(VALUE(SUBSTITUTE(SUBSTITUTE(SUBSTITUTE(MID(L628,SEARCH("(",L628)+1,SEARCH(")",L628)-SEARCH("(",L628)-1),"$",""),",","")," ","")),0),0))</f>
        <v>0</v>
      </c>
    </row>
    <row r="629" spans="1:27">
      <c r="A629" s="76">
        <v>45906</v>
      </c>
      <c r="B629" s="77" t="s">
        <v>2383</v>
      </c>
      <c r="C629" s="77" t="s">
        <v>246</v>
      </c>
      <c r="D629" s="77" t="s">
        <v>264</v>
      </c>
      <c r="E629" s="77">
        <v>85541</v>
      </c>
      <c r="F629" s="77" t="s">
        <v>2384</v>
      </c>
      <c r="G629" s="77" t="s">
        <v>2364</v>
      </c>
      <c r="H629" s="77">
        <v>8270011000</v>
      </c>
      <c r="I629" s="77" t="s">
        <v>36</v>
      </c>
      <c r="J629" s="77" t="s">
        <v>37</v>
      </c>
      <c r="K629" s="77" t="s">
        <v>37</v>
      </c>
      <c r="L629" s="77" t="s">
        <v>38</v>
      </c>
      <c r="M629" s="77" t="s">
        <v>37</v>
      </c>
      <c r="N629" s="77" t="s">
        <v>37</v>
      </c>
      <c r="O629" s="77" t="s">
        <v>38</v>
      </c>
      <c r="P629" s="77" t="s">
        <v>39</v>
      </c>
      <c r="Q629" s="76">
        <v>45965</v>
      </c>
      <c r="R629" s="77"/>
      <c r="S629" s="77"/>
      <c r="T629" s="77"/>
      <c r="U629" s="77"/>
      <c r="V629" s="78"/>
      <c r="W629" s="79"/>
      <c r="X629" s="78"/>
      <c r="Y629" s="78"/>
      <c r="Z629" s="78"/>
      <c r="AA629">
        <f>IF(COUNTIF('Call Queue'!$H$6:$H$20,V629)&gt;0,0,IF(AND(ISNUMBER(N629),N629&gt;0),10000000+N629,IF(ISNUMBER(N629*1),IF(N629*1&gt;0,10000000+N629*1,0),0))+IF(ISNUMBER(SEARCH("(",L629)),1000000+IFERROR(VALUE(SUBSTITUTE(SUBSTITUTE(SUBSTITUTE(MID(L629,SEARCH("(",L629)+1,SEARCH(")",L629)-SEARCH("(",L629)-1),"$",""),",","")," ","")),0),0))</f>
        <v>0</v>
      </c>
    </row>
    <row r="630" spans="1:27">
      <c r="A630" s="76">
        <v>45906</v>
      </c>
      <c r="B630" s="77" t="s">
        <v>2386</v>
      </c>
      <c r="C630" s="77" t="s">
        <v>697</v>
      </c>
      <c r="D630" s="77" t="s">
        <v>1693</v>
      </c>
      <c r="E630" s="77">
        <v>85373</v>
      </c>
      <c r="F630" s="77" t="s">
        <v>2387</v>
      </c>
      <c r="G630" s="77" t="s">
        <v>2364</v>
      </c>
      <c r="H630" s="77">
        <v>949968967</v>
      </c>
      <c r="I630" s="77" t="s">
        <v>46</v>
      </c>
      <c r="J630" s="77" t="s">
        <v>37</v>
      </c>
      <c r="K630" s="77" t="s">
        <v>37</v>
      </c>
      <c r="L630" s="77" t="s">
        <v>38</v>
      </c>
      <c r="M630" s="77" t="s">
        <v>37</v>
      </c>
      <c r="N630" s="77" t="s">
        <v>37</v>
      </c>
      <c r="O630" s="77" t="s">
        <v>38</v>
      </c>
      <c r="P630" s="77" t="s">
        <v>39</v>
      </c>
      <c r="Q630" s="76">
        <v>45965</v>
      </c>
      <c r="R630" s="77"/>
      <c r="S630" s="77"/>
      <c r="T630" s="77"/>
      <c r="U630" s="77"/>
      <c r="V630" s="78"/>
      <c r="W630" s="79"/>
      <c r="X630" s="78"/>
      <c r="Y630" s="78"/>
      <c r="Z630" s="78"/>
      <c r="AA630">
        <f>IF(COUNTIF('Call Queue'!$H$6:$H$20,V630)&gt;0,0,IF(AND(ISNUMBER(N630),N630&gt;0),10000000+N630,IF(ISNUMBER(N630*1),IF(N630*1&gt;0,10000000+N630*1,0),0))+IF(ISNUMBER(SEARCH("(",L630)),1000000+IFERROR(VALUE(SUBSTITUTE(SUBSTITUTE(SUBSTITUTE(MID(L630,SEARCH("(",L630)+1,SEARCH(")",L630)-SEARCH("(",L630)-1),"$",""),",","")," ","")),0),0))</f>
        <v>0</v>
      </c>
    </row>
    <row r="631" spans="1:27">
      <c r="A631" s="76">
        <v>45906</v>
      </c>
      <c r="B631" s="77" t="s">
        <v>2391</v>
      </c>
      <c r="C631" s="77" t="s">
        <v>2392</v>
      </c>
      <c r="D631" s="77" t="s">
        <v>63</v>
      </c>
      <c r="E631" s="77">
        <v>85029</v>
      </c>
      <c r="F631" s="77" t="s">
        <v>305</v>
      </c>
      <c r="G631" s="77" t="s">
        <v>2364</v>
      </c>
      <c r="H631" s="77">
        <v>5463797477</v>
      </c>
      <c r="I631" s="77" t="s">
        <v>126</v>
      </c>
      <c r="J631" s="77" t="s">
        <v>37</v>
      </c>
      <c r="K631" s="77" t="s">
        <v>37</v>
      </c>
      <c r="L631" s="77" t="s">
        <v>38</v>
      </c>
      <c r="M631" s="77" t="s">
        <v>37</v>
      </c>
      <c r="N631" s="77" t="s">
        <v>37</v>
      </c>
      <c r="O631" s="77" t="s">
        <v>38</v>
      </c>
      <c r="P631" s="77" t="s">
        <v>39</v>
      </c>
      <c r="Q631" s="76">
        <v>45965</v>
      </c>
      <c r="R631" s="77"/>
      <c r="S631" s="77"/>
      <c r="T631" s="77"/>
      <c r="U631" s="77"/>
      <c r="V631" s="78"/>
      <c r="W631" s="79"/>
      <c r="X631" s="78"/>
      <c r="Y631" s="78"/>
      <c r="Z631" s="78"/>
      <c r="AA631">
        <f>IF(COUNTIF('Call Queue'!$H$6:$H$20,V631)&gt;0,0,IF(AND(ISNUMBER(N631),N631&gt;0),10000000+N631,IF(ISNUMBER(N631*1),IF(N631*1&gt;0,10000000+N631*1,0),0))+IF(ISNUMBER(SEARCH("(",L631)),1000000+IFERROR(VALUE(SUBSTITUTE(SUBSTITUTE(SUBSTITUTE(MID(L631,SEARCH("(",L631)+1,SEARCH(")",L631)-SEARCH("(",L631)-1),"$",""),",","")," ","")),0),0))</f>
        <v>0</v>
      </c>
    </row>
    <row r="632" spans="1:27">
      <c r="A632" s="76">
        <v>45906</v>
      </c>
      <c r="B632" s="77" t="s">
        <v>2394</v>
      </c>
      <c r="C632" s="77" t="s">
        <v>2395</v>
      </c>
      <c r="D632" s="77" t="s">
        <v>125</v>
      </c>
      <c r="E632" s="77">
        <v>85260</v>
      </c>
      <c r="F632" s="77" t="s">
        <v>31</v>
      </c>
      <c r="G632" s="77" t="s">
        <v>2364</v>
      </c>
      <c r="H632" s="77">
        <v>5485214420</v>
      </c>
      <c r="I632" s="77" t="s">
        <v>196</v>
      </c>
      <c r="J632" s="77" t="s">
        <v>37</v>
      </c>
      <c r="K632" s="77" t="s">
        <v>37</v>
      </c>
      <c r="L632" s="77" t="s">
        <v>2397</v>
      </c>
      <c r="M632" s="77" t="s">
        <v>37</v>
      </c>
      <c r="N632" s="77" t="s">
        <v>37</v>
      </c>
      <c r="O632" s="77" t="s">
        <v>38</v>
      </c>
      <c r="P632" s="77">
        <v>45964</v>
      </c>
      <c r="Q632" s="76">
        <v>45965</v>
      </c>
      <c r="R632" s="77" t="s">
        <v>2398</v>
      </c>
      <c r="S632" s="77"/>
      <c r="T632" s="77"/>
      <c r="U632" s="77"/>
      <c r="V632" s="78" t="s">
        <v>5432</v>
      </c>
      <c r="W632" s="79">
        <v>46046</v>
      </c>
      <c r="X632" s="78" t="s">
        <v>38</v>
      </c>
      <c r="Y632" s="78"/>
      <c r="Z632" s="78"/>
      <c r="AA632">
        <f>IF(COUNTIF('Call Queue'!$H$6:$H$20,V632)&gt;0,0,IF(AND(ISNUMBER(N632),N632&gt;0),10000000+N632,IF(ISNUMBER(N632*1),IF(N632*1&gt;0,10000000+N632*1,0),0))+IF(ISNUMBER(SEARCH("(",L632)),1000000+IFERROR(VALUE(SUBSTITUTE(SUBSTITUTE(SUBSTITUTE(MID(L632,SEARCH("(",L632)+1,SEARCH(")",L632)-SEARCH("(",L632)-1),"$",""),",","")," ","")),0),0))</f>
        <v>0</v>
      </c>
    </row>
    <row r="633" spans="1:27">
      <c r="A633" s="76">
        <v>45906</v>
      </c>
      <c r="B633" s="77" t="s">
        <v>2401</v>
      </c>
      <c r="C633" s="77" t="s">
        <v>333</v>
      </c>
      <c r="D633" s="77" t="s">
        <v>63</v>
      </c>
      <c r="E633" s="77">
        <v>85012</v>
      </c>
      <c r="F633" s="77" t="s">
        <v>310</v>
      </c>
      <c r="G633" s="77" t="s">
        <v>2364</v>
      </c>
      <c r="H633" s="77">
        <v>8372996858</v>
      </c>
      <c r="I633" s="77" t="s">
        <v>73</v>
      </c>
      <c r="J633" s="77" t="s">
        <v>37</v>
      </c>
      <c r="K633" s="77" t="s">
        <v>37</v>
      </c>
      <c r="L633" s="77" t="s">
        <v>38</v>
      </c>
      <c r="M633" s="77" t="s">
        <v>37</v>
      </c>
      <c r="N633" s="77" t="s">
        <v>37</v>
      </c>
      <c r="O633" s="77" t="s">
        <v>38</v>
      </c>
      <c r="P633" s="77" t="s">
        <v>39</v>
      </c>
      <c r="Q633" s="76">
        <v>45965</v>
      </c>
      <c r="R633" s="77"/>
      <c r="S633" s="77"/>
      <c r="T633" s="77"/>
      <c r="U633" s="77"/>
      <c r="V633" s="78"/>
      <c r="W633" s="79"/>
      <c r="X633" s="78"/>
      <c r="Y633" s="78"/>
      <c r="Z633" s="78"/>
      <c r="AA633">
        <f>IF(COUNTIF('Call Queue'!$H$6:$H$20,V633)&gt;0,0,IF(AND(ISNUMBER(N633),N633&gt;0),10000000+N633,IF(ISNUMBER(N633*1),IF(N633*1&gt;0,10000000+N633*1,0),0))+IF(ISNUMBER(SEARCH("(",L633)),1000000+IFERROR(VALUE(SUBSTITUTE(SUBSTITUTE(SUBSTITUTE(MID(L633,SEARCH("(",L633)+1,SEARCH(")",L633)-SEARCH("(",L633)-1),"$",""),",","")," ","")),0),0))</f>
        <v>0</v>
      </c>
    </row>
    <row r="634" spans="1:27">
      <c r="A634" s="76">
        <v>45906</v>
      </c>
      <c r="B634" s="77" t="s">
        <v>2403</v>
      </c>
      <c r="C634" s="77" t="s">
        <v>2404</v>
      </c>
      <c r="D634" s="77" t="s">
        <v>125</v>
      </c>
      <c r="E634" s="77">
        <v>85251</v>
      </c>
      <c r="F634" s="77" t="s">
        <v>2405</v>
      </c>
      <c r="G634" s="77" t="s">
        <v>2364</v>
      </c>
      <c r="H634" s="77">
        <v>915272757</v>
      </c>
      <c r="I634" s="77" t="s">
        <v>36</v>
      </c>
      <c r="J634" s="77" t="s">
        <v>37</v>
      </c>
      <c r="K634" s="77" t="s">
        <v>37</v>
      </c>
      <c r="L634" s="77" t="s">
        <v>38</v>
      </c>
      <c r="M634" s="77" t="s">
        <v>37</v>
      </c>
      <c r="N634" s="77" t="s">
        <v>37</v>
      </c>
      <c r="O634" s="77" t="s">
        <v>38</v>
      </c>
      <c r="P634" s="77" t="s">
        <v>39</v>
      </c>
      <c r="Q634" s="76">
        <v>45965</v>
      </c>
      <c r="R634" s="77"/>
      <c r="S634" s="77"/>
      <c r="T634" s="77"/>
      <c r="U634" s="77"/>
      <c r="V634" s="78"/>
      <c r="W634" s="79"/>
      <c r="X634" s="78"/>
      <c r="Y634" s="78"/>
      <c r="Z634" s="78"/>
      <c r="AA634">
        <f>IF(COUNTIF('Call Queue'!$H$6:$H$20,V634)&gt;0,0,IF(AND(ISNUMBER(N634),N634&gt;0),10000000+N634,IF(ISNUMBER(N634*1),IF(N634*1&gt;0,10000000+N634*1,0),0))+IF(ISNUMBER(SEARCH("(",L634)),1000000+IFERROR(VALUE(SUBSTITUTE(SUBSTITUTE(SUBSTITUTE(MID(L634,SEARCH("(",L634)+1,SEARCH(")",L634)-SEARCH("(",L634)-1),"$",""),",","")," ","")),0),0))</f>
        <v>0</v>
      </c>
    </row>
    <row r="635" spans="1:27">
      <c r="A635" s="76">
        <v>45906</v>
      </c>
      <c r="B635" s="77" t="s">
        <v>2408</v>
      </c>
      <c r="C635" s="77" t="s">
        <v>355</v>
      </c>
      <c r="D635" s="77" t="s">
        <v>24</v>
      </c>
      <c r="E635" s="77">
        <v>85310</v>
      </c>
      <c r="F635" s="77" t="s">
        <v>2409</v>
      </c>
      <c r="G635" s="77" t="s">
        <v>2364</v>
      </c>
      <c r="H635" s="77">
        <v>1939300000</v>
      </c>
      <c r="I635" s="77" t="s">
        <v>126</v>
      </c>
      <c r="J635" s="77" t="s">
        <v>37</v>
      </c>
      <c r="K635" s="77" t="s">
        <v>37</v>
      </c>
      <c r="L635" s="77" t="s">
        <v>38</v>
      </c>
      <c r="M635" s="77" t="s">
        <v>37</v>
      </c>
      <c r="N635" s="77" t="s">
        <v>37</v>
      </c>
      <c r="O635" s="77" t="s">
        <v>38</v>
      </c>
      <c r="P635" s="77" t="s">
        <v>39</v>
      </c>
      <c r="Q635" s="76">
        <v>45965</v>
      </c>
      <c r="R635" s="77"/>
      <c r="S635" s="77"/>
      <c r="T635" s="77"/>
      <c r="U635" s="77"/>
      <c r="V635" s="78"/>
      <c r="W635" s="79"/>
      <c r="X635" s="78"/>
      <c r="Y635" s="78"/>
      <c r="Z635" s="78"/>
      <c r="AA635">
        <f>IF(COUNTIF('Call Queue'!$H$6:$H$20,V635)&gt;0,0,IF(AND(ISNUMBER(N635),N635&gt;0),10000000+N635,IF(ISNUMBER(N635*1),IF(N635*1&gt;0,10000000+N635*1,0),0))+IF(ISNUMBER(SEARCH("(",L635)),1000000+IFERROR(VALUE(SUBSTITUTE(SUBSTITUTE(SUBSTITUTE(MID(L635,SEARCH("(",L635)+1,SEARCH(")",L635)-SEARCH("(",L635)-1),"$",""),",","")," ","")),0),0))</f>
        <v>0</v>
      </c>
    </row>
    <row r="636" spans="1:27">
      <c r="A636" s="76">
        <v>45906</v>
      </c>
      <c r="B636" s="77" t="s">
        <v>2413</v>
      </c>
      <c r="C636" s="77" t="s">
        <v>427</v>
      </c>
      <c r="D636" s="77" t="s">
        <v>24</v>
      </c>
      <c r="E636" s="77">
        <v>85308</v>
      </c>
      <c r="F636" s="77" t="s">
        <v>2414</v>
      </c>
      <c r="G636" s="77" t="s">
        <v>2364</v>
      </c>
      <c r="H636" s="77">
        <v>3664029144</v>
      </c>
      <c r="I636" s="77" t="s">
        <v>36</v>
      </c>
      <c r="J636" s="77" t="s">
        <v>37</v>
      </c>
      <c r="K636" s="77" t="s">
        <v>37</v>
      </c>
      <c r="L636" s="77" t="s">
        <v>38</v>
      </c>
      <c r="M636" s="77" t="s">
        <v>37</v>
      </c>
      <c r="N636" s="77" t="s">
        <v>37</v>
      </c>
      <c r="O636" s="77" t="s">
        <v>38</v>
      </c>
      <c r="P636" s="77" t="s">
        <v>39</v>
      </c>
      <c r="Q636" s="76">
        <v>45965</v>
      </c>
      <c r="R636" s="77"/>
      <c r="S636" s="77"/>
      <c r="T636" s="77"/>
      <c r="U636" s="77"/>
      <c r="V636" s="78"/>
      <c r="W636" s="79"/>
      <c r="X636" s="78"/>
      <c r="Y636" s="78"/>
      <c r="Z636" s="78"/>
      <c r="AA636">
        <f>IF(COUNTIF('Call Queue'!$H$6:$H$20,V636)&gt;0,0,IF(AND(ISNUMBER(N636),N636&gt;0),10000000+N636,IF(ISNUMBER(N636*1),IF(N636*1&gt;0,10000000+N636*1,0),0))+IF(ISNUMBER(SEARCH("(",L636)),1000000+IFERROR(VALUE(SUBSTITUTE(SUBSTITUTE(SUBSTITUTE(MID(L636,SEARCH("(",L636)+1,SEARCH(")",L636)-SEARCH("(",L636)-1),"$",""),",","")," ","")),0),0))</f>
        <v>0</v>
      </c>
    </row>
    <row r="637" spans="1:27">
      <c r="A637" s="76">
        <v>45906</v>
      </c>
      <c r="B637" s="77" t="s">
        <v>2416</v>
      </c>
      <c r="C637" s="77" t="s">
        <v>717</v>
      </c>
      <c r="D637" s="77" t="s">
        <v>30</v>
      </c>
      <c r="E637" s="77" t="s">
        <v>30</v>
      </c>
      <c r="F637" s="77" t="s">
        <v>2417</v>
      </c>
      <c r="G637" s="77" t="s">
        <v>2364</v>
      </c>
      <c r="H637" s="77">
        <v>9414462931</v>
      </c>
      <c r="I637" s="77" t="s">
        <v>126</v>
      </c>
      <c r="J637" s="77" t="s">
        <v>37</v>
      </c>
      <c r="K637" s="77" t="s">
        <v>37</v>
      </c>
      <c r="L637" s="77" t="s">
        <v>2419</v>
      </c>
      <c r="M637" s="77" t="s">
        <v>37</v>
      </c>
      <c r="N637" s="77" t="s">
        <v>37</v>
      </c>
      <c r="O637" s="77" t="s">
        <v>38</v>
      </c>
      <c r="P637" s="77" t="s">
        <v>39</v>
      </c>
      <c r="Q637" s="76">
        <v>45965</v>
      </c>
      <c r="R637" s="77"/>
      <c r="S637" s="77"/>
      <c r="T637" s="77"/>
      <c r="U637" s="77"/>
      <c r="V637" s="78" t="s">
        <v>5432</v>
      </c>
      <c r="W637" s="79">
        <v>46025</v>
      </c>
      <c r="X637" s="78"/>
      <c r="Y637" s="78" t="s">
        <v>5442</v>
      </c>
      <c r="Z637" s="78" t="s">
        <v>5583</v>
      </c>
      <c r="AA637">
        <f>IF(COUNTIF('Call Queue'!$H$6:$H$20,V637)&gt;0,0,IF(AND(ISNUMBER(N637),N637&gt;0),10000000+N637,IF(ISNUMBER(N637*1),IF(N637*1&gt;0,10000000+N637*1,0),0))+IF(ISNUMBER(SEARCH("(",L637)),1000000+IFERROR(VALUE(SUBSTITUTE(SUBSTITUTE(SUBSTITUTE(MID(L637,SEARCH("(",L637)+1,SEARCH(")",L637)-SEARCH("(",L637)-1),"$",""),",","")," ","")),0),0))</f>
        <v>0</v>
      </c>
    </row>
    <row r="638" spans="1:27">
      <c r="A638" s="76">
        <v>45906</v>
      </c>
      <c r="B638" s="77" t="s">
        <v>2420</v>
      </c>
      <c r="C638" s="77" t="s">
        <v>611</v>
      </c>
      <c r="D638" s="77" t="s">
        <v>129</v>
      </c>
      <c r="E638" s="77">
        <v>85233</v>
      </c>
      <c r="F638" s="77" t="s">
        <v>310</v>
      </c>
      <c r="G638" s="77" t="s">
        <v>2364</v>
      </c>
      <c r="H638" s="77">
        <v>2321911932</v>
      </c>
      <c r="I638" s="77" t="s">
        <v>243</v>
      </c>
      <c r="J638" s="77" t="s">
        <v>37</v>
      </c>
      <c r="K638" s="77" t="s">
        <v>37</v>
      </c>
      <c r="L638" s="77" t="s">
        <v>389</v>
      </c>
      <c r="M638" s="77" t="s">
        <v>37</v>
      </c>
      <c r="N638" s="77" t="s">
        <v>37</v>
      </c>
      <c r="O638" s="77" t="s">
        <v>38</v>
      </c>
      <c r="P638" s="77" t="s">
        <v>39</v>
      </c>
      <c r="Q638" s="76">
        <v>45965</v>
      </c>
      <c r="R638" s="77"/>
      <c r="S638" s="77"/>
      <c r="T638" s="77"/>
      <c r="U638" s="77"/>
      <c r="V638" s="78"/>
      <c r="W638" s="79"/>
      <c r="X638" s="78"/>
      <c r="Y638" s="78"/>
      <c r="Z638" s="78"/>
      <c r="AA638">
        <f>IF(COUNTIF('Call Queue'!$H$6:$H$20,V638)&gt;0,0,IF(AND(ISNUMBER(N638),N638&gt;0),10000000+N638,IF(ISNUMBER(N638*1),IF(N638*1&gt;0,10000000+N638*1,0),0))+IF(ISNUMBER(SEARCH("(",L638)),1000000+IFERROR(VALUE(SUBSTITUTE(SUBSTITUTE(SUBSTITUTE(MID(L638,SEARCH("(",L638)+1,SEARCH(")",L638)-SEARCH("(",L638)-1),"$",""),",","")," ","")),0),0))</f>
        <v>0</v>
      </c>
    </row>
    <row r="639" spans="1:27">
      <c r="A639" s="76">
        <v>45906</v>
      </c>
      <c r="B639" s="77" t="s">
        <v>49</v>
      </c>
      <c r="C639" s="77" t="s">
        <v>2422</v>
      </c>
      <c r="D639" s="77" t="s">
        <v>24</v>
      </c>
      <c r="E639" s="77">
        <v>85306</v>
      </c>
      <c r="F639" s="77" t="s">
        <v>310</v>
      </c>
      <c r="G639" s="77" t="s">
        <v>2364</v>
      </c>
      <c r="H639" s="77" t="s">
        <v>2423</v>
      </c>
      <c r="I639" s="77" t="s">
        <v>36</v>
      </c>
      <c r="J639" s="77" t="s">
        <v>37</v>
      </c>
      <c r="K639" s="77" t="s">
        <v>37</v>
      </c>
      <c r="L639" s="77" t="s">
        <v>38</v>
      </c>
      <c r="M639" s="77" t="s">
        <v>37</v>
      </c>
      <c r="N639" s="77" t="s">
        <v>37</v>
      </c>
      <c r="O639" s="77" t="s">
        <v>38</v>
      </c>
      <c r="P639" s="77" t="s">
        <v>39</v>
      </c>
      <c r="Q639" s="76">
        <v>45965</v>
      </c>
      <c r="R639" s="77"/>
      <c r="S639" s="77"/>
      <c r="T639" s="77"/>
      <c r="U639" s="77"/>
      <c r="V639" s="78"/>
      <c r="W639" s="79"/>
      <c r="X639" s="78"/>
      <c r="Y639" s="78"/>
      <c r="Z639" s="78"/>
      <c r="AA639">
        <f>IF(COUNTIF('Call Queue'!$H$6:$H$20,V639)&gt;0,0,IF(AND(ISNUMBER(N639),N639&gt;0),10000000+N639,IF(ISNUMBER(N639*1),IF(N639*1&gt;0,10000000+N639*1,0),0))+IF(ISNUMBER(SEARCH("(",L639)),1000000+IFERROR(VALUE(SUBSTITUTE(SUBSTITUTE(SUBSTITUTE(MID(L639,SEARCH("(",L639)+1,SEARCH(")",L639)-SEARCH("(",L639)-1),"$",""),",","")," ","")),0),0))</f>
        <v>0</v>
      </c>
    </row>
    <row r="640" spans="1:27">
      <c r="A640" s="76">
        <v>45906</v>
      </c>
      <c r="B640" s="77" t="s">
        <v>2178</v>
      </c>
      <c r="C640" s="77" t="s">
        <v>2097</v>
      </c>
      <c r="D640" s="77" t="s">
        <v>63</v>
      </c>
      <c r="E640" s="77">
        <v>85028</v>
      </c>
      <c r="F640" s="77" t="s">
        <v>310</v>
      </c>
      <c r="G640" s="77" t="s">
        <v>2364</v>
      </c>
      <c r="H640" s="77" t="s">
        <v>2424</v>
      </c>
      <c r="I640" s="77" t="s">
        <v>541</v>
      </c>
      <c r="J640" s="77" t="s">
        <v>37</v>
      </c>
      <c r="K640" s="77" t="s">
        <v>37</v>
      </c>
      <c r="L640" s="77" t="s">
        <v>389</v>
      </c>
      <c r="M640" s="77" t="s">
        <v>37</v>
      </c>
      <c r="N640" s="77" t="s">
        <v>37</v>
      </c>
      <c r="O640" s="77" t="s">
        <v>38</v>
      </c>
      <c r="P640" s="77" t="s">
        <v>39</v>
      </c>
      <c r="Q640" s="76">
        <v>45965</v>
      </c>
      <c r="R640" s="77"/>
      <c r="S640" s="77"/>
      <c r="T640" s="77"/>
      <c r="U640" s="77"/>
      <c r="V640" s="78"/>
      <c r="W640" s="79"/>
      <c r="X640" s="78"/>
      <c r="Y640" s="78"/>
      <c r="Z640" s="78"/>
      <c r="AA640">
        <f>IF(COUNTIF('Call Queue'!$H$6:$H$20,V640)&gt;0,0,IF(AND(ISNUMBER(N640),N640&gt;0),10000000+N640,IF(ISNUMBER(N640*1),IF(N640*1&gt;0,10000000+N640*1,0),0))+IF(ISNUMBER(SEARCH("(",L640)),1000000+IFERROR(VALUE(SUBSTITUTE(SUBSTITUTE(SUBSTITUTE(MID(L640,SEARCH("(",L640)+1,SEARCH(")",L640)-SEARCH("(",L640)-1),"$",""),",","")," ","")),0),0))</f>
        <v>0</v>
      </c>
    </row>
    <row r="641" spans="1:27">
      <c r="A641" s="76">
        <v>45906</v>
      </c>
      <c r="B641" s="77" t="s">
        <v>2425</v>
      </c>
      <c r="C641" s="77" t="s">
        <v>2426</v>
      </c>
      <c r="D641" s="77" t="s">
        <v>63</v>
      </c>
      <c r="E641" s="77">
        <v>85085</v>
      </c>
      <c r="F641" s="77" t="s">
        <v>310</v>
      </c>
      <c r="G641" s="77" t="s">
        <v>2364</v>
      </c>
      <c r="H641" s="77">
        <v>2205290521</v>
      </c>
      <c r="I641" s="77" t="s">
        <v>73</v>
      </c>
      <c r="J641" s="77" t="s">
        <v>37</v>
      </c>
      <c r="K641" s="77" t="s">
        <v>37</v>
      </c>
      <c r="L641" s="77" t="s">
        <v>38</v>
      </c>
      <c r="M641" s="77" t="s">
        <v>37</v>
      </c>
      <c r="N641" s="77" t="s">
        <v>37</v>
      </c>
      <c r="O641" s="77" t="s">
        <v>38</v>
      </c>
      <c r="P641" s="77" t="s">
        <v>39</v>
      </c>
      <c r="Q641" s="76">
        <v>45965</v>
      </c>
      <c r="R641" s="77"/>
      <c r="S641" s="77"/>
      <c r="T641" s="77"/>
      <c r="U641" s="77"/>
      <c r="V641" s="78"/>
      <c r="W641" s="79"/>
      <c r="X641" s="78"/>
      <c r="Y641" s="78"/>
      <c r="Z641" s="78"/>
      <c r="AA641">
        <f>IF(COUNTIF('Call Queue'!$H$6:$H$20,V641)&gt;0,0,IF(AND(ISNUMBER(N641),N641&gt;0),10000000+N641,IF(ISNUMBER(N641*1),IF(N641*1&gt;0,10000000+N641*1,0),0))+IF(ISNUMBER(SEARCH("(",L641)),1000000+IFERROR(VALUE(SUBSTITUTE(SUBSTITUTE(SUBSTITUTE(MID(L641,SEARCH("(",L641)+1,SEARCH(")",L641)-SEARCH("(",L641)-1),"$",""),",","")," ","")),0),0))</f>
        <v>0</v>
      </c>
    </row>
    <row r="642" spans="1:27">
      <c r="A642" s="76">
        <v>45906</v>
      </c>
      <c r="B642" s="77" t="s">
        <v>2428</v>
      </c>
      <c r="C642" s="77" t="s">
        <v>875</v>
      </c>
      <c r="D642" s="77" t="s">
        <v>2429</v>
      </c>
      <c r="E642" s="77">
        <v>85132</v>
      </c>
      <c r="F642" s="77" t="s">
        <v>2430</v>
      </c>
      <c r="G642" s="77" t="s">
        <v>2364</v>
      </c>
      <c r="H642" s="77">
        <v>8573211000</v>
      </c>
      <c r="I642" s="77" t="s">
        <v>46</v>
      </c>
      <c r="J642" s="77" t="s">
        <v>37</v>
      </c>
      <c r="K642" s="77" t="s">
        <v>37</v>
      </c>
      <c r="L642" s="77" t="s">
        <v>38</v>
      </c>
      <c r="M642" s="77" t="s">
        <v>37</v>
      </c>
      <c r="N642" s="77" t="s">
        <v>37</v>
      </c>
      <c r="O642" s="77" t="s">
        <v>38</v>
      </c>
      <c r="P642" s="77" t="s">
        <v>39</v>
      </c>
      <c r="Q642" s="76">
        <v>45965</v>
      </c>
      <c r="R642" s="77"/>
      <c r="S642" s="77"/>
      <c r="T642" s="77"/>
      <c r="U642" s="77"/>
      <c r="V642" s="78"/>
      <c r="W642" s="79"/>
      <c r="X642" s="78"/>
      <c r="Y642" s="78"/>
      <c r="Z642" s="78"/>
      <c r="AA642">
        <f>IF(COUNTIF('Call Queue'!$H$6:$H$20,V642)&gt;0,0,IF(AND(ISNUMBER(N642),N642&gt;0),10000000+N642,IF(ISNUMBER(N642*1),IF(N642*1&gt;0,10000000+N642*1,0),0))+IF(ISNUMBER(SEARCH("(",L642)),1000000+IFERROR(VALUE(SUBSTITUTE(SUBSTITUTE(SUBSTITUTE(MID(L642,SEARCH("(",L642)+1,SEARCH(")",L642)-SEARCH("(",L642)-1),"$",""),",","")," ","")),0),0))</f>
        <v>0</v>
      </c>
    </row>
    <row r="643" spans="1:27">
      <c r="A643" s="76">
        <v>45906</v>
      </c>
      <c r="B643" s="77" t="s">
        <v>2432</v>
      </c>
      <c r="C643" s="77" t="s">
        <v>481</v>
      </c>
      <c r="D643" s="77" t="s">
        <v>24</v>
      </c>
      <c r="E643" s="77">
        <v>85308</v>
      </c>
      <c r="F643" s="77" t="s">
        <v>31</v>
      </c>
      <c r="G643" s="77" t="s">
        <v>2364</v>
      </c>
      <c r="H643" s="77">
        <v>6799540000</v>
      </c>
      <c r="I643" s="77" t="s">
        <v>36</v>
      </c>
      <c r="J643" s="77" t="s">
        <v>37</v>
      </c>
      <c r="K643" s="77" t="s">
        <v>37</v>
      </c>
      <c r="L643" s="77" t="s">
        <v>38</v>
      </c>
      <c r="M643" s="77" t="s">
        <v>37</v>
      </c>
      <c r="N643" s="77" t="s">
        <v>37</v>
      </c>
      <c r="O643" s="77" t="s">
        <v>38</v>
      </c>
      <c r="P643" s="77" t="s">
        <v>39</v>
      </c>
      <c r="Q643" s="76">
        <v>45965</v>
      </c>
      <c r="R643" s="77"/>
      <c r="S643" s="77"/>
      <c r="T643" s="77"/>
      <c r="U643" s="77"/>
      <c r="V643" s="78"/>
      <c r="W643" s="79"/>
      <c r="X643" s="78"/>
      <c r="Y643" s="78"/>
      <c r="Z643" s="78"/>
      <c r="AA643">
        <f>IF(COUNTIF('Call Queue'!$H$6:$H$20,V643)&gt;0,0,IF(AND(ISNUMBER(N643),N643&gt;0),10000000+N643,IF(ISNUMBER(N643*1),IF(N643*1&gt;0,10000000+N643*1,0),0))+IF(ISNUMBER(SEARCH("(",L643)),1000000+IFERROR(VALUE(SUBSTITUTE(SUBSTITUTE(SUBSTITUTE(MID(L643,SEARCH("(",L643)+1,SEARCH(")",L643)-SEARCH("(",L643)-1),"$",""),",","")," ","")),0),0))</f>
        <v>0</v>
      </c>
    </row>
    <row r="644" spans="1:27">
      <c r="A644" s="76">
        <v>45906</v>
      </c>
      <c r="B644" s="77" t="s">
        <v>2434</v>
      </c>
      <c r="C644" s="77" t="s">
        <v>256</v>
      </c>
      <c r="D644" s="77" t="s">
        <v>112</v>
      </c>
      <c r="E644" s="77">
        <v>85379</v>
      </c>
      <c r="F644" s="77" t="s">
        <v>31</v>
      </c>
      <c r="G644" s="77" t="s">
        <v>2364</v>
      </c>
      <c r="H644" s="77">
        <v>2372410000</v>
      </c>
      <c r="I644" s="77" t="s">
        <v>46</v>
      </c>
      <c r="J644" s="77" t="s">
        <v>37</v>
      </c>
      <c r="K644" s="77" t="s">
        <v>37</v>
      </c>
      <c r="L644" s="77" t="s">
        <v>38</v>
      </c>
      <c r="M644" s="77" t="s">
        <v>37</v>
      </c>
      <c r="N644" s="77" t="s">
        <v>37</v>
      </c>
      <c r="O644" s="77" t="s">
        <v>38</v>
      </c>
      <c r="P644" s="77" t="s">
        <v>39</v>
      </c>
      <c r="Q644" s="76">
        <v>45965</v>
      </c>
      <c r="R644" s="77"/>
      <c r="S644" s="77"/>
      <c r="T644" s="77"/>
      <c r="U644" s="77"/>
      <c r="V644" s="78"/>
      <c r="W644" s="79"/>
      <c r="X644" s="78"/>
      <c r="Y644" s="78"/>
      <c r="Z644" s="78"/>
      <c r="AA644">
        <f>IF(COUNTIF('Call Queue'!$H$6:$H$20,V644)&gt;0,0,IF(AND(ISNUMBER(N644),N644&gt;0),10000000+N644,IF(ISNUMBER(N644*1),IF(N644*1&gt;0,10000000+N644*1,0),0))+IF(ISNUMBER(SEARCH("(",L644)),1000000+IFERROR(VALUE(SUBSTITUTE(SUBSTITUTE(SUBSTITUTE(MID(L644,SEARCH("(",L644)+1,SEARCH(")",L644)-SEARCH("(",L644)-1),"$",""),",","")," ","")),0),0))</f>
        <v>0</v>
      </c>
    </row>
    <row r="645" spans="1:27">
      <c r="A645" s="76">
        <v>45906</v>
      </c>
      <c r="B645" s="77" t="s">
        <v>2436</v>
      </c>
      <c r="C645" s="77" t="s">
        <v>225</v>
      </c>
      <c r="D645" s="77" t="s">
        <v>125</v>
      </c>
      <c r="E645" s="77">
        <v>85260</v>
      </c>
      <c r="F645" s="77" t="s">
        <v>2437</v>
      </c>
      <c r="G645" s="77" t="s">
        <v>2364</v>
      </c>
      <c r="H645" s="77">
        <v>3850123644</v>
      </c>
      <c r="I645" s="77" t="s">
        <v>36</v>
      </c>
      <c r="J645" s="77" t="s">
        <v>37</v>
      </c>
      <c r="K645" s="77" t="s">
        <v>37</v>
      </c>
      <c r="L645" s="77" t="s">
        <v>2439</v>
      </c>
      <c r="M645" s="77" t="s">
        <v>37</v>
      </c>
      <c r="N645" s="77" t="s">
        <v>37</v>
      </c>
      <c r="O645" s="77" t="s">
        <v>38</v>
      </c>
      <c r="P645" s="77">
        <v>45945</v>
      </c>
      <c r="Q645" s="76">
        <v>45965</v>
      </c>
      <c r="R645" s="77" t="s">
        <v>2440</v>
      </c>
      <c r="S645" s="77"/>
      <c r="T645" s="77"/>
      <c r="U645" s="77"/>
      <c r="V645" s="78" t="s">
        <v>5432</v>
      </c>
      <c r="W645" s="79">
        <v>46046</v>
      </c>
      <c r="X645" s="78" t="s">
        <v>37</v>
      </c>
      <c r="Y645" s="78" t="s">
        <v>5442</v>
      </c>
      <c r="Z645" s="78" t="s">
        <v>5567</v>
      </c>
      <c r="AA645">
        <f>IF(COUNTIF('Call Queue'!$H$6:$H$20,V645)&gt;0,0,IF(AND(ISNUMBER(N645),N645&gt;0),10000000+N645,IF(ISNUMBER(N645*1),IF(N645*1&gt;0,10000000+N645*1,0),0))+IF(ISNUMBER(SEARCH("(",L645)),1000000+IFERROR(VALUE(SUBSTITUTE(SUBSTITUTE(SUBSTITUTE(MID(L645,SEARCH("(",L645)+1,SEARCH(")",L645)-SEARCH("(",L645)-1),"$",""),",","")," ","")),0),0))</f>
        <v>0</v>
      </c>
    </row>
    <row r="646" spans="1:27">
      <c r="A646" s="76">
        <v>45906</v>
      </c>
      <c r="B646" s="77" t="s">
        <v>2441</v>
      </c>
      <c r="C646" s="77" t="s">
        <v>71</v>
      </c>
      <c r="D646" s="77" t="s">
        <v>63</v>
      </c>
      <c r="E646" s="77">
        <v>85006</v>
      </c>
      <c r="F646" s="77" t="s">
        <v>310</v>
      </c>
      <c r="G646" s="77" t="s">
        <v>2364</v>
      </c>
      <c r="H646" s="77">
        <v>2801777569</v>
      </c>
      <c r="I646" s="77" t="s">
        <v>73</v>
      </c>
      <c r="J646" s="77" t="s">
        <v>37</v>
      </c>
      <c r="K646" s="77" t="s">
        <v>37</v>
      </c>
      <c r="L646" s="77" t="s">
        <v>38</v>
      </c>
      <c r="M646" s="77" t="s">
        <v>37</v>
      </c>
      <c r="N646" s="77" t="s">
        <v>37</v>
      </c>
      <c r="O646" s="77" t="s">
        <v>38</v>
      </c>
      <c r="P646" s="77" t="s">
        <v>39</v>
      </c>
      <c r="Q646" s="76">
        <v>45965</v>
      </c>
      <c r="R646" s="77"/>
      <c r="S646" s="77"/>
      <c r="T646" s="77"/>
      <c r="U646" s="77"/>
      <c r="V646" s="78" t="s">
        <v>117</v>
      </c>
      <c r="W646" s="79">
        <v>45997</v>
      </c>
      <c r="X646" s="78" t="s">
        <v>38</v>
      </c>
      <c r="Y646" s="78"/>
      <c r="Z646" s="78" t="s">
        <v>5568</v>
      </c>
      <c r="AA646">
        <f>IF(COUNTIF('Call Queue'!$H$6:$H$20,V646)&gt;0,0,IF(AND(ISNUMBER(N646),N646&gt;0),10000000+N646,IF(ISNUMBER(N646*1),IF(N646*1&gt;0,10000000+N646*1,0),0))+IF(ISNUMBER(SEARCH("(",L646)),1000000+IFERROR(VALUE(SUBSTITUTE(SUBSTITUTE(SUBSTITUTE(MID(L646,SEARCH("(",L646)+1,SEARCH(")",L646)-SEARCH("(",L646)-1),"$",""),",","")," ","")),0),0))</f>
        <v>0</v>
      </c>
    </row>
    <row r="647" spans="1:27">
      <c r="A647" s="76">
        <v>45906</v>
      </c>
      <c r="B647" s="77" t="s">
        <v>2443</v>
      </c>
      <c r="C647" s="77" t="s">
        <v>2444</v>
      </c>
      <c r="D647" s="77" t="s">
        <v>202</v>
      </c>
      <c r="E647" s="77">
        <v>85383</v>
      </c>
      <c r="F647" s="77" t="s">
        <v>310</v>
      </c>
      <c r="G647" s="77" t="s">
        <v>2364</v>
      </c>
      <c r="H647" s="77">
        <v>8157321000</v>
      </c>
      <c r="I647" s="77" t="s">
        <v>46</v>
      </c>
      <c r="J647" s="77" t="s">
        <v>37</v>
      </c>
      <c r="K647" s="77" t="s">
        <v>37</v>
      </c>
      <c r="L647" s="77" t="s">
        <v>2446</v>
      </c>
      <c r="M647" s="77" t="s">
        <v>37</v>
      </c>
      <c r="N647" s="77" t="s">
        <v>37</v>
      </c>
      <c r="O647" s="77" t="s">
        <v>38</v>
      </c>
      <c r="P647" s="77">
        <v>45939</v>
      </c>
      <c r="Q647" s="76">
        <v>45965</v>
      </c>
      <c r="R647" s="77" t="s">
        <v>484</v>
      </c>
      <c r="S647" s="77"/>
      <c r="T647" s="77"/>
      <c r="U647" s="77"/>
      <c r="V647" s="78" t="s">
        <v>5432</v>
      </c>
      <c r="W647" s="79">
        <v>46046</v>
      </c>
      <c r="X647" s="78" t="s">
        <v>37</v>
      </c>
      <c r="Y647" s="78" t="s">
        <v>5438</v>
      </c>
      <c r="Z647" s="78" t="s">
        <v>5569</v>
      </c>
      <c r="AA647">
        <f>IF(COUNTIF('Call Queue'!$H$6:$H$20,V647)&gt;0,0,IF(AND(ISNUMBER(N647),N647&gt;0),10000000+N647,IF(ISNUMBER(N647*1),IF(N647*1&gt;0,10000000+N647*1,0),0))+IF(ISNUMBER(SEARCH("(",L647)),1000000+IFERROR(VALUE(SUBSTITUTE(SUBSTITUTE(SUBSTITUTE(MID(L647,SEARCH("(",L647)+1,SEARCH(")",L647)-SEARCH("(",L647)-1),"$",""),",","")," ","")),0),0))</f>
        <v>0</v>
      </c>
    </row>
    <row r="648" spans="1:27">
      <c r="A648" s="76">
        <v>45906</v>
      </c>
      <c r="B648" s="77" t="s">
        <v>2447</v>
      </c>
      <c r="C648" s="77" t="s">
        <v>334</v>
      </c>
      <c r="D648" s="77" t="s">
        <v>63</v>
      </c>
      <c r="E648" s="77">
        <v>85027</v>
      </c>
      <c r="F648" s="77" t="s">
        <v>310</v>
      </c>
      <c r="G648" s="77" t="s">
        <v>2364</v>
      </c>
      <c r="H648" s="77">
        <v>6916550547</v>
      </c>
      <c r="I648" s="77" t="s">
        <v>250</v>
      </c>
      <c r="J648" s="77" t="s">
        <v>37</v>
      </c>
      <c r="K648" s="77" t="s">
        <v>37</v>
      </c>
      <c r="L648" s="77" t="s">
        <v>38</v>
      </c>
      <c r="M648" s="77" t="s">
        <v>37</v>
      </c>
      <c r="N648" s="77" t="s">
        <v>37</v>
      </c>
      <c r="O648" s="77" t="s">
        <v>38</v>
      </c>
      <c r="P648" s="77" t="s">
        <v>39</v>
      </c>
      <c r="Q648" s="76">
        <v>45965</v>
      </c>
      <c r="R648" s="77"/>
      <c r="S648" s="77"/>
      <c r="T648" s="77"/>
      <c r="U648" s="77"/>
      <c r="V648" s="78"/>
      <c r="W648" s="79"/>
      <c r="X648" s="78"/>
      <c r="Y648" s="78"/>
      <c r="Z648" s="78"/>
      <c r="AA648">
        <f>IF(COUNTIF('Call Queue'!$H$6:$H$20,V648)&gt;0,0,IF(AND(ISNUMBER(N648),N648&gt;0),10000000+N648,IF(ISNUMBER(N648*1),IF(N648*1&gt;0,10000000+N648*1,0),0))+IF(ISNUMBER(SEARCH("(",L648)),1000000+IFERROR(VALUE(SUBSTITUTE(SUBSTITUTE(SUBSTITUTE(MID(L648,SEARCH("(",L648)+1,SEARCH(")",L648)-SEARCH("(",L648)-1),"$",""),",","")," ","")),0),0))</f>
        <v>0</v>
      </c>
    </row>
    <row r="649" spans="1:27">
      <c r="A649" s="76">
        <v>45906</v>
      </c>
      <c r="B649" s="77" t="s">
        <v>2449</v>
      </c>
      <c r="C649" s="77" t="s">
        <v>2450</v>
      </c>
      <c r="D649" s="77" t="s">
        <v>112</v>
      </c>
      <c r="E649" s="77">
        <v>85338</v>
      </c>
      <c r="F649" s="77" t="s">
        <v>310</v>
      </c>
      <c r="G649" s="77" t="s">
        <v>2364</v>
      </c>
      <c r="H649" s="77">
        <v>7488840436</v>
      </c>
      <c r="I649" s="77" t="s">
        <v>36</v>
      </c>
      <c r="J649" s="77" t="s">
        <v>37</v>
      </c>
      <c r="K649" s="77" t="s">
        <v>37</v>
      </c>
      <c r="L649" s="77" t="s">
        <v>38</v>
      </c>
      <c r="M649" s="77" t="s">
        <v>37</v>
      </c>
      <c r="N649" s="77" t="s">
        <v>37</v>
      </c>
      <c r="O649" s="77" t="s">
        <v>38</v>
      </c>
      <c r="P649" s="77" t="s">
        <v>39</v>
      </c>
      <c r="Q649" s="76">
        <v>45964</v>
      </c>
      <c r="R649" s="77"/>
      <c r="S649" s="77"/>
      <c r="T649" s="77"/>
      <c r="U649" s="77"/>
      <c r="V649" s="78"/>
      <c r="W649" s="79"/>
      <c r="X649" s="78"/>
      <c r="Y649" s="78"/>
      <c r="Z649" s="78"/>
      <c r="AA649">
        <f>IF(COUNTIF('Call Queue'!$H$6:$H$20,V649)&gt;0,0,IF(AND(ISNUMBER(N649),N649&gt;0),10000000+N649,IF(ISNUMBER(N649*1),IF(N649*1&gt;0,10000000+N649*1,0),0))+IF(ISNUMBER(SEARCH("(",L649)),1000000+IFERROR(VALUE(SUBSTITUTE(SUBSTITUTE(SUBSTITUTE(MID(L649,SEARCH("(",L649)+1,SEARCH(")",L649)-SEARCH("(",L649)-1),"$",""),",","")," ","")),0),0))</f>
        <v>0</v>
      </c>
    </row>
    <row r="650" spans="1:27">
      <c r="A650" s="76">
        <v>45906</v>
      </c>
      <c r="B650" s="77" t="s">
        <v>2453</v>
      </c>
      <c r="C650" s="77" t="s">
        <v>2454</v>
      </c>
      <c r="D650" s="77" t="s">
        <v>63</v>
      </c>
      <c r="E650" s="77">
        <v>85024</v>
      </c>
      <c r="F650" s="77" t="s">
        <v>310</v>
      </c>
      <c r="G650" s="77" t="s">
        <v>2364</v>
      </c>
      <c r="H650" s="77">
        <v>1636279128</v>
      </c>
      <c r="I650" s="77" t="s">
        <v>57</v>
      </c>
      <c r="J650" s="77" t="s">
        <v>37</v>
      </c>
      <c r="K650" s="77" t="s">
        <v>37</v>
      </c>
      <c r="L650" s="77" t="s">
        <v>2456</v>
      </c>
      <c r="M650" s="77" t="s">
        <v>37</v>
      </c>
      <c r="N650" s="77" t="s">
        <v>37</v>
      </c>
      <c r="O650" s="77" t="s">
        <v>38</v>
      </c>
      <c r="P650" s="77" t="s">
        <v>39</v>
      </c>
      <c r="Q650" s="76">
        <v>45964</v>
      </c>
      <c r="R650" s="77"/>
      <c r="S650" s="77"/>
      <c r="T650" s="77"/>
      <c r="U650" s="77"/>
      <c r="V650" s="78" t="s">
        <v>5432</v>
      </c>
      <c r="W650" s="79">
        <v>46046</v>
      </c>
      <c r="X650" s="78" t="s">
        <v>38</v>
      </c>
      <c r="Y650" s="78" t="s">
        <v>5442</v>
      </c>
      <c r="Z650" s="78"/>
      <c r="AA650">
        <f>IF(COUNTIF('Call Queue'!$H$6:$H$20,V650)&gt;0,0,IF(AND(ISNUMBER(N650),N650&gt;0),10000000+N650,IF(ISNUMBER(N650*1),IF(N650*1&gt;0,10000000+N650*1,0),0))+IF(ISNUMBER(SEARCH("(",L650)),1000000+IFERROR(VALUE(SUBSTITUTE(SUBSTITUTE(SUBSTITUTE(MID(L650,SEARCH("(",L650)+1,SEARCH(")",L650)-SEARCH("(",L650)-1),"$",""),",","")," ","")),0),0))</f>
        <v>0</v>
      </c>
    </row>
    <row r="651" spans="1:27">
      <c r="A651" s="76">
        <v>45906</v>
      </c>
      <c r="B651" s="77" t="s">
        <v>2457</v>
      </c>
      <c r="C651" s="77" t="s">
        <v>2458</v>
      </c>
      <c r="D651" s="77" t="s">
        <v>635</v>
      </c>
      <c r="E651" s="77">
        <v>85281</v>
      </c>
      <c r="F651" s="77" t="s">
        <v>31</v>
      </c>
      <c r="G651" s="77" t="s">
        <v>2364</v>
      </c>
      <c r="H651" s="77">
        <v>2874030000</v>
      </c>
      <c r="I651" s="77" t="s">
        <v>196</v>
      </c>
      <c r="J651" s="77" t="s">
        <v>37</v>
      </c>
      <c r="K651" s="77" t="s">
        <v>37</v>
      </c>
      <c r="L651" s="77" t="s">
        <v>2460</v>
      </c>
      <c r="M651" s="77" t="s">
        <v>37</v>
      </c>
      <c r="N651" s="77" t="s">
        <v>37</v>
      </c>
      <c r="O651" s="77" t="s">
        <v>38</v>
      </c>
      <c r="P651" s="77" t="s">
        <v>39</v>
      </c>
      <c r="Q651" s="76">
        <v>45964</v>
      </c>
      <c r="R651" s="77"/>
      <c r="S651" s="77"/>
      <c r="T651" s="77"/>
      <c r="U651" s="77"/>
      <c r="V651" s="78" t="s">
        <v>5432</v>
      </c>
      <c r="W651" s="79">
        <v>46046</v>
      </c>
      <c r="X651" s="78" t="s">
        <v>38</v>
      </c>
      <c r="Y651" s="78" t="s">
        <v>5442</v>
      </c>
      <c r="Z651" s="78"/>
      <c r="AA651">
        <f>IF(COUNTIF('Call Queue'!$H$6:$H$20,V651)&gt;0,0,IF(AND(ISNUMBER(N651),N651&gt;0),10000000+N651,IF(ISNUMBER(N651*1),IF(N651*1&gt;0,10000000+N651*1,0),0))+IF(ISNUMBER(SEARCH("(",L651)),1000000+IFERROR(VALUE(SUBSTITUTE(SUBSTITUTE(SUBSTITUTE(MID(L651,SEARCH("(",L651)+1,SEARCH(")",L651)-SEARCH("(",L651)-1),"$",""),",","")," ","")),0),0))</f>
        <v>0</v>
      </c>
    </row>
    <row r="652" spans="1:27">
      <c r="A652" s="76">
        <v>45906</v>
      </c>
      <c r="B652" s="77" t="s">
        <v>370</v>
      </c>
      <c r="C652" s="77" t="s">
        <v>768</v>
      </c>
      <c r="D652" s="77" t="s">
        <v>63</v>
      </c>
      <c r="E652" s="77">
        <v>85024</v>
      </c>
      <c r="F652" s="77" t="s">
        <v>2461</v>
      </c>
      <c r="G652" s="77" t="s">
        <v>2364</v>
      </c>
      <c r="H652" s="77">
        <v>6154479450</v>
      </c>
      <c r="I652" s="77" t="s">
        <v>57</v>
      </c>
      <c r="J652" s="77" t="s">
        <v>37</v>
      </c>
      <c r="K652" s="77" t="s">
        <v>37</v>
      </c>
      <c r="L652" s="77" t="s">
        <v>2463</v>
      </c>
      <c r="M652" s="77" t="s">
        <v>37</v>
      </c>
      <c r="N652" s="77" t="s">
        <v>37</v>
      </c>
      <c r="O652" s="77" t="s">
        <v>38</v>
      </c>
      <c r="P652" s="77" t="s">
        <v>39</v>
      </c>
      <c r="Q652" s="76">
        <v>45964</v>
      </c>
      <c r="R652" s="77" t="s">
        <v>2464</v>
      </c>
      <c r="S652" s="77"/>
      <c r="T652" s="77"/>
      <c r="U652" s="77"/>
      <c r="V652" s="78" t="s">
        <v>5432</v>
      </c>
      <c r="W652" s="79">
        <v>46046</v>
      </c>
      <c r="X652" s="78" t="s">
        <v>37</v>
      </c>
      <c r="Y652" s="78" t="s">
        <v>5442</v>
      </c>
      <c r="Z652" s="78" t="s">
        <v>5570</v>
      </c>
      <c r="AA652">
        <f>IF(COUNTIF('Call Queue'!$H$6:$H$20,V652)&gt;0,0,IF(AND(ISNUMBER(N652),N652&gt;0),10000000+N652,IF(ISNUMBER(N652*1),IF(N652*1&gt;0,10000000+N652*1,0),0))+IF(ISNUMBER(SEARCH("(",L652)),1000000+IFERROR(VALUE(SUBSTITUTE(SUBSTITUTE(SUBSTITUTE(MID(L652,SEARCH("(",L652)+1,SEARCH(")",L652)-SEARCH("(",L652)-1),"$",""),",","")," ","")),0),0))</f>
        <v>0</v>
      </c>
    </row>
    <row r="653" spans="1:27">
      <c r="A653" s="76">
        <v>45906</v>
      </c>
      <c r="B653" s="77" t="s">
        <v>2468</v>
      </c>
      <c r="C653" s="77" t="s">
        <v>481</v>
      </c>
      <c r="D653" s="77" t="s">
        <v>504</v>
      </c>
      <c r="E653" s="77">
        <v>86005</v>
      </c>
      <c r="F653" s="77" t="s">
        <v>310</v>
      </c>
      <c r="G653" s="77" t="s">
        <v>2364</v>
      </c>
      <c r="H653" s="77">
        <v>4789087884</v>
      </c>
      <c r="I653" s="77" t="s">
        <v>73</v>
      </c>
      <c r="J653" s="77" t="s">
        <v>37</v>
      </c>
      <c r="K653" s="77" t="s">
        <v>37</v>
      </c>
      <c r="L653" s="77" t="s">
        <v>38</v>
      </c>
      <c r="M653" s="77" t="s">
        <v>37</v>
      </c>
      <c r="N653" s="77" t="s">
        <v>37</v>
      </c>
      <c r="O653" s="77" t="s">
        <v>38</v>
      </c>
      <c r="P653" s="77" t="s">
        <v>39</v>
      </c>
      <c r="Q653" s="76">
        <v>45964</v>
      </c>
      <c r="R653" s="77"/>
      <c r="S653" s="77"/>
      <c r="T653" s="77"/>
      <c r="U653" s="77"/>
      <c r="V653" s="78"/>
      <c r="W653" s="79"/>
      <c r="X653" s="78"/>
      <c r="Y653" s="78"/>
      <c r="Z653" s="78"/>
      <c r="AA653">
        <f>IF(COUNTIF('Call Queue'!$H$6:$H$20,V653)&gt;0,0,IF(AND(ISNUMBER(N653),N653&gt;0),10000000+N653,IF(ISNUMBER(N653*1),IF(N653*1&gt;0,10000000+N653*1,0),0))+IF(ISNUMBER(SEARCH("(",L653)),1000000+IFERROR(VALUE(SUBSTITUTE(SUBSTITUTE(SUBSTITUTE(MID(L653,SEARCH("(",L653)+1,SEARCH(")",L653)-SEARCH("(",L653)-1),"$",""),",","")," ","")),0),0))</f>
        <v>0</v>
      </c>
    </row>
    <row r="654" spans="1:27">
      <c r="A654" s="76">
        <v>45906</v>
      </c>
      <c r="B654" s="77" t="s">
        <v>262</v>
      </c>
      <c r="C654" s="77" t="s">
        <v>658</v>
      </c>
      <c r="D654" s="77" t="s">
        <v>63</v>
      </c>
      <c r="E654" s="77">
        <v>85028</v>
      </c>
      <c r="F654" s="77" t="s">
        <v>310</v>
      </c>
      <c r="G654" s="77" t="s">
        <v>2364</v>
      </c>
      <c r="H654" s="77">
        <v>9045311000</v>
      </c>
      <c r="I654" s="77" t="s">
        <v>46</v>
      </c>
      <c r="J654" s="77" t="s">
        <v>37</v>
      </c>
      <c r="K654" s="77" t="s">
        <v>37</v>
      </c>
      <c r="L654" s="77" t="s">
        <v>38</v>
      </c>
      <c r="M654" s="77" t="s">
        <v>37</v>
      </c>
      <c r="N654" s="77" t="s">
        <v>37</v>
      </c>
      <c r="O654" s="77" t="s">
        <v>38</v>
      </c>
      <c r="P654" s="77" t="s">
        <v>39</v>
      </c>
      <c r="Q654" s="76">
        <v>45964</v>
      </c>
      <c r="R654" s="77"/>
      <c r="S654" s="77"/>
      <c r="T654" s="77"/>
      <c r="U654" s="77"/>
      <c r="V654" s="78"/>
      <c r="W654" s="79"/>
      <c r="X654" s="78"/>
      <c r="Y654" s="78"/>
      <c r="Z654" s="78"/>
      <c r="AA654">
        <f>IF(COUNTIF('Call Queue'!$H$6:$H$20,V654)&gt;0,0,IF(AND(ISNUMBER(N654),N654&gt;0),10000000+N654,IF(ISNUMBER(N654*1),IF(N654*1&gt;0,10000000+N654*1,0),0))+IF(ISNUMBER(SEARCH("(",L654)),1000000+IFERROR(VALUE(SUBSTITUTE(SUBSTITUTE(SUBSTITUTE(MID(L654,SEARCH("(",L654)+1,SEARCH(")",L654)-SEARCH("(",L654)-1),"$",""),",","")," ","")),0),0))</f>
        <v>0</v>
      </c>
    </row>
    <row r="655" spans="1:27">
      <c r="A655" s="76">
        <v>45906</v>
      </c>
      <c r="B655" s="77" t="s">
        <v>2471</v>
      </c>
      <c r="C655" s="77" t="s">
        <v>376</v>
      </c>
      <c r="D655" s="77" t="s">
        <v>68</v>
      </c>
      <c r="E655" s="77">
        <v>85331</v>
      </c>
      <c r="F655" s="77" t="s">
        <v>310</v>
      </c>
      <c r="G655" s="77" t="s">
        <v>2364</v>
      </c>
      <c r="H655" s="77">
        <v>9336980000</v>
      </c>
      <c r="I655" s="77" t="s">
        <v>196</v>
      </c>
      <c r="J655" s="77" t="s">
        <v>37</v>
      </c>
      <c r="K655" s="77" t="s">
        <v>37</v>
      </c>
      <c r="L655" s="77" t="s">
        <v>2473</v>
      </c>
      <c r="M655" s="77" t="s">
        <v>37</v>
      </c>
      <c r="N655" s="77" t="s">
        <v>37</v>
      </c>
      <c r="O655" s="77" t="s">
        <v>38</v>
      </c>
      <c r="P655" s="77">
        <v>45939</v>
      </c>
      <c r="Q655" s="76">
        <v>45964</v>
      </c>
      <c r="R655" s="77" t="s">
        <v>2474</v>
      </c>
      <c r="S655" s="77"/>
      <c r="T655" s="77"/>
      <c r="U655" s="77"/>
      <c r="V655" s="78" t="s">
        <v>5432</v>
      </c>
      <c r="W655" s="79">
        <v>46046</v>
      </c>
      <c r="X655" s="78" t="s">
        <v>37</v>
      </c>
      <c r="Y655" s="78"/>
      <c r="Z655" s="78" t="s">
        <v>5558</v>
      </c>
      <c r="AA655">
        <f>IF(COUNTIF('Call Queue'!$H$6:$H$20,V655)&gt;0,0,IF(AND(ISNUMBER(N655),N655&gt;0),10000000+N655,IF(ISNUMBER(N655*1),IF(N655*1&gt;0,10000000+N655*1,0),0))+IF(ISNUMBER(SEARCH("(",L655)),1000000+IFERROR(VALUE(SUBSTITUTE(SUBSTITUTE(SUBSTITUTE(MID(L655,SEARCH("(",L655)+1,SEARCH(")",L655)-SEARCH("(",L655)-1),"$",""),",","")," ","")),0),0))</f>
        <v>0</v>
      </c>
    </row>
    <row r="656" spans="1:27">
      <c r="A656" s="76">
        <v>45906</v>
      </c>
      <c r="B656" s="77" t="s">
        <v>2475</v>
      </c>
      <c r="C656" s="77" t="s">
        <v>2476</v>
      </c>
      <c r="D656" s="77" t="s">
        <v>63</v>
      </c>
      <c r="E656" s="77">
        <v>85032</v>
      </c>
      <c r="F656" s="77" t="s">
        <v>310</v>
      </c>
      <c r="G656" s="77" t="s">
        <v>2364</v>
      </c>
      <c r="H656" s="77">
        <v>4051995898</v>
      </c>
      <c r="I656" s="77" t="s">
        <v>418</v>
      </c>
      <c r="J656" s="77" t="s">
        <v>37</v>
      </c>
      <c r="K656" s="77" t="s">
        <v>37</v>
      </c>
      <c r="L656" s="77" t="s">
        <v>389</v>
      </c>
      <c r="M656" s="77" t="s">
        <v>37</v>
      </c>
      <c r="N656" s="77" t="s">
        <v>37</v>
      </c>
      <c r="O656" s="77" t="s">
        <v>38</v>
      </c>
      <c r="P656" s="77" t="s">
        <v>39</v>
      </c>
      <c r="Q656" s="76">
        <v>45964</v>
      </c>
      <c r="R656" s="77"/>
      <c r="S656" s="77"/>
      <c r="T656" s="77"/>
      <c r="U656" s="77"/>
      <c r="V656" s="78"/>
      <c r="W656" s="79"/>
      <c r="X656" s="78"/>
      <c r="Y656" s="78"/>
      <c r="Z656" s="78"/>
      <c r="AA656">
        <f>IF(COUNTIF('Call Queue'!$H$6:$H$20,V656)&gt;0,0,IF(AND(ISNUMBER(N656),N656&gt;0),10000000+N656,IF(ISNUMBER(N656*1),IF(N656*1&gt;0,10000000+N656*1,0),0))+IF(ISNUMBER(SEARCH("(",L656)),1000000+IFERROR(VALUE(SUBSTITUTE(SUBSTITUTE(SUBSTITUTE(MID(L656,SEARCH("(",L656)+1,SEARCH(")",L656)-SEARCH("(",L656)-1),"$",""),",","")," ","")),0),0))</f>
        <v>0</v>
      </c>
    </row>
    <row r="657" spans="1:27">
      <c r="A657" s="76">
        <v>45906</v>
      </c>
      <c r="B657" s="77" t="s">
        <v>657</v>
      </c>
      <c r="C657" s="77" t="s">
        <v>2478</v>
      </c>
      <c r="D657" s="77" t="s">
        <v>129</v>
      </c>
      <c r="E657" s="77">
        <v>85234</v>
      </c>
      <c r="F657" s="77" t="s">
        <v>31</v>
      </c>
      <c r="G657" s="77" t="s">
        <v>2364</v>
      </c>
      <c r="H657" s="77">
        <v>1333897739</v>
      </c>
      <c r="I657" s="77" t="s">
        <v>126</v>
      </c>
      <c r="J657" s="77" t="s">
        <v>37</v>
      </c>
      <c r="K657" s="77" t="s">
        <v>37</v>
      </c>
      <c r="L657" s="77" t="s">
        <v>38</v>
      </c>
      <c r="M657" s="77" t="s">
        <v>37</v>
      </c>
      <c r="N657" s="77" t="s">
        <v>37</v>
      </c>
      <c r="O657" s="77" t="s">
        <v>38</v>
      </c>
      <c r="P657" s="77" t="s">
        <v>39</v>
      </c>
      <c r="Q657" s="76">
        <v>45964</v>
      </c>
      <c r="R657" s="77"/>
      <c r="S657" s="77"/>
      <c r="T657" s="77"/>
      <c r="U657" s="77"/>
      <c r="V657" s="78"/>
      <c r="W657" s="79"/>
      <c r="X657" s="78"/>
      <c r="Y657" s="78"/>
      <c r="Z657" s="78"/>
      <c r="AA657">
        <f>IF(COUNTIF('Call Queue'!$H$6:$H$20,V657)&gt;0,0,IF(AND(ISNUMBER(N657),N657&gt;0),10000000+N657,IF(ISNUMBER(N657*1),IF(N657*1&gt;0,10000000+N657*1,0),0))+IF(ISNUMBER(SEARCH("(",L657)),1000000+IFERROR(VALUE(SUBSTITUTE(SUBSTITUTE(SUBSTITUTE(MID(L657,SEARCH("(",L657)+1,SEARCH(")",L657)-SEARCH("(",L657)-1),"$",""),",","")," ","")),0),0))</f>
        <v>0</v>
      </c>
    </row>
    <row r="658" spans="1:27">
      <c r="A658" s="76">
        <v>45906</v>
      </c>
      <c r="B658" s="77" t="s">
        <v>2480</v>
      </c>
      <c r="C658" s="77" t="s">
        <v>363</v>
      </c>
      <c r="D658" s="77" t="s">
        <v>619</v>
      </c>
      <c r="E658" s="77">
        <v>85367</v>
      </c>
      <c r="F658" s="77" t="s">
        <v>31</v>
      </c>
      <c r="G658" s="77" t="s">
        <v>2364</v>
      </c>
      <c r="H658" s="77">
        <v>3727344076</v>
      </c>
      <c r="I658" s="77" t="s">
        <v>46</v>
      </c>
      <c r="J658" s="77" t="s">
        <v>37</v>
      </c>
      <c r="K658" s="77" t="s">
        <v>37</v>
      </c>
      <c r="L658" s="77" t="s">
        <v>38</v>
      </c>
      <c r="M658" s="77" t="s">
        <v>38</v>
      </c>
      <c r="N658" s="77">
        <v>122.88</v>
      </c>
      <c r="O658" s="77" t="s">
        <v>38</v>
      </c>
      <c r="P658" s="77" t="s">
        <v>39</v>
      </c>
      <c r="Q658" s="76">
        <v>45964</v>
      </c>
      <c r="R658" s="77"/>
      <c r="S658" s="77"/>
      <c r="T658" s="77"/>
      <c r="U658" s="77"/>
      <c r="V658" s="78" t="s">
        <v>5432</v>
      </c>
      <c r="W658" s="79">
        <v>46046</v>
      </c>
      <c r="X658" s="78" t="s">
        <v>37</v>
      </c>
      <c r="Y658" s="78" t="s">
        <v>5442</v>
      </c>
      <c r="Z658" s="78"/>
      <c r="AA658">
        <f>IF(COUNTIF('Call Queue'!$H$6:$H$20,V658)&gt;0,0,IF(AND(ISNUMBER(N658),N658&gt;0),10000000+N658,IF(ISNUMBER(N658*1),IF(N658*1&gt;0,10000000+N658*1,0),0))+IF(ISNUMBER(SEARCH("(",L658)),1000000+IFERROR(VALUE(SUBSTITUTE(SUBSTITUTE(SUBSTITUTE(MID(L658,SEARCH("(",L658)+1,SEARCH(")",L658)-SEARCH("(",L658)-1),"$",""),",","")," ","")),0),0))</f>
        <v>0</v>
      </c>
    </row>
    <row r="659" spans="1:27">
      <c r="A659" s="76">
        <v>45906</v>
      </c>
      <c r="B659" s="77" t="s">
        <v>2482</v>
      </c>
      <c r="C659" s="77" t="s">
        <v>62</v>
      </c>
      <c r="D659" s="77" t="s">
        <v>63</v>
      </c>
      <c r="E659" s="77">
        <v>85024</v>
      </c>
      <c r="F659" s="77" t="s">
        <v>2366</v>
      </c>
      <c r="G659" s="77" t="s">
        <v>2364</v>
      </c>
      <c r="H659" s="77">
        <v>8964410000</v>
      </c>
      <c r="I659" s="77" t="s">
        <v>36</v>
      </c>
      <c r="J659" s="77" t="s">
        <v>37</v>
      </c>
      <c r="K659" s="77" t="s">
        <v>37</v>
      </c>
      <c r="L659" s="77" t="s">
        <v>38</v>
      </c>
      <c r="M659" s="77" t="s">
        <v>37</v>
      </c>
      <c r="N659" s="77" t="s">
        <v>37</v>
      </c>
      <c r="O659" s="77" t="s">
        <v>38</v>
      </c>
      <c r="P659" s="77" t="s">
        <v>39</v>
      </c>
      <c r="Q659" s="76">
        <v>45964</v>
      </c>
      <c r="R659" s="77"/>
      <c r="S659" s="77"/>
      <c r="T659" s="77"/>
      <c r="U659" s="77"/>
      <c r="V659" s="78"/>
      <c r="W659" s="79"/>
      <c r="X659" s="78"/>
      <c r="Y659" s="78"/>
      <c r="Z659" s="78"/>
      <c r="AA659">
        <f>IF(COUNTIF('Call Queue'!$H$6:$H$20,V659)&gt;0,0,IF(AND(ISNUMBER(N659),N659&gt;0),10000000+N659,IF(ISNUMBER(N659*1),IF(N659*1&gt;0,10000000+N659*1,0),0))+IF(ISNUMBER(SEARCH("(",L659)),1000000+IFERROR(VALUE(SUBSTITUTE(SUBSTITUTE(SUBSTITUTE(MID(L659,SEARCH("(",L659)+1,SEARCH(")",L659)-SEARCH("(",L659)-1),"$",""),",","")," ","")),0),0))</f>
        <v>0</v>
      </c>
    </row>
    <row r="660" spans="1:27">
      <c r="A660" s="76">
        <v>45906</v>
      </c>
      <c r="B660" s="77" t="s">
        <v>2485</v>
      </c>
      <c r="C660" s="77" t="s">
        <v>757</v>
      </c>
      <c r="D660" s="77" t="s">
        <v>635</v>
      </c>
      <c r="E660" s="77">
        <v>85281</v>
      </c>
      <c r="F660" s="77" t="s">
        <v>310</v>
      </c>
      <c r="G660" s="77" t="s">
        <v>2364</v>
      </c>
      <c r="H660" s="77">
        <v>7013259359</v>
      </c>
      <c r="I660" s="77" t="s">
        <v>36</v>
      </c>
      <c r="J660" s="77" t="s">
        <v>37</v>
      </c>
      <c r="K660" s="77" t="s">
        <v>37</v>
      </c>
      <c r="L660" s="77" t="s">
        <v>38</v>
      </c>
      <c r="M660" s="77" t="s">
        <v>37</v>
      </c>
      <c r="N660" s="77" t="s">
        <v>37</v>
      </c>
      <c r="O660" s="77" t="s">
        <v>38</v>
      </c>
      <c r="P660" s="77" t="s">
        <v>39</v>
      </c>
      <c r="Q660" s="76">
        <v>45964</v>
      </c>
      <c r="R660" s="77"/>
      <c r="S660" s="77"/>
      <c r="T660" s="77"/>
      <c r="U660" s="77"/>
      <c r="V660" s="78"/>
      <c r="W660" s="79"/>
      <c r="X660" s="78"/>
      <c r="Y660" s="78"/>
      <c r="Z660" s="78"/>
      <c r="AA660">
        <f>IF(COUNTIF('Call Queue'!$H$6:$H$20,V660)&gt;0,0,IF(AND(ISNUMBER(N660),N660&gt;0),10000000+N660,IF(ISNUMBER(N660*1),IF(N660*1&gt;0,10000000+N660*1,0),0))+IF(ISNUMBER(SEARCH("(",L660)),1000000+IFERROR(VALUE(SUBSTITUTE(SUBSTITUTE(SUBSTITUTE(MID(L660,SEARCH("(",L660)+1,SEARCH(")",L660)-SEARCH("(",L660)-1),"$",""),",","")," ","")),0),0))</f>
        <v>0</v>
      </c>
    </row>
    <row r="661" spans="1:27">
      <c r="A661" s="76">
        <v>45906</v>
      </c>
      <c r="B661" s="77" t="s">
        <v>2488</v>
      </c>
      <c r="C661" s="77" t="s">
        <v>481</v>
      </c>
      <c r="D661" s="77" t="s">
        <v>63</v>
      </c>
      <c r="E661" s="77">
        <v>85004</v>
      </c>
      <c r="F661" s="77" t="s">
        <v>310</v>
      </c>
      <c r="G661" s="77" t="s">
        <v>2364</v>
      </c>
      <c r="H661" s="77">
        <v>7972989951</v>
      </c>
      <c r="I661" s="77" t="s">
        <v>126</v>
      </c>
      <c r="J661" s="77" t="s">
        <v>37</v>
      </c>
      <c r="K661" s="77" t="s">
        <v>37</v>
      </c>
      <c r="L661" s="77" t="s">
        <v>2490</v>
      </c>
      <c r="M661" s="77" t="s">
        <v>37</v>
      </c>
      <c r="N661" s="77" t="s">
        <v>37</v>
      </c>
      <c r="O661" s="77" t="s">
        <v>38</v>
      </c>
      <c r="P661" s="77" t="s">
        <v>39</v>
      </c>
      <c r="Q661" s="76">
        <v>45964</v>
      </c>
      <c r="R661" s="77"/>
      <c r="S661" s="77"/>
      <c r="T661" s="77"/>
      <c r="U661" s="77"/>
      <c r="V661" s="78" t="s">
        <v>5432</v>
      </c>
      <c r="W661" s="79">
        <v>46046</v>
      </c>
      <c r="X661" s="78" t="s">
        <v>37</v>
      </c>
      <c r="Y661" s="78" t="s">
        <v>5442</v>
      </c>
      <c r="Z661" s="78"/>
      <c r="AA661">
        <f>IF(COUNTIF('Call Queue'!$H$6:$H$20,V661)&gt;0,0,IF(AND(ISNUMBER(N661),N661&gt;0),10000000+N661,IF(ISNUMBER(N661*1),IF(N661*1&gt;0,10000000+N661*1,0),0))+IF(ISNUMBER(SEARCH("(",L661)),1000000+IFERROR(VALUE(SUBSTITUTE(SUBSTITUTE(SUBSTITUTE(MID(L661,SEARCH("(",L661)+1,SEARCH(")",L661)-SEARCH("(",L661)-1),"$",""),",","")," ","")),0),0))</f>
        <v>0</v>
      </c>
    </row>
    <row r="662" spans="1:27">
      <c r="A662" s="76">
        <v>45906</v>
      </c>
      <c r="B662" s="77" t="s">
        <v>2491</v>
      </c>
      <c r="C662" s="77" t="s">
        <v>2492</v>
      </c>
      <c r="D662" s="77" t="s">
        <v>202</v>
      </c>
      <c r="E662" s="77">
        <v>85382</v>
      </c>
      <c r="F662" s="77" t="s">
        <v>310</v>
      </c>
      <c r="G662" s="77" t="s">
        <v>2364</v>
      </c>
      <c r="H662" s="77">
        <v>6898240000</v>
      </c>
      <c r="I662" s="77" t="s">
        <v>36</v>
      </c>
      <c r="J662" s="77" t="s">
        <v>37</v>
      </c>
      <c r="K662" s="77" t="s">
        <v>37</v>
      </c>
      <c r="L662" s="77" t="s">
        <v>38</v>
      </c>
      <c r="M662" s="77" t="s">
        <v>37</v>
      </c>
      <c r="N662" s="77" t="s">
        <v>37</v>
      </c>
      <c r="O662" s="77" t="s">
        <v>38</v>
      </c>
      <c r="P662" s="77" t="s">
        <v>39</v>
      </c>
      <c r="Q662" s="76">
        <v>45964</v>
      </c>
      <c r="R662" s="77"/>
      <c r="S662" s="77"/>
      <c r="T662" s="77"/>
      <c r="U662" s="77"/>
      <c r="V662" s="78"/>
      <c r="W662" s="79"/>
      <c r="X662" s="78"/>
      <c r="Y662" s="78"/>
      <c r="Z662" s="78"/>
      <c r="AA662">
        <f>IF(COUNTIF('Call Queue'!$H$6:$H$20,V662)&gt;0,0,IF(AND(ISNUMBER(N662),N662&gt;0),10000000+N662,IF(ISNUMBER(N662*1),IF(N662*1&gt;0,10000000+N662*1,0),0))+IF(ISNUMBER(SEARCH("(",L662)),1000000+IFERROR(VALUE(SUBSTITUTE(SUBSTITUTE(SUBSTITUTE(MID(L662,SEARCH("(",L662)+1,SEARCH(")",L662)-SEARCH("(",L662)-1),"$",""),",","")," ","")),0),0))</f>
        <v>0</v>
      </c>
    </row>
    <row r="663" spans="1:27">
      <c r="A663" s="76">
        <v>45906</v>
      </c>
      <c r="B663" s="77" t="s">
        <v>2494</v>
      </c>
      <c r="C663" s="77" t="s">
        <v>2495</v>
      </c>
      <c r="D663" s="77" t="s">
        <v>63</v>
      </c>
      <c r="E663" s="77">
        <v>85014</v>
      </c>
      <c r="F663" s="77" t="s">
        <v>310</v>
      </c>
      <c r="G663" s="77" t="s">
        <v>2364</v>
      </c>
      <c r="H663" s="77">
        <v>6154174693</v>
      </c>
      <c r="I663" s="77" t="s">
        <v>196</v>
      </c>
      <c r="J663" s="77" t="s">
        <v>37</v>
      </c>
      <c r="K663" s="77" t="s">
        <v>37</v>
      </c>
      <c r="L663" s="77" t="s">
        <v>2497</v>
      </c>
      <c r="M663" s="77" t="s">
        <v>37</v>
      </c>
      <c r="N663" s="77" t="s">
        <v>37</v>
      </c>
      <c r="O663" s="77" t="s">
        <v>38</v>
      </c>
      <c r="P663" s="77" t="s">
        <v>39</v>
      </c>
      <c r="Q663" s="76">
        <v>45964</v>
      </c>
      <c r="R663" s="77"/>
      <c r="S663" s="77"/>
      <c r="T663" s="77"/>
      <c r="U663" s="77"/>
      <c r="V663" s="78" t="s">
        <v>5432</v>
      </c>
      <c r="W663" s="79">
        <v>46046</v>
      </c>
      <c r="X663" s="78" t="s">
        <v>38</v>
      </c>
      <c r="Y663" s="78" t="s">
        <v>5442</v>
      </c>
      <c r="Z663" s="78"/>
      <c r="AA663">
        <f>IF(COUNTIF('Call Queue'!$H$6:$H$20,V663)&gt;0,0,IF(AND(ISNUMBER(N663),N663&gt;0),10000000+N663,IF(ISNUMBER(N663*1),IF(N663*1&gt;0,10000000+N663*1,0),0))+IF(ISNUMBER(SEARCH("(",L663)),1000000+IFERROR(VALUE(SUBSTITUTE(SUBSTITUTE(SUBSTITUTE(MID(L663,SEARCH("(",L663)+1,SEARCH(")",L663)-SEARCH("(",L663)-1),"$",""),",","")," ","")),0),0))</f>
        <v>0</v>
      </c>
    </row>
    <row r="664" spans="1:27">
      <c r="A664" s="76">
        <v>45906</v>
      </c>
      <c r="B664" s="77" t="s">
        <v>2498</v>
      </c>
      <c r="C664" s="77" t="s">
        <v>2499</v>
      </c>
      <c r="D664" s="77" t="s">
        <v>202</v>
      </c>
      <c r="E664" s="77">
        <v>85383</v>
      </c>
      <c r="F664" s="77" t="s">
        <v>2500</v>
      </c>
      <c r="G664" s="77" t="s">
        <v>2364</v>
      </c>
      <c r="H664" s="77">
        <v>6531421867</v>
      </c>
      <c r="I664" s="77" t="s">
        <v>46</v>
      </c>
      <c r="J664" s="77" t="s">
        <v>37</v>
      </c>
      <c r="K664" s="77" t="s">
        <v>37</v>
      </c>
      <c r="L664" s="77" t="s">
        <v>2502</v>
      </c>
      <c r="M664" s="77" t="s">
        <v>37</v>
      </c>
      <c r="N664" s="77" t="s">
        <v>37</v>
      </c>
      <c r="O664" s="77" t="s">
        <v>38</v>
      </c>
      <c r="P664" s="77">
        <v>45939</v>
      </c>
      <c r="Q664" s="76">
        <v>45964</v>
      </c>
      <c r="R664" s="77" t="s">
        <v>2503</v>
      </c>
      <c r="S664" s="77"/>
      <c r="T664" s="77"/>
      <c r="U664" s="77"/>
      <c r="V664" s="78" t="s">
        <v>5432</v>
      </c>
      <c r="W664" s="79">
        <v>46046</v>
      </c>
      <c r="X664" s="78" t="s">
        <v>38</v>
      </c>
      <c r="Y664" s="78" t="s">
        <v>5462</v>
      </c>
      <c r="Z664" s="78"/>
      <c r="AA664">
        <f>IF(COUNTIF('Call Queue'!$H$6:$H$20,V664)&gt;0,0,IF(AND(ISNUMBER(N664),N664&gt;0),10000000+N664,IF(ISNUMBER(N664*1),IF(N664*1&gt;0,10000000+N664*1,0),0))+IF(ISNUMBER(SEARCH("(",L664)),1000000+IFERROR(VALUE(SUBSTITUTE(SUBSTITUTE(SUBSTITUTE(MID(L664,SEARCH("(",L664)+1,SEARCH(")",L664)-SEARCH("(",L664)-1),"$",""),",","")," ","")),0),0))</f>
        <v>0</v>
      </c>
    </row>
    <row r="665" spans="1:27">
      <c r="A665" s="76">
        <v>45906</v>
      </c>
      <c r="B665" s="77" t="s">
        <v>2504</v>
      </c>
      <c r="C665" s="77" t="s">
        <v>2505</v>
      </c>
      <c r="D665" s="77" t="s">
        <v>68</v>
      </c>
      <c r="E665" s="77">
        <v>85331</v>
      </c>
      <c r="F665" s="77" t="s">
        <v>310</v>
      </c>
      <c r="G665" s="77" t="s">
        <v>2364</v>
      </c>
      <c r="H665" s="77">
        <v>1682180000</v>
      </c>
      <c r="I665" s="77" t="s">
        <v>196</v>
      </c>
      <c r="J665" s="77" t="s">
        <v>37</v>
      </c>
      <c r="K665" s="77" t="s">
        <v>37</v>
      </c>
      <c r="L665" s="77" t="s">
        <v>38</v>
      </c>
      <c r="M665" s="77" t="s">
        <v>37</v>
      </c>
      <c r="N665" s="77" t="s">
        <v>37</v>
      </c>
      <c r="O665" s="77" t="s">
        <v>38</v>
      </c>
      <c r="P665" s="77" t="s">
        <v>39</v>
      </c>
      <c r="Q665" s="76">
        <v>45964</v>
      </c>
      <c r="R665" s="77"/>
      <c r="S665" s="77"/>
      <c r="T665" s="77"/>
      <c r="U665" s="77"/>
      <c r="V665" s="78"/>
      <c r="W665" s="79"/>
      <c r="X665" s="78"/>
      <c r="Y665" s="78"/>
      <c r="Z665" s="78"/>
      <c r="AA665">
        <f>IF(COUNTIF('Call Queue'!$H$6:$H$20,V665)&gt;0,0,IF(AND(ISNUMBER(N665),N665&gt;0),10000000+N665,IF(ISNUMBER(N665*1),IF(N665*1&gt;0,10000000+N665*1,0),0))+IF(ISNUMBER(SEARCH("(",L665)),1000000+IFERROR(VALUE(SUBSTITUTE(SUBSTITUTE(SUBSTITUTE(MID(L665,SEARCH("(",L665)+1,SEARCH(")",L665)-SEARCH("(",L665)-1),"$",""),",","")," ","")),0),0))</f>
        <v>0</v>
      </c>
    </row>
    <row r="666" spans="1:27">
      <c r="A666" s="76">
        <v>45906</v>
      </c>
      <c r="B666" s="77" t="s">
        <v>2507</v>
      </c>
      <c r="C666" s="77" t="s">
        <v>67</v>
      </c>
      <c r="D666" s="77" t="s">
        <v>112</v>
      </c>
      <c r="E666" s="77">
        <v>85378</v>
      </c>
      <c r="F666" s="77" t="s">
        <v>741</v>
      </c>
      <c r="G666" s="77" t="s">
        <v>2364</v>
      </c>
      <c r="H666" s="77">
        <v>3126570303</v>
      </c>
      <c r="I666" s="77" t="s">
        <v>36</v>
      </c>
      <c r="J666" s="77" t="s">
        <v>37</v>
      </c>
      <c r="K666" s="77" t="s">
        <v>37</v>
      </c>
      <c r="L666" s="77" t="s">
        <v>38</v>
      </c>
      <c r="M666" s="77" t="s">
        <v>37</v>
      </c>
      <c r="N666" s="77" t="s">
        <v>37</v>
      </c>
      <c r="O666" s="77" t="s">
        <v>38</v>
      </c>
      <c r="P666" s="77" t="s">
        <v>39</v>
      </c>
      <c r="Q666" s="76">
        <v>45964</v>
      </c>
      <c r="R666" s="77" t="s">
        <v>2509</v>
      </c>
      <c r="S666" s="77"/>
      <c r="T666" s="77"/>
      <c r="U666" s="77"/>
      <c r="V666" s="78"/>
      <c r="W666" s="79"/>
      <c r="X666" s="78"/>
      <c r="Y666" s="78"/>
      <c r="Z666" s="78"/>
      <c r="AA666">
        <f>IF(COUNTIF('Call Queue'!$H$6:$H$20,V666)&gt;0,0,IF(AND(ISNUMBER(N666),N666&gt;0),10000000+N666,IF(ISNUMBER(N666*1),IF(N666*1&gt;0,10000000+N666*1,0),0))+IF(ISNUMBER(SEARCH("(",L666)),1000000+IFERROR(VALUE(SUBSTITUTE(SUBSTITUTE(SUBSTITUTE(MID(L666,SEARCH("(",L666)+1,SEARCH(")",L666)-SEARCH("(",L666)-1),"$",""),",","")," ","")),0),0))</f>
        <v>0</v>
      </c>
    </row>
    <row r="667" spans="1:27">
      <c r="A667" s="76">
        <v>45906</v>
      </c>
      <c r="B667" s="77" t="s">
        <v>2510</v>
      </c>
      <c r="C667" s="77" t="s">
        <v>363</v>
      </c>
      <c r="D667" s="77" t="s">
        <v>63</v>
      </c>
      <c r="E667" s="77">
        <v>85083</v>
      </c>
      <c r="F667" s="77" t="s">
        <v>31</v>
      </c>
      <c r="G667" s="77" t="s">
        <v>2364</v>
      </c>
      <c r="H667" s="77">
        <v>5236586269</v>
      </c>
      <c r="I667" s="77" t="s">
        <v>36</v>
      </c>
      <c r="J667" s="77" t="s">
        <v>37</v>
      </c>
      <c r="K667" s="77" t="s">
        <v>37</v>
      </c>
      <c r="L667" s="77" t="s">
        <v>38</v>
      </c>
      <c r="M667" s="77" t="s">
        <v>37</v>
      </c>
      <c r="N667" s="77" t="s">
        <v>37</v>
      </c>
      <c r="O667" s="77" t="s">
        <v>38</v>
      </c>
      <c r="P667" s="77" t="s">
        <v>39</v>
      </c>
      <c r="Q667" s="76">
        <v>45964</v>
      </c>
      <c r="R667" s="77"/>
      <c r="S667" s="77"/>
      <c r="T667" s="77"/>
      <c r="U667" s="77"/>
      <c r="V667" s="78"/>
      <c r="W667" s="79"/>
      <c r="X667" s="78"/>
      <c r="Y667" s="78"/>
      <c r="Z667" s="78"/>
      <c r="AA667">
        <f>IF(COUNTIF('Call Queue'!$H$6:$H$20,V667)&gt;0,0,IF(AND(ISNUMBER(N667),N667&gt;0),10000000+N667,IF(ISNUMBER(N667*1),IF(N667*1&gt;0,10000000+N667*1,0),0))+IF(ISNUMBER(SEARCH("(",L667)),1000000+IFERROR(VALUE(SUBSTITUTE(SUBSTITUTE(SUBSTITUTE(MID(L667,SEARCH("(",L667)+1,SEARCH(")",L667)-SEARCH("(",L667)-1),"$",""),",","")," ","")),0),0))</f>
        <v>0</v>
      </c>
    </row>
    <row r="668" spans="1:27">
      <c r="A668" s="76">
        <v>45906</v>
      </c>
      <c r="B668" s="77" t="s">
        <v>650</v>
      </c>
      <c r="C668" s="77" t="s">
        <v>1815</v>
      </c>
      <c r="D668" s="77" t="s">
        <v>125</v>
      </c>
      <c r="E668" s="77">
        <v>85260</v>
      </c>
      <c r="F668" s="77" t="s">
        <v>310</v>
      </c>
      <c r="G668" s="77" t="s">
        <v>2364</v>
      </c>
      <c r="H668" s="77">
        <v>6327806553</v>
      </c>
      <c r="I668" s="77" t="s">
        <v>73</v>
      </c>
      <c r="J668" s="77" t="s">
        <v>37</v>
      </c>
      <c r="K668" s="77" t="s">
        <v>37</v>
      </c>
      <c r="L668" s="77" t="s">
        <v>401</v>
      </c>
      <c r="M668" s="77" t="s">
        <v>37</v>
      </c>
      <c r="N668" s="77" t="s">
        <v>37</v>
      </c>
      <c r="O668" s="77" t="s">
        <v>38</v>
      </c>
      <c r="P668" s="77" t="s">
        <v>39</v>
      </c>
      <c r="Q668" s="76">
        <v>45964</v>
      </c>
      <c r="R668" s="77"/>
      <c r="S668" s="77"/>
      <c r="T668" s="77"/>
      <c r="U668" s="77"/>
      <c r="V668" s="78" t="s">
        <v>5432</v>
      </c>
      <c r="W668" s="79">
        <v>46060</v>
      </c>
      <c r="X668" s="78" t="s">
        <v>37</v>
      </c>
      <c r="Y668" s="78" t="s">
        <v>5442</v>
      </c>
      <c r="Z668" s="78"/>
      <c r="AA668">
        <f>IF(COUNTIF('Call Queue'!$H$6:$H$20,V668)&gt;0,0,IF(AND(ISNUMBER(N668),N668&gt;0),10000000+N668,IF(ISNUMBER(N668*1),IF(N668*1&gt;0,10000000+N668*1,0),0))+IF(ISNUMBER(SEARCH("(",L668)),1000000+IFERROR(VALUE(SUBSTITUTE(SUBSTITUTE(SUBSTITUTE(MID(L668,SEARCH("(",L668)+1,SEARCH(")",L668)-SEARCH("(",L668)-1),"$",""),",","")," ","")),0),0))</f>
        <v>0</v>
      </c>
    </row>
    <row r="669" spans="1:27">
      <c r="A669" s="76">
        <v>45906</v>
      </c>
      <c r="B669" s="77" t="s">
        <v>2514</v>
      </c>
      <c r="C669" s="77" t="s">
        <v>1876</v>
      </c>
      <c r="D669" s="77" t="s">
        <v>125</v>
      </c>
      <c r="E669" s="77">
        <v>85260</v>
      </c>
      <c r="F669" s="77" t="s">
        <v>31</v>
      </c>
      <c r="G669" s="77" t="s">
        <v>2364</v>
      </c>
      <c r="H669" s="77">
        <v>394780000</v>
      </c>
      <c r="I669" s="77" t="s">
        <v>36</v>
      </c>
      <c r="J669" s="77" t="s">
        <v>37</v>
      </c>
      <c r="K669" s="77" t="s">
        <v>37</v>
      </c>
      <c r="L669" s="77" t="s">
        <v>38</v>
      </c>
      <c r="M669" s="77" t="s">
        <v>37</v>
      </c>
      <c r="N669" s="77" t="s">
        <v>37</v>
      </c>
      <c r="O669" s="77" t="s">
        <v>38</v>
      </c>
      <c r="P669" s="77" t="s">
        <v>39</v>
      </c>
      <c r="Q669" s="76">
        <v>45964</v>
      </c>
      <c r="R669" s="77"/>
      <c r="S669" s="77"/>
      <c r="T669" s="77"/>
      <c r="U669" s="77"/>
      <c r="V669" s="78"/>
      <c r="W669" s="79"/>
      <c r="X669" s="78"/>
      <c r="Y669" s="78"/>
      <c r="Z669" s="78"/>
      <c r="AA669">
        <f>IF(COUNTIF('Call Queue'!$H$6:$H$20,V669)&gt;0,0,IF(AND(ISNUMBER(N669),N669&gt;0),10000000+N669,IF(ISNUMBER(N669*1),IF(N669*1&gt;0,10000000+N669*1,0),0))+IF(ISNUMBER(SEARCH("(",L669)),1000000+IFERROR(VALUE(SUBSTITUTE(SUBSTITUTE(SUBSTITUTE(MID(L669,SEARCH("(",L669)+1,SEARCH(")",L669)-SEARCH("(",L669)-1),"$",""),",","")," ","")),0),0))</f>
        <v>0</v>
      </c>
    </row>
    <row r="670" spans="1:27">
      <c r="A670" s="76">
        <v>45906</v>
      </c>
      <c r="B670" s="77" t="s">
        <v>2516</v>
      </c>
      <c r="C670" s="77" t="s">
        <v>1140</v>
      </c>
      <c r="D670" s="77" t="s">
        <v>125</v>
      </c>
      <c r="E670" s="77">
        <v>85260</v>
      </c>
      <c r="F670" s="77" t="s">
        <v>310</v>
      </c>
      <c r="G670" s="77" t="s">
        <v>2364</v>
      </c>
      <c r="H670" s="77">
        <v>5644842190</v>
      </c>
      <c r="I670" s="77" t="s">
        <v>126</v>
      </c>
      <c r="J670" s="77" t="s">
        <v>37</v>
      </c>
      <c r="K670" s="77" t="s">
        <v>37</v>
      </c>
      <c r="L670" s="77" t="s">
        <v>38</v>
      </c>
      <c r="M670" s="77" t="s">
        <v>37</v>
      </c>
      <c r="N670" s="77" t="s">
        <v>37</v>
      </c>
      <c r="O670" s="77" t="s">
        <v>38</v>
      </c>
      <c r="P670" s="77" t="s">
        <v>39</v>
      </c>
      <c r="Q670" s="76">
        <v>45964</v>
      </c>
      <c r="R670" s="77"/>
      <c r="S670" s="77"/>
      <c r="T670" s="77"/>
      <c r="U670" s="77"/>
      <c r="V670" s="78"/>
      <c r="W670" s="79"/>
      <c r="X670" s="78"/>
      <c r="Y670" s="78"/>
      <c r="Z670" s="78"/>
      <c r="AA670">
        <f>IF(COUNTIF('Call Queue'!$H$6:$H$20,V670)&gt;0,0,IF(AND(ISNUMBER(N670),N670&gt;0),10000000+N670,IF(ISNUMBER(N670*1),IF(N670*1&gt;0,10000000+N670*1,0),0))+IF(ISNUMBER(SEARCH("(",L670)),1000000+IFERROR(VALUE(SUBSTITUTE(SUBSTITUTE(SUBSTITUTE(MID(L670,SEARCH("(",L670)+1,SEARCH(")",L670)-SEARCH("(",L670)-1),"$",""),",","")," ","")),0),0))</f>
        <v>0</v>
      </c>
    </row>
    <row r="671" spans="1:27">
      <c r="A671" s="76">
        <v>45906</v>
      </c>
      <c r="B671" s="77" t="s">
        <v>333</v>
      </c>
      <c r="C671" s="77" t="s">
        <v>145</v>
      </c>
      <c r="D671" s="77" t="s">
        <v>63</v>
      </c>
      <c r="E671" s="77">
        <v>85085</v>
      </c>
      <c r="F671" s="77" t="s">
        <v>2518</v>
      </c>
      <c r="G671" s="77" t="s">
        <v>2364</v>
      </c>
      <c r="H671" s="77">
        <v>3998480631</v>
      </c>
      <c r="I671" s="77" t="s">
        <v>36</v>
      </c>
      <c r="J671" s="77" t="s">
        <v>37</v>
      </c>
      <c r="K671" s="77" t="s">
        <v>37</v>
      </c>
      <c r="L671" s="77" t="s">
        <v>38</v>
      </c>
      <c r="M671" s="77" t="s">
        <v>37</v>
      </c>
      <c r="N671" s="77" t="s">
        <v>37</v>
      </c>
      <c r="O671" s="77" t="s">
        <v>38</v>
      </c>
      <c r="P671" s="77" t="s">
        <v>39</v>
      </c>
      <c r="Q671" s="76">
        <v>45964</v>
      </c>
      <c r="R671" s="77"/>
      <c r="S671" s="77"/>
      <c r="T671" s="77"/>
      <c r="U671" s="77"/>
      <c r="V671" s="78"/>
      <c r="W671" s="79"/>
      <c r="X671" s="78"/>
      <c r="Y671" s="78"/>
      <c r="Z671" s="78"/>
      <c r="AA671">
        <f>IF(COUNTIF('Call Queue'!$H$6:$H$20,V671)&gt;0,0,IF(AND(ISNUMBER(N671),N671&gt;0),10000000+N671,IF(ISNUMBER(N671*1),IF(N671*1&gt;0,10000000+N671*1,0),0))+IF(ISNUMBER(SEARCH("(",L671)),1000000+IFERROR(VALUE(SUBSTITUTE(SUBSTITUTE(SUBSTITUTE(MID(L671,SEARCH("(",L671)+1,SEARCH(")",L671)-SEARCH("(",L671)-1),"$",""),",","")," ","")),0),0))</f>
        <v>0</v>
      </c>
    </row>
    <row r="672" spans="1:27">
      <c r="A672" s="76">
        <v>45906</v>
      </c>
      <c r="B672" s="77" t="s">
        <v>2523</v>
      </c>
      <c r="C672" s="77" t="s">
        <v>760</v>
      </c>
      <c r="D672" s="77" t="s">
        <v>2524</v>
      </c>
      <c r="E672" s="77">
        <v>85122</v>
      </c>
      <c r="F672" s="77" t="s">
        <v>2525</v>
      </c>
      <c r="G672" s="77" t="s">
        <v>2364</v>
      </c>
      <c r="H672" s="77">
        <v>947452464</v>
      </c>
      <c r="I672" s="77" t="s">
        <v>36</v>
      </c>
      <c r="J672" s="77" t="s">
        <v>37</v>
      </c>
      <c r="K672" s="77" t="s">
        <v>37</v>
      </c>
      <c r="L672" s="77" t="s">
        <v>38</v>
      </c>
      <c r="M672" s="77" t="s">
        <v>37</v>
      </c>
      <c r="N672" s="77" t="s">
        <v>37</v>
      </c>
      <c r="O672" s="77" t="s">
        <v>38</v>
      </c>
      <c r="P672" s="77" t="s">
        <v>39</v>
      </c>
      <c r="Q672" s="76">
        <v>45964</v>
      </c>
      <c r="R672" s="77"/>
      <c r="S672" s="77"/>
      <c r="T672" s="77"/>
      <c r="U672" s="77"/>
      <c r="V672" s="78"/>
      <c r="W672" s="79"/>
      <c r="X672" s="78"/>
      <c r="Y672" s="78"/>
      <c r="Z672" s="78"/>
      <c r="AA672">
        <f>IF(COUNTIF('Call Queue'!$H$6:$H$20,V672)&gt;0,0,IF(AND(ISNUMBER(N672),N672&gt;0),10000000+N672,IF(ISNUMBER(N672*1),IF(N672*1&gt;0,10000000+N672*1,0),0))+IF(ISNUMBER(SEARCH("(",L672)),1000000+IFERROR(VALUE(SUBSTITUTE(SUBSTITUTE(SUBSTITUTE(MID(L672,SEARCH("(",L672)+1,SEARCH(")",L672)-SEARCH("(",L672)-1),"$",""),",","")," ","")),0),0))</f>
        <v>0</v>
      </c>
    </row>
    <row r="673" spans="1:27">
      <c r="A673" s="76">
        <v>45906</v>
      </c>
      <c r="B673" s="77" t="s">
        <v>2527</v>
      </c>
      <c r="C673" s="77" t="s">
        <v>2528</v>
      </c>
      <c r="D673" s="77" t="s">
        <v>202</v>
      </c>
      <c r="E673" s="77">
        <v>85383</v>
      </c>
      <c r="F673" s="77" t="s">
        <v>310</v>
      </c>
      <c r="G673" s="77" t="s">
        <v>2364</v>
      </c>
      <c r="H673" s="77">
        <v>7400931000</v>
      </c>
      <c r="I673" s="77" t="s">
        <v>57</v>
      </c>
      <c r="J673" s="77" t="s">
        <v>37</v>
      </c>
      <c r="K673" s="77" t="s">
        <v>37</v>
      </c>
      <c r="L673" s="77" t="s">
        <v>2530</v>
      </c>
      <c r="M673" s="77" t="s">
        <v>37</v>
      </c>
      <c r="N673" s="77" t="s">
        <v>37</v>
      </c>
      <c r="O673" s="77" t="s">
        <v>38</v>
      </c>
      <c r="P673" s="77">
        <v>45939</v>
      </c>
      <c r="Q673" s="76">
        <v>45964</v>
      </c>
      <c r="R673" s="77" t="s">
        <v>2474</v>
      </c>
      <c r="S673" s="77"/>
      <c r="T673" s="77"/>
      <c r="U673" s="77"/>
      <c r="V673" s="78" t="s">
        <v>5432</v>
      </c>
      <c r="W673" s="79">
        <v>46039</v>
      </c>
      <c r="X673" s="78" t="s">
        <v>38</v>
      </c>
      <c r="Y673" s="78"/>
      <c r="Z673" s="78"/>
      <c r="AA673">
        <f>IF(COUNTIF('Call Queue'!$H$6:$H$20,V673)&gt;0,0,IF(AND(ISNUMBER(N673),N673&gt;0),10000000+N673,IF(ISNUMBER(N673*1),IF(N673*1&gt;0,10000000+N673*1,0),0))+IF(ISNUMBER(SEARCH("(",L673)),1000000+IFERROR(VALUE(SUBSTITUTE(SUBSTITUTE(SUBSTITUTE(MID(L673,SEARCH("(",L673)+1,SEARCH(")",L673)-SEARCH("(",L673)-1),"$",""),",","")," ","")),0),0))</f>
        <v>0</v>
      </c>
    </row>
    <row r="674" spans="1:27">
      <c r="A674" s="76">
        <v>45906</v>
      </c>
      <c r="B674" s="77" t="s">
        <v>2531</v>
      </c>
      <c r="C674" s="77" t="s">
        <v>529</v>
      </c>
      <c r="D674" s="77" t="s">
        <v>24</v>
      </c>
      <c r="E674" s="77">
        <v>85307</v>
      </c>
      <c r="F674" s="77" t="s">
        <v>2532</v>
      </c>
      <c r="G674" s="77" t="s">
        <v>2364</v>
      </c>
      <c r="H674" s="77">
        <v>5160556053</v>
      </c>
      <c r="I674" s="77" t="s">
        <v>46</v>
      </c>
      <c r="J674" s="77" t="s">
        <v>37</v>
      </c>
      <c r="K674" s="77" t="s">
        <v>37</v>
      </c>
      <c r="L674" s="77" t="s">
        <v>38</v>
      </c>
      <c r="M674" s="77" t="s">
        <v>37</v>
      </c>
      <c r="N674" s="77" t="s">
        <v>37</v>
      </c>
      <c r="O674" s="77" t="s">
        <v>38</v>
      </c>
      <c r="P674" s="77" t="s">
        <v>39</v>
      </c>
      <c r="Q674" s="76">
        <v>45964</v>
      </c>
      <c r="R674" s="77"/>
      <c r="S674" s="77"/>
      <c r="T674" s="77"/>
      <c r="U674" s="77"/>
      <c r="V674" s="78"/>
      <c r="W674" s="79"/>
      <c r="X674" s="78"/>
      <c r="Y674" s="78"/>
      <c r="Z674" s="78"/>
      <c r="AA674">
        <f>IF(COUNTIF('Call Queue'!$H$6:$H$20,V674)&gt;0,0,IF(AND(ISNUMBER(N674),N674&gt;0),10000000+N674,IF(ISNUMBER(N674*1),IF(N674*1&gt;0,10000000+N674*1,0),0))+IF(ISNUMBER(SEARCH("(",L674)),1000000+IFERROR(VALUE(SUBSTITUTE(SUBSTITUTE(SUBSTITUTE(MID(L674,SEARCH("(",L674)+1,SEARCH(")",L674)-SEARCH("(",L674)-1),"$",""),",","")," ","")),0),0))</f>
        <v>0</v>
      </c>
    </row>
    <row r="675" spans="1:27">
      <c r="A675" s="76">
        <v>45906</v>
      </c>
      <c r="B675" s="77" t="s">
        <v>2534</v>
      </c>
      <c r="C675" s="77" t="s">
        <v>177</v>
      </c>
      <c r="D675" s="77" t="s">
        <v>63</v>
      </c>
      <c r="E675" s="77">
        <v>85053</v>
      </c>
      <c r="F675" s="77" t="s">
        <v>310</v>
      </c>
      <c r="G675" s="77" t="s">
        <v>2364</v>
      </c>
      <c r="H675" s="77">
        <v>3520685256</v>
      </c>
      <c r="I675" s="77" t="s">
        <v>36</v>
      </c>
      <c r="J675" s="77" t="s">
        <v>37</v>
      </c>
      <c r="K675" s="77" t="s">
        <v>37</v>
      </c>
      <c r="L675" s="77" t="s">
        <v>38</v>
      </c>
      <c r="M675" s="77" t="s">
        <v>37</v>
      </c>
      <c r="N675" s="77" t="s">
        <v>37</v>
      </c>
      <c r="O675" s="77" t="s">
        <v>38</v>
      </c>
      <c r="P675" s="77" t="s">
        <v>39</v>
      </c>
      <c r="Q675" s="76">
        <v>45964</v>
      </c>
      <c r="R675" s="77"/>
      <c r="S675" s="77"/>
      <c r="T675" s="77"/>
      <c r="U675" s="77"/>
      <c r="V675" s="78"/>
      <c r="W675" s="79"/>
      <c r="X675" s="78"/>
      <c r="Y675" s="78"/>
      <c r="Z675" s="78"/>
      <c r="AA675">
        <f>IF(COUNTIF('Call Queue'!$H$6:$H$20,V675)&gt;0,0,IF(AND(ISNUMBER(N675),N675&gt;0),10000000+N675,IF(ISNUMBER(N675*1),IF(N675*1&gt;0,10000000+N675*1,0),0))+IF(ISNUMBER(SEARCH("(",L675)),1000000+IFERROR(VALUE(SUBSTITUTE(SUBSTITUTE(SUBSTITUTE(MID(L675,SEARCH("(",L675)+1,SEARCH(")",L675)-SEARCH("(",L675)-1),"$",""),",","")," ","")),0),0))</f>
        <v>0</v>
      </c>
    </row>
    <row r="676" spans="1:27">
      <c r="A676" s="76">
        <v>45906</v>
      </c>
      <c r="B676" s="77" t="s">
        <v>2536</v>
      </c>
      <c r="C676" s="77" t="s">
        <v>135</v>
      </c>
      <c r="D676" s="77" t="s">
        <v>89</v>
      </c>
      <c r="E676" s="77">
        <v>86336</v>
      </c>
      <c r="F676" s="77" t="s">
        <v>2129</v>
      </c>
      <c r="G676" s="77" t="s">
        <v>2364</v>
      </c>
      <c r="H676" s="77">
        <v>3812550000</v>
      </c>
      <c r="I676" s="77" t="s">
        <v>243</v>
      </c>
      <c r="J676" s="77" t="s">
        <v>37</v>
      </c>
      <c r="K676" s="77" t="s">
        <v>37</v>
      </c>
      <c r="L676" s="77" t="s">
        <v>389</v>
      </c>
      <c r="M676" s="77" t="s">
        <v>37</v>
      </c>
      <c r="N676" s="77" t="s">
        <v>37</v>
      </c>
      <c r="O676" s="77" t="s">
        <v>38</v>
      </c>
      <c r="P676" s="77" t="s">
        <v>39</v>
      </c>
      <c r="Q676" s="76">
        <v>45964</v>
      </c>
      <c r="R676" s="77"/>
      <c r="S676" s="77"/>
      <c r="T676" s="77"/>
      <c r="U676" s="77"/>
      <c r="V676" s="78"/>
      <c r="W676" s="79"/>
      <c r="X676" s="78"/>
      <c r="Y676" s="78"/>
      <c r="Z676" s="78"/>
      <c r="AA676">
        <f>IF(COUNTIF('Call Queue'!$H$6:$H$20,V676)&gt;0,0,IF(AND(ISNUMBER(N676),N676&gt;0),10000000+N676,IF(ISNUMBER(N676*1),IF(N676*1&gt;0,10000000+N676*1,0),0))+IF(ISNUMBER(SEARCH("(",L676)),1000000+IFERROR(VALUE(SUBSTITUTE(SUBSTITUTE(SUBSTITUTE(MID(L676,SEARCH("(",L676)+1,SEARCH(")",L676)-SEARCH("(",L676)-1),"$",""),",","")," ","")),0),0))</f>
        <v>0</v>
      </c>
    </row>
    <row r="677" spans="1:27">
      <c r="A677" s="76">
        <v>45906</v>
      </c>
      <c r="B677" s="77" t="s">
        <v>2538</v>
      </c>
      <c r="C677" s="77" t="s">
        <v>2144</v>
      </c>
      <c r="D677" s="77" t="s">
        <v>63</v>
      </c>
      <c r="E677" s="77">
        <v>85012</v>
      </c>
      <c r="F677" s="77" t="s">
        <v>310</v>
      </c>
      <c r="G677" s="77" t="s">
        <v>2364</v>
      </c>
      <c r="H677" s="77">
        <v>2822550977</v>
      </c>
      <c r="I677" s="77" t="s">
        <v>36</v>
      </c>
      <c r="J677" s="77" t="s">
        <v>37</v>
      </c>
      <c r="K677" s="77" t="s">
        <v>37</v>
      </c>
      <c r="L677" s="77" t="s">
        <v>401</v>
      </c>
      <c r="M677" s="77" t="s">
        <v>37</v>
      </c>
      <c r="N677" s="77" t="s">
        <v>37</v>
      </c>
      <c r="O677" s="77" t="s">
        <v>38</v>
      </c>
      <c r="P677" s="77" t="s">
        <v>39</v>
      </c>
      <c r="Q677" s="76">
        <v>45964</v>
      </c>
      <c r="R677" s="77"/>
      <c r="S677" s="77"/>
      <c r="T677" s="77"/>
      <c r="U677" s="77"/>
      <c r="V677" s="78" t="s">
        <v>5432</v>
      </c>
      <c r="W677" s="79">
        <v>46060</v>
      </c>
      <c r="X677" s="78" t="s">
        <v>38</v>
      </c>
      <c r="Y677" s="78"/>
      <c r="Z677" s="78" t="s">
        <v>5458</v>
      </c>
      <c r="AA677">
        <f>IF(COUNTIF('Call Queue'!$H$6:$H$20,V677)&gt;0,0,IF(AND(ISNUMBER(N677),N677&gt;0),10000000+N677,IF(ISNUMBER(N677*1),IF(N677*1&gt;0,10000000+N677*1,0),0))+IF(ISNUMBER(SEARCH("(",L677)),1000000+IFERROR(VALUE(SUBSTITUTE(SUBSTITUTE(SUBSTITUTE(MID(L677,SEARCH("(",L677)+1,SEARCH(")",L677)-SEARCH("(",L677)-1),"$",""),",","")," ","")),0),0))</f>
        <v>0</v>
      </c>
    </row>
    <row r="678" spans="1:27">
      <c r="A678" s="76">
        <v>45906</v>
      </c>
      <c r="B678" s="77" t="s">
        <v>2540</v>
      </c>
      <c r="C678" s="77" t="s">
        <v>2541</v>
      </c>
      <c r="D678" s="77" t="s">
        <v>2542</v>
      </c>
      <c r="E678" s="77">
        <v>86325</v>
      </c>
      <c r="F678" s="77" t="s">
        <v>2543</v>
      </c>
      <c r="G678" s="77" t="s">
        <v>2364</v>
      </c>
      <c r="H678" s="77">
        <v>6238293189</v>
      </c>
      <c r="I678" s="77" t="s">
        <v>73</v>
      </c>
      <c r="J678" s="77" t="s">
        <v>37</v>
      </c>
      <c r="K678" s="77" t="s">
        <v>37</v>
      </c>
      <c r="L678" s="77" t="s">
        <v>38</v>
      </c>
      <c r="M678" s="77" t="s">
        <v>37</v>
      </c>
      <c r="N678" s="77" t="s">
        <v>37</v>
      </c>
      <c r="O678" s="77" t="s">
        <v>38</v>
      </c>
      <c r="P678" s="77" t="s">
        <v>39</v>
      </c>
      <c r="Q678" s="76">
        <v>45964</v>
      </c>
      <c r="R678" s="77"/>
      <c r="S678" s="77"/>
      <c r="T678" s="77"/>
      <c r="U678" s="77"/>
      <c r="V678" s="78"/>
      <c r="W678" s="79"/>
      <c r="X678" s="78"/>
      <c r="Y678" s="78"/>
      <c r="Z678" s="78"/>
      <c r="AA678">
        <f>IF(COUNTIF('Call Queue'!$H$6:$H$20,V678)&gt;0,0,IF(AND(ISNUMBER(N678),N678&gt;0),10000000+N678,IF(ISNUMBER(N678*1),IF(N678*1&gt;0,10000000+N678*1,0),0))+IF(ISNUMBER(SEARCH("(",L678)),1000000+IFERROR(VALUE(SUBSTITUTE(SUBSTITUTE(SUBSTITUTE(MID(L678,SEARCH("(",L678)+1,SEARCH(")",L678)-SEARCH("(",L678)-1),"$",""),",","")," ","")),0),0))</f>
        <v>0</v>
      </c>
    </row>
    <row r="679" spans="1:27">
      <c r="A679" s="76">
        <v>45906</v>
      </c>
      <c r="B679" s="77" t="s">
        <v>2545</v>
      </c>
      <c r="C679" s="77" t="s">
        <v>543</v>
      </c>
      <c r="D679" s="77" t="s">
        <v>63</v>
      </c>
      <c r="E679" s="77">
        <v>85003</v>
      </c>
      <c r="F679" s="77" t="s">
        <v>310</v>
      </c>
      <c r="G679" s="77" t="s">
        <v>2364</v>
      </c>
      <c r="H679" s="77">
        <v>2037614704</v>
      </c>
      <c r="I679" s="77" t="s">
        <v>73</v>
      </c>
      <c r="J679" s="77" t="s">
        <v>37</v>
      </c>
      <c r="K679" s="77" t="s">
        <v>37</v>
      </c>
      <c r="L679" s="77" t="s">
        <v>38</v>
      </c>
      <c r="M679" s="77" t="s">
        <v>37</v>
      </c>
      <c r="N679" s="77" t="s">
        <v>37</v>
      </c>
      <c r="O679" s="77" t="s">
        <v>38</v>
      </c>
      <c r="P679" s="77" t="s">
        <v>39</v>
      </c>
      <c r="Q679" s="76">
        <v>45964</v>
      </c>
      <c r="R679" s="77"/>
      <c r="S679" s="77"/>
      <c r="T679" s="77"/>
      <c r="U679" s="77"/>
      <c r="V679" s="78"/>
      <c r="W679" s="79"/>
      <c r="X679" s="78"/>
      <c r="Y679" s="78"/>
      <c r="Z679" s="78"/>
      <c r="AA679">
        <f>IF(COUNTIF('Call Queue'!$H$6:$H$20,V679)&gt;0,0,IF(AND(ISNUMBER(N679),N679&gt;0),10000000+N679,IF(ISNUMBER(N679*1),IF(N679*1&gt;0,10000000+N679*1,0),0))+IF(ISNUMBER(SEARCH("(",L679)),1000000+IFERROR(VALUE(SUBSTITUTE(SUBSTITUTE(SUBSTITUTE(MID(L679,SEARCH("(",L679)+1,SEARCH(")",L679)-SEARCH("(",L679)-1),"$",""),",","")," ","")),0),0))</f>
        <v>0</v>
      </c>
    </row>
    <row r="680" spans="1:27">
      <c r="A680" s="76">
        <v>45906</v>
      </c>
      <c r="B680" s="77" t="s">
        <v>2547</v>
      </c>
      <c r="C680" s="77" t="s">
        <v>611</v>
      </c>
      <c r="D680" s="77" t="s">
        <v>202</v>
      </c>
      <c r="E680" s="77">
        <v>85383</v>
      </c>
      <c r="F680" s="77" t="s">
        <v>2548</v>
      </c>
      <c r="G680" s="77" t="s">
        <v>2364</v>
      </c>
      <c r="H680" s="77">
        <v>5486441000</v>
      </c>
      <c r="I680" s="77" t="s">
        <v>418</v>
      </c>
      <c r="J680" s="77" t="s">
        <v>38</v>
      </c>
      <c r="K680" s="77" t="s">
        <v>37</v>
      </c>
      <c r="L680" s="77" t="s">
        <v>389</v>
      </c>
      <c r="M680" s="77" t="s">
        <v>37</v>
      </c>
      <c r="N680" s="77" t="s">
        <v>37</v>
      </c>
      <c r="O680" s="77" t="s">
        <v>38</v>
      </c>
      <c r="P680" s="77" t="s">
        <v>39</v>
      </c>
      <c r="Q680" s="76">
        <v>45964</v>
      </c>
      <c r="R680" s="77"/>
      <c r="S680" s="77"/>
      <c r="T680" s="77"/>
      <c r="U680" s="77"/>
      <c r="V680" s="78"/>
      <c r="W680" s="79"/>
      <c r="X680" s="78"/>
      <c r="Y680" s="78"/>
      <c r="Z680" s="78"/>
      <c r="AA680">
        <f>IF(COUNTIF('Call Queue'!$H$6:$H$20,V680)&gt;0,0,IF(AND(ISNUMBER(N680),N680&gt;0),10000000+N680,IF(ISNUMBER(N680*1),IF(N680*1&gt;0,10000000+N680*1,0),0))+IF(ISNUMBER(SEARCH("(",L680)),1000000+IFERROR(VALUE(SUBSTITUTE(SUBSTITUTE(SUBSTITUTE(MID(L680,SEARCH("(",L680)+1,SEARCH(")",L680)-SEARCH("(",L680)-1),"$",""),",","")," ","")),0),0))</f>
        <v>0</v>
      </c>
    </row>
    <row r="681" spans="1:27">
      <c r="A681" s="76">
        <v>45906</v>
      </c>
      <c r="B681" s="77" t="s">
        <v>2550</v>
      </c>
      <c r="C681" s="77" t="s">
        <v>2551</v>
      </c>
      <c r="D681" s="77" t="s">
        <v>169</v>
      </c>
      <c r="E681" s="77">
        <v>85338</v>
      </c>
      <c r="F681" s="77" t="s">
        <v>31</v>
      </c>
      <c r="G681" s="77" t="s">
        <v>2364</v>
      </c>
      <c r="H681" s="77">
        <v>3615886354</v>
      </c>
      <c r="I681" s="77" t="s">
        <v>36</v>
      </c>
      <c r="J681" s="77" t="s">
        <v>37</v>
      </c>
      <c r="K681" s="77" t="s">
        <v>37</v>
      </c>
      <c r="L681" s="77" t="s">
        <v>38</v>
      </c>
      <c r="M681" s="77" t="s">
        <v>37</v>
      </c>
      <c r="N681" s="77" t="s">
        <v>37</v>
      </c>
      <c r="O681" s="77" t="s">
        <v>38</v>
      </c>
      <c r="P681" s="77" t="s">
        <v>39</v>
      </c>
      <c r="Q681" s="76">
        <v>45964</v>
      </c>
      <c r="R681" s="77"/>
      <c r="S681" s="77"/>
      <c r="T681" s="77"/>
      <c r="U681" s="77"/>
      <c r="V681" s="78"/>
      <c r="W681" s="79"/>
      <c r="X681" s="78"/>
      <c r="Y681" s="78"/>
      <c r="Z681" s="78"/>
      <c r="AA681">
        <f>IF(COUNTIF('Call Queue'!$H$6:$H$20,V681)&gt;0,0,IF(AND(ISNUMBER(N681),N681&gt;0),10000000+N681,IF(ISNUMBER(N681*1),IF(N681*1&gt;0,10000000+N681*1,0),0))+IF(ISNUMBER(SEARCH("(",L681)),1000000+IFERROR(VALUE(SUBSTITUTE(SUBSTITUTE(SUBSTITUTE(MID(L681,SEARCH("(",L681)+1,SEARCH(")",L681)-SEARCH("(",L681)-1),"$",""),",","")," ","")),0),0))</f>
        <v>0</v>
      </c>
    </row>
    <row r="682" spans="1:27">
      <c r="A682" s="76">
        <v>45906</v>
      </c>
      <c r="B682" s="77" t="s">
        <v>2553</v>
      </c>
      <c r="C682" s="77" t="s">
        <v>2554</v>
      </c>
      <c r="D682" s="77" t="s">
        <v>63</v>
      </c>
      <c r="E682" s="77">
        <v>85032</v>
      </c>
      <c r="F682" s="77" t="s">
        <v>310</v>
      </c>
      <c r="G682" s="77" t="s">
        <v>2364</v>
      </c>
      <c r="H682" s="77" t="s">
        <v>2555</v>
      </c>
      <c r="I682" s="77" t="s">
        <v>57</v>
      </c>
      <c r="J682" s="77" t="s">
        <v>37</v>
      </c>
      <c r="K682" s="77" t="s">
        <v>37</v>
      </c>
      <c r="L682" s="77" t="s">
        <v>2556</v>
      </c>
      <c r="M682" s="77" t="s">
        <v>37</v>
      </c>
      <c r="N682" s="77" t="s">
        <v>37</v>
      </c>
      <c r="O682" s="77" t="s">
        <v>38</v>
      </c>
      <c r="P682" s="77" t="s">
        <v>39</v>
      </c>
      <c r="Q682" s="76">
        <v>45964</v>
      </c>
      <c r="R682" s="77"/>
      <c r="S682" s="77"/>
      <c r="T682" s="77"/>
      <c r="U682" s="77"/>
      <c r="V682" s="78" t="s">
        <v>5432</v>
      </c>
      <c r="W682" s="79">
        <v>46039</v>
      </c>
      <c r="X682" s="78" t="s">
        <v>38</v>
      </c>
      <c r="Y682" s="78"/>
      <c r="Z682" s="78"/>
      <c r="AA682">
        <f>IF(COUNTIF('Call Queue'!$H$6:$H$20,V682)&gt;0,0,IF(AND(ISNUMBER(N682),N682&gt;0),10000000+N682,IF(ISNUMBER(N682*1),IF(N682*1&gt;0,10000000+N682*1,0),0))+IF(ISNUMBER(SEARCH("(",L682)),1000000+IFERROR(VALUE(SUBSTITUTE(SUBSTITUTE(SUBSTITUTE(MID(L682,SEARCH("(",L682)+1,SEARCH(")",L682)-SEARCH("(",L682)-1),"$",""),",","")," ","")),0),0))</f>
        <v>0</v>
      </c>
    </row>
    <row r="683" spans="1:27">
      <c r="A683" s="76">
        <v>45906</v>
      </c>
      <c r="B683" s="77" t="s">
        <v>2557</v>
      </c>
      <c r="C683" s="77" t="s">
        <v>2558</v>
      </c>
      <c r="D683" s="77" t="s">
        <v>63</v>
      </c>
      <c r="E683" s="77">
        <v>85014</v>
      </c>
      <c r="F683" s="77" t="s">
        <v>2559</v>
      </c>
      <c r="G683" s="77" t="s">
        <v>2364</v>
      </c>
      <c r="H683" s="77">
        <v>574011608</v>
      </c>
      <c r="I683" s="77" t="s">
        <v>73</v>
      </c>
      <c r="J683" s="77" t="s">
        <v>37</v>
      </c>
      <c r="K683" s="77" t="s">
        <v>37</v>
      </c>
      <c r="L683" s="77" t="s">
        <v>38</v>
      </c>
      <c r="M683" s="77" t="s">
        <v>37</v>
      </c>
      <c r="N683" s="77" t="s">
        <v>37</v>
      </c>
      <c r="O683" s="77" t="s">
        <v>38</v>
      </c>
      <c r="P683" s="77" t="s">
        <v>39</v>
      </c>
      <c r="Q683" s="76">
        <v>45964</v>
      </c>
      <c r="R683" s="77"/>
      <c r="S683" s="77"/>
      <c r="T683" s="77"/>
      <c r="U683" s="77"/>
      <c r="V683" s="78"/>
      <c r="W683" s="79"/>
      <c r="X683" s="78"/>
      <c r="Y683" s="78"/>
      <c r="Z683" s="78"/>
      <c r="AA683">
        <f>IF(COUNTIF('Call Queue'!$H$6:$H$20,V683)&gt;0,0,IF(AND(ISNUMBER(N683),N683&gt;0),10000000+N683,IF(ISNUMBER(N683*1),IF(N683*1&gt;0,10000000+N683*1,0),0))+IF(ISNUMBER(SEARCH("(",L683)),1000000+IFERROR(VALUE(SUBSTITUTE(SUBSTITUTE(SUBSTITUTE(MID(L683,SEARCH("(",L683)+1,SEARCH(")",L683)-SEARCH("(",L683)-1),"$",""),",","")," ","")),0),0))</f>
        <v>0</v>
      </c>
    </row>
    <row r="684" spans="1:27">
      <c r="A684" s="76">
        <v>45906</v>
      </c>
      <c r="B684" s="77" t="s">
        <v>2561</v>
      </c>
      <c r="C684" s="77" t="s">
        <v>2562</v>
      </c>
      <c r="D684" s="77" t="s">
        <v>112</v>
      </c>
      <c r="E684" s="77">
        <v>85388</v>
      </c>
      <c r="F684" s="77" t="s">
        <v>310</v>
      </c>
      <c r="G684" s="77" t="s">
        <v>2563</v>
      </c>
      <c r="H684" s="77">
        <v>2291912909</v>
      </c>
      <c r="I684" s="77" t="s">
        <v>46</v>
      </c>
      <c r="J684" s="77" t="s">
        <v>37</v>
      </c>
      <c r="K684" s="77" t="s">
        <v>37</v>
      </c>
      <c r="L684" s="77" t="s">
        <v>1586</v>
      </c>
      <c r="M684" s="77" t="s">
        <v>37</v>
      </c>
      <c r="N684" s="77" t="s">
        <v>37</v>
      </c>
      <c r="O684" s="77" t="s">
        <v>38</v>
      </c>
      <c r="P684" s="77" t="s">
        <v>39</v>
      </c>
      <c r="Q684" s="76">
        <v>45960</v>
      </c>
      <c r="R684" s="77" t="s">
        <v>2565</v>
      </c>
      <c r="S684" s="77"/>
      <c r="T684" s="77"/>
      <c r="U684" s="77"/>
      <c r="V684" s="78" t="s">
        <v>5432</v>
      </c>
      <c r="W684" s="79">
        <v>46074</v>
      </c>
      <c r="X684" s="78" t="s">
        <v>38</v>
      </c>
      <c r="Y684" s="78"/>
      <c r="Z684" s="78" t="s">
        <v>5458</v>
      </c>
      <c r="AA684">
        <f>IF(COUNTIF('Call Queue'!$H$6:$H$20,V684)&gt;0,0,IF(AND(ISNUMBER(N684),N684&gt;0),10000000+N684,IF(ISNUMBER(N684*1),IF(N684*1&gt;0,10000000+N684*1,0),0))+IF(ISNUMBER(SEARCH("(",L684)),1000000+IFERROR(VALUE(SUBSTITUTE(SUBSTITUTE(SUBSTITUTE(MID(L684,SEARCH("(",L684)+1,SEARCH(")",L684)-SEARCH("(",L684)-1),"$",""),",","")," ","")),0),0))</f>
        <v>0</v>
      </c>
    </row>
    <row r="685" spans="1:27">
      <c r="A685" s="76">
        <v>45906</v>
      </c>
      <c r="B685" s="77" t="s">
        <v>2568</v>
      </c>
      <c r="C685" s="77" t="s">
        <v>2569</v>
      </c>
      <c r="D685" s="77" t="s">
        <v>202</v>
      </c>
      <c r="E685" s="77">
        <v>85383</v>
      </c>
      <c r="F685" s="77" t="s">
        <v>25</v>
      </c>
      <c r="G685" s="77" t="s">
        <v>2364</v>
      </c>
      <c r="H685" s="77" t="s">
        <v>2570</v>
      </c>
      <c r="I685" s="77" t="s">
        <v>36</v>
      </c>
      <c r="J685" s="77" t="s">
        <v>37</v>
      </c>
      <c r="K685" s="77" t="s">
        <v>37</v>
      </c>
      <c r="L685" s="77" t="s">
        <v>38</v>
      </c>
      <c r="M685" s="77" t="s">
        <v>37</v>
      </c>
      <c r="N685" s="77" t="s">
        <v>37</v>
      </c>
      <c r="O685" s="77" t="s">
        <v>38</v>
      </c>
      <c r="P685" s="77" t="s">
        <v>39</v>
      </c>
      <c r="Q685" s="76">
        <v>45964</v>
      </c>
      <c r="R685" s="77"/>
      <c r="S685" s="77"/>
      <c r="T685" s="77"/>
      <c r="U685" s="77"/>
      <c r="V685" s="78"/>
      <c r="W685" s="79"/>
      <c r="X685" s="78"/>
      <c r="Y685" s="78"/>
      <c r="Z685" s="78"/>
      <c r="AA685">
        <f>IF(COUNTIF('Call Queue'!$H$6:$H$20,V685)&gt;0,0,IF(AND(ISNUMBER(N685),N685&gt;0),10000000+N685,IF(ISNUMBER(N685*1),IF(N685*1&gt;0,10000000+N685*1,0),0))+IF(ISNUMBER(SEARCH("(",L685)),1000000+IFERROR(VALUE(SUBSTITUTE(SUBSTITUTE(SUBSTITUTE(MID(L685,SEARCH("(",L685)+1,SEARCH(")",L685)-SEARCH("(",L685)-1),"$",""),",","")," ","")),0),0))</f>
        <v>0</v>
      </c>
    </row>
    <row r="686" spans="1:27">
      <c r="A686" s="76">
        <v>45907</v>
      </c>
      <c r="B686" s="77" t="s">
        <v>2571</v>
      </c>
      <c r="C686" s="77" t="s">
        <v>2572</v>
      </c>
      <c r="D686" s="77" t="s">
        <v>619</v>
      </c>
      <c r="E686" s="77">
        <v>85364</v>
      </c>
      <c r="F686" s="77" t="s">
        <v>310</v>
      </c>
      <c r="G686" s="77" t="s">
        <v>2364</v>
      </c>
      <c r="H686" s="77" t="s">
        <v>209</v>
      </c>
      <c r="I686" s="77"/>
      <c r="J686" s="77"/>
      <c r="K686" s="77"/>
      <c r="L686" s="77"/>
      <c r="M686" s="77"/>
      <c r="N686" s="77"/>
      <c r="O686" s="77"/>
      <c r="P686" s="77"/>
      <c r="Q686" s="76"/>
      <c r="R686" s="77"/>
      <c r="S686" s="77"/>
      <c r="T686" s="77"/>
      <c r="U686" s="77"/>
      <c r="V686" s="78"/>
      <c r="W686" s="79"/>
      <c r="X686" s="78"/>
      <c r="Y686" s="78"/>
      <c r="Z686" s="78"/>
      <c r="AA686">
        <f>IF(COUNTIF('Call Queue'!$H$6:$H$20,V686)&gt;0,0,IF(AND(ISNUMBER(N686),N686&gt;0),10000000+N686,IF(ISNUMBER(N686*1),IF(N686*1&gt;0,10000000+N686*1,0),0))+IF(ISNUMBER(SEARCH("(",L686)),1000000+IFERROR(VALUE(SUBSTITUTE(SUBSTITUTE(SUBSTITUTE(MID(L686,SEARCH("(",L686)+1,SEARCH(")",L686)-SEARCH("(",L686)-1),"$",""),",","")," ","")),0),0))</f>
        <v>0</v>
      </c>
    </row>
    <row r="687" spans="1:27">
      <c r="A687" s="76">
        <v>45907</v>
      </c>
      <c r="B687" s="77" t="s">
        <v>2573</v>
      </c>
      <c r="C687" s="77" t="s">
        <v>312</v>
      </c>
      <c r="D687" s="77" t="s">
        <v>125</v>
      </c>
      <c r="E687" s="77">
        <v>85254</v>
      </c>
      <c r="F687" s="77" t="s">
        <v>2574</v>
      </c>
      <c r="G687" s="77" t="s">
        <v>2364</v>
      </c>
      <c r="H687" s="77">
        <v>1637250000</v>
      </c>
      <c r="I687" s="77" t="s">
        <v>36</v>
      </c>
      <c r="J687" s="77" t="s">
        <v>37</v>
      </c>
      <c r="K687" s="77" t="s">
        <v>37</v>
      </c>
      <c r="L687" s="77" t="s">
        <v>38</v>
      </c>
      <c r="M687" s="77" t="s">
        <v>37</v>
      </c>
      <c r="N687" s="77" t="s">
        <v>37</v>
      </c>
      <c r="O687" s="77" t="s">
        <v>38</v>
      </c>
      <c r="P687" s="77" t="s">
        <v>39</v>
      </c>
      <c r="Q687" s="76">
        <v>45964</v>
      </c>
      <c r="R687" s="77"/>
      <c r="S687" s="77"/>
      <c r="T687" s="77"/>
      <c r="U687" s="77"/>
      <c r="V687" s="78"/>
      <c r="W687" s="79"/>
      <c r="X687" s="78"/>
      <c r="Y687" s="78"/>
      <c r="Z687" s="78"/>
      <c r="AA687">
        <f>IF(COUNTIF('Call Queue'!$H$6:$H$20,V687)&gt;0,0,IF(AND(ISNUMBER(N687),N687&gt;0),10000000+N687,IF(ISNUMBER(N687*1),IF(N687*1&gt;0,10000000+N687*1,0),0))+IF(ISNUMBER(SEARCH("(",L687)),1000000+IFERROR(VALUE(SUBSTITUTE(SUBSTITUTE(SUBSTITUTE(MID(L687,SEARCH("(",L687)+1,SEARCH(")",L687)-SEARCH("(",L687)-1),"$",""),",","")," ","")),0),0))</f>
        <v>0</v>
      </c>
    </row>
    <row r="688" spans="1:27">
      <c r="A688" s="76">
        <v>45907</v>
      </c>
      <c r="B688" s="77" t="s">
        <v>2576</v>
      </c>
      <c r="C688" s="77" t="s">
        <v>2577</v>
      </c>
      <c r="D688" s="77" t="s">
        <v>202</v>
      </c>
      <c r="E688" s="77">
        <v>85382</v>
      </c>
      <c r="F688" s="77" t="s">
        <v>310</v>
      </c>
      <c r="G688" s="77" t="s">
        <v>2364</v>
      </c>
      <c r="H688" s="77">
        <v>5245451000</v>
      </c>
      <c r="I688" s="77" t="s">
        <v>196</v>
      </c>
      <c r="J688" s="77" t="s">
        <v>37</v>
      </c>
      <c r="K688" s="77" t="s">
        <v>37</v>
      </c>
      <c r="L688" s="77" t="s">
        <v>2579</v>
      </c>
      <c r="M688" s="77" t="s">
        <v>37</v>
      </c>
      <c r="N688" s="77" t="s">
        <v>37</v>
      </c>
      <c r="O688" s="77" t="s">
        <v>38</v>
      </c>
      <c r="P688" s="77">
        <v>45939</v>
      </c>
      <c r="Q688" s="76">
        <v>45964</v>
      </c>
      <c r="R688" s="77" t="s">
        <v>2474</v>
      </c>
      <c r="S688" s="77"/>
      <c r="T688" s="77"/>
      <c r="U688" s="77"/>
      <c r="V688" s="78" t="s">
        <v>5432</v>
      </c>
      <c r="W688" s="79">
        <v>46039</v>
      </c>
      <c r="X688" s="78" t="s">
        <v>37</v>
      </c>
      <c r="Y688" s="78" t="s">
        <v>5442</v>
      </c>
      <c r="Z688" s="78" t="s">
        <v>5554</v>
      </c>
      <c r="AA688">
        <f>IF(COUNTIF('Call Queue'!$H$6:$H$20,V688)&gt;0,0,IF(AND(ISNUMBER(N688),N688&gt;0),10000000+N688,IF(ISNUMBER(N688*1),IF(N688*1&gt;0,10000000+N688*1,0),0))+IF(ISNUMBER(SEARCH("(",L688)),1000000+IFERROR(VALUE(SUBSTITUTE(SUBSTITUTE(SUBSTITUTE(MID(L688,SEARCH("(",L688)+1,SEARCH(")",L688)-SEARCH("(",L688)-1),"$",""),",","")," ","")),0),0))</f>
        <v>0</v>
      </c>
    </row>
    <row r="689" spans="1:27">
      <c r="A689" s="76">
        <v>45907</v>
      </c>
      <c r="B689" s="77" t="s">
        <v>2580</v>
      </c>
      <c r="C689" s="77" t="s">
        <v>962</v>
      </c>
      <c r="D689" s="77" t="s">
        <v>63</v>
      </c>
      <c r="E689" s="77">
        <v>85022</v>
      </c>
      <c r="F689" s="77" t="s">
        <v>2581</v>
      </c>
      <c r="G689" s="77" t="s">
        <v>2364</v>
      </c>
      <c r="H689" s="77">
        <v>3430450000</v>
      </c>
      <c r="I689" s="77" t="s">
        <v>36</v>
      </c>
      <c r="J689" s="77" t="s">
        <v>37</v>
      </c>
      <c r="K689" s="77" t="s">
        <v>37</v>
      </c>
      <c r="L689" s="77" t="s">
        <v>38</v>
      </c>
      <c r="M689" s="77" t="s">
        <v>37</v>
      </c>
      <c r="N689" s="77" t="s">
        <v>37</v>
      </c>
      <c r="O689" s="77" t="s">
        <v>38</v>
      </c>
      <c r="P689" s="77" t="s">
        <v>39</v>
      </c>
      <c r="Q689" s="76">
        <v>45964</v>
      </c>
      <c r="R689" s="77"/>
      <c r="S689" s="77"/>
      <c r="T689" s="77"/>
      <c r="U689" s="77"/>
      <c r="V689" s="78"/>
      <c r="W689" s="79"/>
      <c r="X689" s="78"/>
      <c r="Y689" s="78"/>
      <c r="Z689" s="78"/>
      <c r="AA689">
        <f>IF(COUNTIF('Call Queue'!$H$6:$H$20,V689)&gt;0,0,IF(AND(ISNUMBER(N689),N689&gt;0),10000000+N689,IF(ISNUMBER(N689*1),IF(N689*1&gt;0,10000000+N689*1,0),0))+IF(ISNUMBER(SEARCH("(",L689)),1000000+IFERROR(VALUE(SUBSTITUTE(SUBSTITUTE(SUBSTITUTE(MID(L689,SEARCH("(",L689)+1,SEARCH(")",L689)-SEARCH("(",L689)-1),"$",""),",","")," ","")),0),0))</f>
        <v>0</v>
      </c>
    </row>
    <row r="690" spans="1:27">
      <c r="A690" s="76">
        <v>45907</v>
      </c>
      <c r="B690" s="77" t="s">
        <v>2584</v>
      </c>
      <c r="C690" s="77" t="s">
        <v>359</v>
      </c>
      <c r="D690" s="77" t="s">
        <v>112</v>
      </c>
      <c r="E690" s="77">
        <v>85387</v>
      </c>
      <c r="F690" s="77" t="s">
        <v>310</v>
      </c>
      <c r="G690" s="77" t="s">
        <v>2364</v>
      </c>
      <c r="H690" s="77">
        <v>6046328982</v>
      </c>
      <c r="I690" s="77" t="s">
        <v>196</v>
      </c>
      <c r="J690" s="77" t="s">
        <v>37</v>
      </c>
      <c r="K690" s="77" t="s">
        <v>37</v>
      </c>
      <c r="L690" s="77" t="s">
        <v>38</v>
      </c>
      <c r="M690" s="77" t="s">
        <v>37</v>
      </c>
      <c r="N690" s="77" t="s">
        <v>37</v>
      </c>
      <c r="O690" s="77" t="s">
        <v>38</v>
      </c>
      <c r="P690" s="77" t="s">
        <v>39</v>
      </c>
      <c r="Q690" s="76">
        <v>45964</v>
      </c>
      <c r="R690" s="77"/>
      <c r="S690" s="77"/>
      <c r="T690" s="77"/>
      <c r="U690" s="77"/>
      <c r="V690" s="78"/>
      <c r="W690" s="79"/>
      <c r="X690" s="78"/>
      <c r="Y690" s="78"/>
      <c r="Z690" s="78"/>
      <c r="AA690">
        <f>IF(COUNTIF('Call Queue'!$H$6:$H$20,V690)&gt;0,0,IF(AND(ISNUMBER(N690),N690&gt;0),10000000+N690,IF(ISNUMBER(N690*1),IF(N690*1&gt;0,10000000+N690*1,0),0))+IF(ISNUMBER(SEARCH("(",L690)),1000000+IFERROR(VALUE(SUBSTITUTE(SUBSTITUTE(SUBSTITUTE(MID(L690,SEARCH("(",L690)+1,SEARCH(")",L690)-SEARCH("(",L690)-1),"$",""),",","")," ","")),0),0))</f>
        <v>0</v>
      </c>
    </row>
    <row r="691" spans="1:27">
      <c r="A691" s="76">
        <v>45907</v>
      </c>
      <c r="B691" s="77" t="s">
        <v>2586</v>
      </c>
      <c r="C691" s="77" t="s">
        <v>2587</v>
      </c>
      <c r="D691" s="77" t="s">
        <v>125</v>
      </c>
      <c r="E691" s="77">
        <v>85251</v>
      </c>
      <c r="F691" s="77" t="s">
        <v>2588</v>
      </c>
      <c r="G691" s="77" t="s">
        <v>2364</v>
      </c>
      <c r="H691" s="77" t="s">
        <v>2589</v>
      </c>
      <c r="I691" s="77" t="s">
        <v>73</v>
      </c>
      <c r="J691" s="77" t="s">
        <v>37</v>
      </c>
      <c r="K691" s="77" t="s">
        <v>37</v>
      </c>
      <c r="L691" s="77" t="s">
        <v>38</v>
      </c>
      <c r="M691" s="77" t="s">
        <v>37</v>
      </c>
      <c r="N691" s="77" t="s">
        <v>37</v>
      </c>
      <c r="O691" s="77" t="s">
        <v>38</v>
      </c>
      <c r="P691" s="77" t="s">
        <v>39</v>
      </c>
      <c r="Q691" s="76">
        <v>45964</v>
      </c>
      <c r="R691" s="77"/>
      <c r="S691" s="77"/>
      <c r="T691" s="77"/>
      <c r="U691" s="77"/>
      <c r="V691" s="78"/>
      <c r="W691" s="79"/>
      <c r="X691" s="78"/>
      <c r="Y691" s="78"/>
      <c r="Z691" s="78"/>
      <c r="AA691">
        <f>IF(COUNTIF('Call Queue'!$H$6:$H$20,V691)&gt;0,0,IF(AND(ISNUMBER(N691),N691&gt;0),10000000+N691,IF(ISNUMBER(N691*1),IF(N691*1&gt;0,10000000+N691*1,0),0))+IF(ISNUMBER(SEARCH("(",L691)),1000000+IFERROR(VALUE(SUBSTITUTE(SUBSTITUTE(SUBSTITUTE(MID(L691,SEARCH("(",L691)+1,SEARCH(")",L691)-SEARCH("(",L691)-1),"$",""),",","")," ","")),0),0))</f>
        <v>0</v>
      </c>
    </row>
    <row r="692" spans="1:27">
      <c r="A692" s="76">
        <v>45907</v>
      </c>
      <c r="B692" s="77" t="s">
        <v>2590</v>
      </c>
      <c r="C692" s="77" t="s">
        <v>1824</v>
      </c>
      <c r="D692" s="77" t="s">
        <v>112</v>
      </c>
      <c r="E692" s="77">
        <v>85379</v>
      </c>
      <c r="F692" s="77" t="s">
        <v>2591</v>
      </c>
      <c r="G692" s="77" t="s">
        <v>2364</v>
      </c>
      <c r="H692" s="77">
        <v>6846061000</v>
      </c>
      <c r="I692" s="77" t="s">
        <v>196</v>
      </c>
      <c r="J692" s="77" t="s">
        <v>37</v>
      </c>
      <c r="K692" s="77" t="s">
        <v>37</v>
      </c>
      <c r="L692" s="77" t="s">
        <v>2593</v>
      </c>
      <c r="M692" s="77" t="s">
        <v>38</v>
      </c>
      <c r="N692" s="77">
        <v>803.66</v>
      </c>
      <c r="O692" s="77" t="s">
        <v>38</v>
      </c>
      <c r="P692" s="77"/>
      <c r="Q692" s="76">
        <v>45964</v>
      </c>
      <c r="R692" s="77" t="s">
        <v>495</v>
      </c>
      <c r="S692" s="77"/>
      <c r="T692" s="77"/>
      <c r="U692" s="77"/>
      <c r="V692" s="78" t="s">
        <v>5432</v>
      </c>
      <c r="W692" s="79">
        <v>46039</v>
      </c>
      <c r="X692" s="78" t="s">
        <v>38</v>
      </c>
      <c r="Y692" s="78"/>
      <c r="Z692" s="78"/>
      <c r="AA692">
        <f>IF(COUNTIF('Call Queue'!$H$6:$H$20,V692)&gt;0,0,IF(AND(ISNUMBER(N692),N692&gt;0),10000000+N692,IF(ISNUMBER(N692*1),IF(N692*1&gt;0,10000000+N692*1,0),0))+IF(ISNUMBER(SEARCH("(",L692)),1000000+IFERROR(VALUE(SUBSTITUTE(SUBSTITUTE(SUBSTITUTE(MID(L692,SEARCH("(",L692)+1,SEARCH(")",L692)-SEARCH("(",L692)-1),"$",""),",","")," ","")),0),0))</f>
        <v>0</v>
      </c>
    </row>
    <row r="693" spans="1:27">
      <c r="A693" s="76">
        <v>45907</v>
      </c>
      <c r="B693" s="77" t="s">
        <v>2594</v>
      </c>
      <c r="C693" s="77" t="s">
        <v>2595</v>
      </c>
      <c r="D693" s="77" t="s">
        <v>659</v>
      </c>
      <c r="E693" s="77">
        <v>85350</v>
      </c>
      <c r="F693" s="77" t="s">
        <v>2596</v>
      </c>
      <c r="G693" s="77" t="s">
        <v>2364</v>
      </c>
      <c r="H693" s="77">
        <v>491835909</v>
      </c>
      <c r="I693" s="77" t="s">
        <v>36</v>
      </c>
      <c r="J693" s="77" t="s">
        <v>38</v>
      </c>
      <c r="K693" s="77" t="s">
        <v>37</v>
      </c>
      <c r="L693" s="77" t="s">
        <v>38</v>
      </c>
      <c r="M693" s="77" t="s">
        <v>38</v>
      </c>
      <c r="N693" s="77">
        <v>1530.91</v>
      </c>
      <c r="O693" s="77" t="s">
        <v>38</v>
      </c>
      <c r="P693" s="77"/>
      <c r="Q693" s="76">
        <v>45964</v>
      </c>
      <c r="R693" s="77" t="s">
        <v>495</v>
      </c>
      <c r="S693" s="77"/>
      <c r="T693" s="77"/>
      <c r="U693" s="77"/>
      <c r="V693" s="78" t="s">
        <v>5432</v>
      </c>
      <c r="W693" s="79">
        <v>46039</v>
      </c>
      <c r="X693" s="78" t="s">
        <v>38</v>
      </c>
      <c r="Y693" s="78"/>
      <c r="Z693" s="78"/>
      <c r="AA693">
        <f>IF(COUNTIF('Call Queue'!$H$6:$H$20,V693)&gt;0,0,IF(AND(ISNUMBER(N693),N693&gt;0),10000000+N693,IF(ISNUMBER(N693*1),IF(N693*1&gt;0,10000000+N693*1,0),0))+IF(ISNUMBER(SEARCH("(",L693)),1000000+IFERROR(VALUE(SUBSTITUTE(SUBSTITUTE(SUBSTITUTE(MID(L693,SEARCH("(",L693)+1,SEARCH(")",L693)-SEARCH("(",L693)-1),"$",""),",","")," ","")),0),0))</f>
        <v>0</v>
      </c>
    </row>
    <row r="694" spans="1:27">
      <c r="A694" s="76">
        <v>45907</v>
      </c>
      <c r="B694" s="77" t="s">
        <v>2600</v>
      </c>
      <c r="C694" s="77" t="s">
        <v>2601</v>
      </c>
      <c r="D694" s="77" t="s">
        <v>43</v>
      </c>
      <c r="E694" s="77">
        <v>85363</v>
      </c>
      <c r="F694" s="77" t="s">
        <v>310</v>
      </c>
      <c r="G694" s="77" t="s">
        <v>2364</v>
      </c>
      <c r="H694" s="77">
        <v>4757278626</v>
      </c>
      <c r="I694" s="77" t="s">
        <v>196</v>
      </c>
      <c r="J694" s="77" t="s">
        <v>37</v>
      </c>
      <c r="K694" s="77" t="s">
        <v>37</v>
      </c>
      <c r="L694" s="77" t="s">
        <v>2603</v>
      </c>
      <c r="M694" s="77" t="s">
        <v>37</v>
      </c>
      <c r="N694" s="77" t="s">
        <v>37</v>
      </c>
      <c r="O694" s="77" t="s">
        <v>38</v>
      </c>
      <c r="P694" s="77">
        <v>45964</v>
      </c>
      <c r="Q694" s="76">
        <v>45964</v>
      </c>
      <c r="R694" s="77" t="s">
        <v>2398</v>
      </c>
      <c r="S694" s="77"/>
      <c r="T694" s="77"/>
      <c r="U694" s="77"/>
      <c r="V694" s="78" t="s">
        <v>5432</v>
      </c>
      <c r="W694" s="79">
        <v>46039</v>
      </c>
      <c r="X694" s="78" t="s">
        <v>38</v>
      </c>
      <c r="Y694" s="78"/>
      <c r="Z694" s="78"/>
      <c r="AA694">
        <f>IF(COUNTIF('Call Queue'!$H$6:$H$20,V694)&gt;0,0,IF(AND(ISNUMBER(N694),N694&gt;0),10000000+N694,IF(ISNUMBER(N694*1),IF(N694*1&gt;0,10000000+N694*1,0),0))+IF(ISNUMBER(SEARCH("(",L694)),1000000+IFERROR(VALUE(SUBSTITUTE(SUBSTITUTE(SUBSTITUTE(MID(L694,SEARCH("(",L694)+1,SEARCH(")",L694)-SEARCH("(",L694)-1),"$",""),",","")," ","")),0),0))</f>
        <v>0</v>
      </c>
    </row>
    <row r="695" spans="1:27">
      <c r="A695" s="76">
        <v>45907</v>
      </c>
      <c r="B695" s="77" t="s">
        <v>2566</v>
      </c>
      <c r="C695" s="77" t="s">
        <v>2377</v>
      </c>
      <c r="D695" s="77" t="s">
        <v>698</v>
      </c>
      <c r="E695" s="77">
        <v>85376</v>
      </c>
      <c r="F695" s="77" t="s">
        <v>2604</v>
      </c>
      <c r="G695" s="77" t="s">
        <v>2364</v>
      </c>
      <c r="H695" s="77">
        <v>7619340000</v>
      </c>
      <c r="I695" s="77" t="s">
        <v>196</v>
      </c>
      <c r="J695" s="77" t="s">
        <v>37</v>
      </c>
      <c r="K695" s="77" t="s">
        <v>37</v>
      </c>
      <c r="L695" s="77" t="s">
        <v>2606</v>
      </c>
      <c r="M695" s="77" t="s">
        <v>37</v>
      </c>
      <c r="N695" s="77" t="s">
        <v>37</v>
      </c>
      <c r="O695" s="77" t="s">
        <v>38</v>
      </c>
      <c r="P695" s="77" t="s">
        <v>39</v>
      </c>
      <c r="Q695" s="76">
        <v>45964</v>
      </c>
      <c r="R695" s="77" t="s">
        <v>2607</v>
      </c>
      <c r="S695" s="77"/>
      <c r="T695" s="77"/>
      <c r="U695" s="77"/>
      <c r="V695" s="78" t="s">
        <v>5432</v>
      </c>
      <c r="W695" s="79">
        <v>46025</v>
      </c>
      <c r="X695" s="78" t="s">
        <v>37</v>
      </c>
      <c r="Y695" s="78"/>
      <c r="Z695" s="78" t="s">
        <v>5571</v>
      </c>
      <c r="AA695">
        <f>IF(COUNTIF('Call Queue'!$H$6:$H$20,V695)&gt;0,0,IF(AND(ISNUMBER(N695),N695&gt;0),10000000+N695,IF(ISNUMBER(N695*1),IF(N695*1&gt;0,10000000+N695*1,0),0))+IF(ISNUMBER(SEARCH("(",L695)),1000000+IFERROR(VALUE(SUBSTITUTE(SUBSTITUTE(SUBSTITUTE(MID(L695,SEARCH("(",L695)+1,SEARCH(")",L695)-SEARCH("(",L695)-1),"$",""),",","")," ","")),0),0))</f>
        <v>0</v>
      </c>
    </row>
    <row r="696" spans="1:27">
      <c r="A696" s="76">
        <v>45907</v>
      </c>
      <c r="B696" s="77" t="s">
        <v>2608</v>
      </c>
      <c r="C696" s="77" t="s">
        <v>2609</v>
      </c>
      <c r="D696" s="77" t="s">
        <v>63</v>
      </c>
      <c r="E696" s="77">
        <v>85024</v>
      </c>
      <c r="F696" s="77" t="s">
        <v>310</v>
      </c>
      <c r="G696" s="77" t="s">
        <v>2364</v>
      </c>
      <c r="H696" s="77">
        <v>5662251000</v>
      </c>
      <c r="I696" s="77" t="s">
        <v>57</v>
      </c>
      <c r="J696" s="77" t="s">
        <v>37</v>
      </c>
      <c r="K696" s="77" t="s">
        <v>37</v>
      </c>
      <c r="L696" s="77" t="s">
        <v>2611</v>
      </c>
      <c r="M696" s="77" t="s">
        <v>37</v>
      </c>
      <c r="N696" s="77" t="s">
        <v>37</v>
      </c>
      <c r="O696" s="77" t="s">
        <v>38</v>
      </c>
      <c r="P696" s="77">
        <v>45939</v>
      </c>
      <c r="Q696" s="76">
        <v>45964</v>
      </c>
      <c r="R696" s="77" t="s">
        <v>2474</v>
      </c>
      <c r="S696" s="77"/>
      <c r="T696" s="77"/>
      <c r="U696" s="77"/>
      <c r="V696" s="78" t="s">
        <v>5432</v>
      </c>
      <c r="W696" s="79">
        <v>46025</v>
      </c>
      <c r="X696" s="78" t="s">
        <v>37</v>
      </c>
      <c r="Y696" s="78"/>
      <c r="Z696" s="78" t="s">
        <v>5458</v>
      </c>
      <c r="AA696">
        <f>IF(COUNTIF('Call Queue'!$H$6:$H$20,V696)&gt;0,0,IF(AND(ISNUMBER(N696),N696&gt;0),10000000+N696,IF(ISNUMBER(N696*1),IF(N696*1&gt;0,10000000+N696*1,0),0))+IF(ISNUMBER(SEARCH("(",L696)),1000000+IFERROR(VALUE(SUBSTITUTE(SUBSTITUTE(SUBSTITUTE(MID(L696,SEARCH("(",L696)+1,SEARCH(")",L696)-SEARCH("(",L696)-1),"$",""),",","")," ","")),0),0))</f>
        <v>0</v>
      </c>
    </row>
    <row r="697" spans="1:27">
      <c r="A697" s="76">
        <v>45907</v>
      </c>
      <c r="B697" s="77" t="s">
        <v>2612</v>
      </c>
      <c r="C697" s="77" t="s">
        <v>471</v>
      </c>
      <c r="D697" s="77" t="s">
        <v>112</v>
      </c>
      <c r="E697" s="77">
        <v>85387</v>
      </c>
      <c r="F697" s="77" t="s">
        <v>2613</v>
      </c>
      <c r="G697" s="77" t="s">
        <v>2364</v>
      </c>
      <c r="H697" s="77">
        <v>7397370000</v>
      </c>
      <c r="I697" s="77" t="s">
        <v>196</v>
      </c>
      <c r="J697" s="77" t="s">
        <v>37</v>
      </c>
      <c r="K697" s="77" t="s">
        <v>37</v>
      </c>
      <c r="L697" s="77" t="s">
        <v>2615</v>
      </c>
      <c r="M697" s="77" t="s">
        <v>37</v>
      </c>
      <c r="N697" s="77" t="s">
        <v>37</v>
      </c>
      <c r="O697" s="77" t="s">
        <v>38</v>
      </c>
      <c r="P697" s="77" t="s">
        <v>39</v>
      </c>
      <c r="Q697" s="76">
        <v>45964</v>
      </c>
      <c r="R697" s="77" t="s">
        <v>2616</v>
      </c>
      <c r="S697" s="77"/>
      <c r="T697" s="77"/>
      <c r="U697" s="77"/>
      <c r="V697" s="78" t="s">
        <v>5432</v>
      </c>
      <c r="W697" s="79">
        <v>46025</v>
      </c>
      <c r="X697" s="78" t="s">
        <v>38</v>
      </c>
      <c r="Y697" s="78"/>
      <c r="Z697" s="78"/>
      <c r="AA697">
        <f>IF(COUNTIF('Call Queue'!$H$6:$H$20,V697)&gt;0,0,IF(AND(ISNUMBER(N697),N697&gt;0),10000000+N697,IF(ISNUMBER(N697*1),IF(N697*1&gt;0,10000000+N697*1,0),0))+IF(ISNUMBER(SEARCH("(",L697)),1000000+IFERROR(VALUE(SUBSTITUTE(SUBSTITUTE(SUBSTITUTE(MID(L697,SEARCH("(",L697)+1,SEARCH(")",L697)-SEARCH("(",L697)-1),"$",""),",","")," ","")),0),0))</f>
        <v>0</v>
      </c>
    </row>
    <row r="698" spans="1:27">
      <c r="A698" s="76">
        <v>45907</v>
      </c>
      <c r="B698" s="77" t="s">
        <v>2617</v>
      </c>
      <c r="C698" s="77" t="s">
        <v>1918</v>
      </c>
      <c r="D698" s="77" t="s">
        <v>63</v>
      </c>
      <c r="E698" s="77">
        <v>85032</v>
      </c>
      <c r="F698" s="77" t="s">
        <v>2618</v>
      </c>
      <c r="G698" s="77" t="s">
        <v>2364</v>
      </c>
      <c r="H698" s="77">
        <v>5744736365</v>
      </c>
      <c r="I698" s="77" t="s">
        <v>73</v>
      </c>
      <c r="J698" s="77" t="s">
        <v>37</v>
      </c>
      <c r="K698" s="77" t="s">
        <v>37</v>
      </c>
      <c r="L698" s="77" t="s">
        <v>38</v>
      </c>
      <c r="M698" s="77" t="s">
        <v>37</v>
      </c>
      <c r="N698" s="77" t="s">
        <v>37</v>
      </c>
      <c r="O698" s="77" t="s">
        <v>38</v>
      </c>
      <c r="P698" s="77" t="s">
        <v>39</v>
      </c>
      <c r="Q698" s="76">
        <v>45964</v>
      </c>
      <c r="R698" s="77" t="s">
        <v>2620</v>
      </c>
      <c r="S698" s="77"/>
      <c r="T698" s="77"/>
      <c r="U698" s="77"/>
      <c r="V698" s="78"/>
      <c r="W698" s="79"/>
      <c r="X698" s="78"/>
      <c r="Y698" s="78"/>
      <c r="Z698" s="78"/>
      <c r="AA698">
        <f>IF(COUNTIF('Call Queue'!$H$6:$H$20,V698)&gt;0,0,IF(AND(ISNUMBER(N698),N698&gt;0),10000000+N698,IF(ISNUMBER(N698*1),IF(N698*1&gt;0,10000000+N698*1,0),0))+IF(ISNUMBER(SEARCH("(",L698)),1000000+IFERROR(VALUE(SUBSTITUTE(SUBSTITUTE(SUBSTITUTE(MID(L698,SEARCH("(",L698)+1,SEARCH(")",L698)-SEARCH("(",L698)-1),"$",""),",","")," ","")),0),0))</f>
        <v>0</v>
      </c>
    </row>
    <row r="699" spans="1:27">
      <c r="A699" s="76">
        <v>45907</v>
      </c>
      <c r="B699" s="77" t="s">
        <v>1190</v>
      </c>
      <c r="C699" s="77" t="s">
        <v>312</v>
      </c>
      <c r="D699" s="77" t="s">
        <v>63</v>
      </c>
      <c r="E699" s="77">
        <v>85027</v>
      </c>
      <c r="F699" s="77" t="s">
        <v>812</v>
      </c>
      <c r="G699" s="77" t="s">
        <v>2364</v>
      </c>
      <c r="H699" s="77">
        <v>103650000</v>
      </c>
      <c r="I699" s="77" t="s">
        <v>36</v>
      </c>
      <c r="J699" s="77" t="s">
        <v>37</v>
      </c>
      <c r="K699" s="77" t="s">
        <v>37</v>
      </c>
      <c r="L699" s="77" t="s">
        <v>38</v>
      </c>
      <c r="M699" s="77" t="s">
        <v>37</v>
      </c>
      <c r="N699" s="77" t="s">
        <v>37</v>
      </c>
      <c r="O699" s="77" t="s">
        <v>38</v>
      </c>
      <c r="P699" s="77" t="s">
        <v>39</v>
      </c>
      <c r="Q699" s="76">
        <v>45964</v>
      </c>
      <c r="R699" s="77"/>
      <c r="S699" s="77"/>
      <c r="T699" s="77"/>
      <c r="U699" s="77"/>
      <c r="V699" s="78"/>
      <c r="W699" s="79"/>
      <c r="X699" s="78"/>
      <c r="Y699" s="78"/>
      <c r="Z699" s="78"/>
      <c r="AA699">
        <f>IF(COUNTIF('Call Queue'!$H$6:$H$20,V699)&gt;0,0,IF(AND(ISNUMBER(N699),N699&gt;0),10000000+N699,IF(ISNUMBER(N699*1),IF(N699*1&gt;0,10000000+N699*1,0),0))+IF(ISNUMBER(SEARCH("(",L699)),1000000+IFERROR(VALUE(SUBSTITUTE(SUBSTITUTE(SUBSTITUTE(MID(L699,SEARCH("(",L699)+1,SEARCH(")",L699)-SEARCH("(",L699)-1),"$",""),",","")," ","")),0),0))</f>
        <v>0</v>
      </c>
    </row>
    <row r="700" spans="1:27">
      <c r="A700" s="76">
        <v>45907</v>
      </c>
      <c r="B700" s="77" t="s">
        <v>2623</v>
      </c>
      <c r="C700" s="77" t="s">
        <v>1447</v>
      </c>
      <c r="D700" s="77" t="s">
        <v>63</v>
      </c>
      <c r="E700" s="77">
        <v>85008</v>
      </c>
      <c r="F700" s="77" t="s">
        <v>310</v>
      </c>
      <c r="G700" s="77" t="s">
        <v>2364</v>
      </c>
      <c r="H700" s="77">
        <v>5391718246</v>
      </c>
      <c r="I700" s="77" t="s">
        <v>126</v>
      </c>
      <c r="J700" s="77" t="s">
        <v>37</v>
      </c>
      <c r="K700" s="77" t="s">
        <v>37</v>
      </c>
      <c r="L700" s="77" t="s">
        <v>2625</v>
      </c>
      <c r="M700" s="77" t="s">
        <v>37</v>
      </c>
      <c r="N700" s="77" t="s">
        <v>37</v>
      </c>
      <c r="O700" s="77" t="s">
        <v>38</v>
      </c>
      <c r="P700" s="77" t="s">
        <v>39</v>
      </c>
      <c r="Q700" s="76">
        <v>45964</v>
      </c>
      <c r="R700" s="77"/>
      <c r="S700" s="77"/>
      <c r="T700" s="77"/>
      <c r="U700" s="77"/>
      <c r="V700" s="78" t="s">
        <v>5432</v>
      </c>
      <c r="W700" s="79">
        <v>46025</v>
      </c>
      <c r="X700" s="78" t="s">
        <v>37</v>
      </c>
      <c r="Y700" s="78" t="s">
        <v>5442</v>
      </c>
      <c r="Z700" s="78" t="s">
        <v>5572</v>
      </c>
      <c r="AA700">
        <f>IF(COUNTIF('Call Queue'!$H$6:$H$20,V700)&gt;0,0,IF(AND(ISNUMBER(N700),N700&gt;0),10000000+N700,IF(ISNUMBER(N700*1),IF(N700*1&gt;0,10000000+N700*1,0),0))+IF(ISNUMBER(SEARCH("(",L700)),1000000+IFERROR(VALUE(SUBSTITUTE(SUBSTITUTE(SUBSTITUTE(MID(L700,SEARCH("(",L700)+1,SEARCH(")",L700)-SEARCH("(",L700)-1),"$",""),",","")," ","")),0),0))</f>
        <v>0</v>
      </c>
    </row>
    <row r="701" spans="1:27">
      <c r="A701" s="76">
        <v>45907</v>
      </c>
      <c r="B701" s="77" t="s">
        <v>2626</v>
      </c>
      <c r="C701" s="77" t="s">
        <v>427</v>
      </c>
      <c r="D701" s="77" t="s">
        <v>112</v>
      </c>
      <c r="E701" s="77">
        <v>85379</v>
      </c>
      <c r="F701" s="77" t="s">
        <v>2414</v>
      </c>
      <c r="G701" s="77" t="s">
        <v>2364</v>
      </c>
      <c r="H701" s="77">
        <v>181561492</v>
      </c>
      <c r="I701" s="77" t="s">
        <v>73</v>
      </c>
      <c r="J701" s="77" t="s">
        <v>37</v>
      </c>
      <c r="K701" s="77" t="s">
        <v>37</v>
      </c>
      <c r="L701" s="77" t="s">
        <v>2628</v>
      </c>
      <c r="M701" s="77" t="s">
        <v>37</v>
      </c>
      <c r="N701" s="77" t="s">
        <v>37</v>
      </c>
      <c r="O701" s="77" t="s">
        <v>38</v>
      </c>
      <c r="P701" s="77">
        <v>45939</v>
      </c>
      <c r="Q701" s="76">
        <v>45964</v>
      </c>
      <c r="R701" s="77" t="s">
        <v>2629</v>
      </c>
      <c r="S701" s="77"/>
      <c r="T701" s="77"/>
      <c r="U701" s="77"/>
      <c r="V701" s="78" t="s">
        <v>5432</v>
      </c>
      <c r="W701" s="79">
        <v>46025</v>
      </c>
      <c r="X701" s="78"/>
      <c r="Y701" s="78" t="s">
        <v>5442</v>
      </c>
      <c r="Z701" s="78" t="s">
        <v>5469</v>
      </c>
      <c r="AA701">
        <f>IF(COUNTIF('Call Queue'!$H$6:$H$20,V701)&gt;0,0,IF(AND(ISNUMBER(N701),N701&gt;0),10000000+N701,IF(ISNUMBER(N701*1),IF(N701*1&gt;0,10000000+N701*1,0),0))+IF(ISNUMBER(SEARCH("(",L701)),1000000+IFERROR(VALUE(SUBSTITUTE(SUBSTITUTE(SUBSTITUTE(MID(L701,SEARCH("(",L701)+1,SEARCH(")",L701)-SEARCH("(",L701)-1),"$",""),",","")," ","")),0),0))</f>
        <v>0</v>
      </c>
    </row>
    <row r="702" spans="1:27">
      <c r="A702" s="76">
        <v>45907</v>
      </c>
      <c r="B702" s="77" t="s">
        <v>2630</v>
      </c>
      <c r="C702" s="77" t="s">
        <v>131</v>
      </c>
      <c r="D702" s="77" t="s">
        <v>370</v>
      </c>
      <c r="E702" s="77">
        <v>85225</v>
      </c>
      <c r="F702" s="77" t="s">
        <v>310</v>
      </c>
      <c r="G702" s="77" t="s">
        <v>2364</v>
      </c>
      <c r="H702" s="77">
        <v>4581830000</v>
      </c>
      <c r="I702" s="77" t="s">
        <v>243</v>
      </c>
      <c r="J702" s="77" t="s">
        <v>37</v>
      </c>
      <c r="K702" s="77" t="s">
        <v>37</v>
      </c>
      <c r="L702" s="77" t="s">
        <v>389</v>
      </c>
      <c r="M702" s="77" t="s">
        <v>37</v>
      </c>
      <c r="N702" s="77" t="s">
        <v>37</v>
      </c>
      <c r="O702" s="77" t="s">
        <v>38</v>
      </c>
      <c r="P702" s="77" t="s">
        <v>39</v>
      </c>
      <c r="Q702" s="76">
        <v>45964</v>
      </c>
      <c r="R702" s="77"/>
      <c r="S702" s="77"/>
      <c r="T702" s="77"/>
      <c r="U702" s="77"/>
      <c r="V702" s="78"/>
      <c r="W702" s="79"/>
      <c r="X702" s="78"/>
      <c r="Y702" s="78"/>
      <c r="Z702" s="78"/>
      <c r="AA702">
        <f>IF(COUNTIF('Call Queue'!$H$6:$H$20,V702)&gt;0,0,IF(AND(ISNUMBER(N702),N702&gt;0),10000000+N702,IF(ISNUMBER(N702*1),IF(N702*1&gt;0,10000000+N702*1,0),0))+IF(ISNUMBER(SEARCH("(",L702)),1000000+IFERROR(VALUE(SUBSTITUTE(SUBSTITUTE(SUBSTITUTE(MID(L702,SEARCH("(",L702)+1,SEARCH(")",L702)-SEARCH("(",L702)-1),"$",""),",","")," ","")),0),0))</f>
        <v>0</v>
      </c>
    </row>
    <row r="703" spans="1:27">
      <c r="A703" s="76">
        <v>45907</v>
      </c>
      <c r="B703" s="77" t="s">
        <v>2634</v>
      </c>
      <c r="C703" s="77" t="s">
        <v>2562</v>
      </c>
      <c r="D703" s="77" t="s">
        <v>1204</v>
      </c>
      <c r="E703" s="77">
        <v>85355</v>
      </c>
      <c r="F703" s="77" t="s">
        <v>2635</v>
      </c>
      <c r="G703" s="77" t="s">
        <v>2364</v>
      </c>
      <c r="H703" s="77">
        <v>6157060000</v>
      </c>
      <c r="I703" s="77" t="s">
        <v>36</v>
      </c>
      <c r="J703" s="77" t="s">
        <v>37</v>
      </c>
      <c r="K703" s="77" t="s">
        <v>37</v>
      </c>
      <c r="L703" s="77" t="s">
        <v>38</v>
      </c>
      <c r="M703" s="77" t="s">
        <v>38</v>
      </c>
      <c r="N703" s="77">
        <v>189.57</v>
      </c>
      <c r="O703" s="77" t="s">
        <v>38</v>
      </c>
      <c r="P703" s="77" t="s">
        <v>39</v>
      </c>
      <c r="Q703" s="76">
        <v>45964</v>
      </c>
      <c r="R703" s="77"/>
      <c r="S703" s="77"/>
      <c r="T703" s="77"/>
      <c r="U703" s="77"/>
      <c r="V703" s="78" t="s">
        <v>5432</v>
      </c>
      <c r="W703" s="79">
        <v>46025</v>
      </c>
      <c r="X703" s="78" t="s">
        <v>37</v>
      </c>
      <c r="Y703" s="78"/>
      <c r="Z703" s="78" t="s">
        <v>5573</v>
      </c>
      <c r="AA703">
        <f>IF(COUNTIF('Call Queue'!$H$6:$H$20,V703)&gt;0,0,IF(AND(ISNUMBER(N703),N703&gt;0),10000000+N703,IF(ISNUMBER(N703*1),IF(N703*1&gt;0,10000000+N703*1,0),0))+IF(ISNUMBER(SEARCH("(",L703)),1000000+IFERROR(VALUE(SUBSTITUTE(SUBSTITUTE(SUBSTITUTE(MID(L703,SEARCH("(",L703)+1,SEARCH(")",L703)-SEARCH("(",L703)-1),"$",""),",","")," ","")),0),0))</f>
        <v>0</v>
      </c>
    </row>
    <row r="704" spans="1:27">
      <c r="A704" s="76">
        <v>45907</v>
      </c>
      <c r="B704" s="77" t="s">
        <v>2637</v>
      </c>
      <c r="C704" s="77" t="s">
        <v>2638</v>
      </c>
      <c r="D704" s="77" t="s">
        <v>202</v>
      </c>
      <c r="E704" s="77">
        <v>85383</v>
      </c>
      <c r="F704" s="77" t="s">
        <v>31</v>
      </c>
      <c r="G704" s="77" t="s">
        <v>2364</v>
      </c>
      <c r="H704" s="77" t="s">
        <v>2639</v>
      </c>
      <c r="I704" s="77" t="s">
        <v>36</v>
      </c>
      <c r="J704" s="77" t="s">
        <v>37</v>
      </c>
      <c r="K704" s="77" t="s">
        <v>37</v>
      </c>
      <c r="L704" s="77" t="s">
        <v>38</v>
      </c>
      <c r="M704" s="77" t="s">
        <v>37</v>
      </c>
      <c r="N704" s="77" t="s">
        <v>37</v>
      </c>
      <c r="O704" s="77" t="s">
        <v>38</v>
      </c>
      <c r="P704" s="77" t="s">
        <v>39</v>
      </c>
      <c r="Q704" s="76">
        <v>45964</v>
      </c>
      <c r="R704" s="77"/>
      <c r="S704" s="77"/>
      <c r="T704" s="77"/>
      <c r="U704" s="77"/>
      <c r="V704" s="78"/>
      <c r="W704" s="79"/>
      <c r="X704" s="78"/>
      <c r="Y704" s="78"/>
      <c r="Z704" s="78"/>
      <c r="AA704">
        <f>IF(COUNTIF('Call Queue'!$H$6:$H$20,V704)&gt;0,0,IF(AND(ISNUMBER(N704),N704&gt;0),10000000+N704,IF(ISNUMBER(N704*1),IF(N704*1&gt;0,10000000+N704*1,0),0))+IF(ISNUMBER(SEARCH("(",L704)),1000000+IFERROR(VALUE(SUBSTITUTE(SUBSTITUTE(SUBSTITUTE(MID(L704,SEARCH("(",L704)+1,SEARCH(")",L704)-SEARCH("(",L704)-1),"$",""),",","")," ","")),0),0))</f>
        <v>0</v>
      </c>
    </row>
    <row r="705" spans="1:27">
      <c r="A705" s="76">
        <v>45907</v>
      </c>
      <c r="B705" s="77" t="s">
        <v>2640</v>
      </c>
      <c r="C705" s="77" t="s">
        <v>757</v>
      </c>
      <c r="D705" s="77" t="s">
        <v>2641</v>
      </c>
      <c r="E705" s="77">
        <v>85087</v>
      </c>
      <c r="F705" s="77" t="s">
        <v>31</v>
      </c>
      <c r="G705" s="77" t="s">
        <v>2364</v>
      </c>
      <c r="H705" s="77">
        <v>3353472148</v>
      </c>
      <c r="I705" s="77" t="s">
        <v>250</v>
      </c>
      <c r="J705" s="77" t="s">
        <v>37</v>
      </c>
      <c r="K705" s="77" t="s">
        <v>37</v>
      </c>
      <c r="L705" s="77" t="s">
        <v>38</v>
      </c>
      <c r="M705" s="77" t="s">
        <v>37</v>
      </c>
      <c r="N705" s="77" t="s">
        <v>37</v>
      </c>
      <c r="O705" s="77" t="s">
        <v>38</v>
      </c>
      <c r="P705" s="77" t="s">
        <v>39</v>
      </c>
      <c r="Q705" s="76">
        <v>45964</v>
      </c>
      <c r="R705" s="77"/>
      <c r="S705" s="77"/>
      <c r="T705" s="77"/>
      <c r="U705" s="77"/>
      <c r="V705" s="78"/>
      <c r="W705" s="79"/>
      <c r="X705" s="78"/>
      <c r="Y705" s="78"/>
      <c r="Z705" s="78"/>
      <c r="AA705">
        <f>IF(COUNTIF('Call Queue'!$H$6:$H$20,V705)&gt;0,0,IF(AND(ISNUMBER(N705),N705&gt;0),10000000+N705,IF(ISNUMBER(N705*1),IF(N705*1&gt;0,10000000+N705*1,0),0))+IF(ISNUMBER(SEARCH("(",L705)),1000000+IFERROR(VALUE(SUBSTITUTE(SUBSTITUTE(SUBSTITUTE(MID(L705,SEARCH("(",L705)+1,SEARCH(")",L705)-SEARCH("(",L705)-1),"$",""),",","")," ","")),0),0))</f>
        <v>0</v>
      </c>
    </row>
    <row r="706" spans="1:27">
      <c r="A706" s="76">
        <v>45907</v>
      </c>
      <c r="B706" s="77" t="s">
        <v>841</v>
      </c>
      <c r="C706" s="77" t="s">
        <v>2643</v>
      </c>
      <c r="D706" s="77" t="s">
        <v>63</v>
      </c>
      <c r="E706" s="77">
        <v>85013</v>
      </c>
      <c r="F706" s="77" t="s">
        <v>310</v>
      </c>
      <c r="G706" s="77" t="s">
        <v>2364</v>
      </c>
      <c r="H706" s="77">
        <v>6807568001</v>
      </c>
      <c r="I706" s="77" t="s">
        <v>126</v>
      </c>
      <c r="J706" s="77" t="s">
        <v>37</v>
      </c>
      <c r="K706" s="77" t="s">
        <v>37</v>
      </c>
      <c r="L706" s="77" t="s">
        <v>38</v>
      </c>
      <c r="M706" s="77" t="s">
        <v>37</v>
      </c>
      <c r="N706" s="77" t="s">
        <v>37</v>
      </c>
      <c r="O706" s="77" t="s">
        <v>38</v>
      </c>
      <c r="P706" s="77" t="s">
        <v>39</v>
      </c>
      <c r="Q706" s="76">
        <v>45964</v>
      </c>
      <c r="R706" s="77"/>
      <c r="S706" s="77"/>
      <c r="T706" s="77"/>
      <c r="U706" s="77"/>
      <c r="V706" s="78"/>
      <c r="W706" s="79"/>
      <c r="X706" s="78"/>
      <c r="Y706" s="78"/>
      <c r="Z706" s="78"/>
      <c r="AA706">
        <f>IF(COUNTIF('Call Queue'!$H$6:$H$20,V706)&gt;0,0,IF(AND(ISNUMBER(N706),N706&gt;0),10000000+N706,IF(ISNUMBER(N706*1),IF(N706*1&gt;0,10000000+N706*1,0),0))+IF(ISNUMBER(SEARCH("(",L706)),1000000+IFERROR(VALUE(SUBSTITUTE(SUBSTITUTE(SUBSTITUTE(MID(L706,SEARCH("(",L706)+1,SEARCH(")",L706)-SEARCH("(",L706)-1),"$",""),",","")," ","")),0),0))</f>
        <v>0</v>
      </c>
    </row>
    <row r="707" spans="1:27">
      <c r="A707" s="76">
        <v>45907</v>
      </c>
      <c r="B707" s="77" t="s">
        <v>2645</v>
      </c>
      <c r="C707" s="77" t="s">
        <v>2646</v>
      </c>
      <c r="D707" s="77" t="s">
        <v>63</v>
      </c>
      <c r="E707" s="77">
        <v>85023</v>
      </c>
      <c r="F707" s="77" t="s">
        <v>2647</v>
      </c>
      <c r="G707" s="77" t="s">
        <v>2364</v>
      </c>
      <c r="H707" s="77">
        <v>2224828876</v>
      </c>
      <c r="I707" s="77" t="s">
        <v>73</v>
      </c>
      <c r="J707" s="77" t="s">
        <v>37</v>
      </c>
      <c r="K707" s="77" t="s">
        <v>37</v>
      </c>
      <c r="L707" s="77" t="s">
        <v>38</v>
      </c>
      <c r="M707" s="77" t="s">
        <v>37</v>
      </c>
      <c r="N707" s="77" t="s">
        <v>37</v>
      </c>
      <c r="O707" s="77" t="s">
        <v>38</v>
      </c>
      <c r="P707" s="77" t="s">
        <v>39</v>
      </c>
      <c r="Q707" s="76">
        <v>45964</v>
      </c>
      <c r="R707" s="77"/>
      <c r="S707" s="77"/>
      <c r="T707" s="77"/>
      <c r="U707" s="77"/>
      <c r="V707" s="78"/>
      <c r="W707" s="79"/>
      <c r="X707" s="78"/>
      <c r="Y707" s="78"/>
      <c r="Z707" s="78"/>
      <c r="AA707">
        <f>IF(COUNTIF('Call Queue'!$H$6:$H$20,V707)&gt;0,0,IF(AND(ISNUMBER(N707),N707&gt;0),10000000+N707,IF(ISNUMBER(N707*1),IF(N707*1&gt;0,10000000+N707*1,0),0))+IF(ISNUMBER(SEARCH("(",L707)),1000000+IFERROR(VALUE(SUBSTITUTE(SUBSTITUTE(SUBSTITUTE(MID(L707,SEARCH("(",L707)+1,SEARCH(")",L707)-SEARCH("(",L707)-1),"$",""),",","")," ","")),0),0))</f>
        <v>0</v>
      </c>
    </row>
    <row r="708" spans="1:27">
      <c r="A708" s="76">
        <v>45907</v>
      </c>
      <c r="B708" s="77" t="s">
        <v>2651</v>
      </c>
      <c r="C708" s="77" t="s">
        <v>2652</v>
      </c>
      <c r="D708" s="77" t="s">
        <v>202</v>
      </c>
      <c r="E708" s="77">
        <v>85383</v>
      </c>
      <c r="F708" s="77" t="s">
        <v>2653</v>
      </c>
      <c r="G708" s="77" t="s">
        <v>2364</v>
      </c>
      <c r="H708" s="77">
        <v>4684530000</v>
      </c>
      <c r="I708" s="77" t="s">
        <v>36</v>
      </c>
      <c r="J708" s="77" t="s">
        <v>37</v>
      </c>
      <c r="K708" s="77" t="s">
        <v>37</v>
      </c>
      <c r="L708" s="77" t="s">
        <v>38</v>
      </c>
      <c r="M708" s="77" t="s">
        <v>37</v>
      </c>
      <c r="N708" s="77" t="s">
        <v>37</v>
      </c>
      <c r="O708" s="77" t="s">
        <v>38</v>
      </c>
      <c r="P708" s="77" t="s">
        <v>39</v>
      </c>
      <c r="Q708" s="76">
        <v>45964</v>
      </c>
      <c r="R708" s="77"/>
      <c r="S708" s="77"/>
      <c r="T708" s="77"/>
      <c r="U708" s="77"/>
      <c r="V708" s="78"/>
      <c r="W708" s="79"/>
      <c r="X708" s="78"/>
      <c r="Y708" s="78"/>
      <c r="Z708" s="78"/>
      <c r="AA708">
        <f>IF(COUNTIF('Call Queue'!$H$6:$H$20,V708)&gt;0,0,IF(AND(ISNUMBER(N708),N708&gt;0),10000000+N708,IF(ISNUMBER(N708*1),IF(N708*1&gt;0,10000000+N708*1,0),0))+IF(ISNUMBER(SEARCH("(",L708)),1000000+IFERROR(VALUE(SUBSTITUTE(SUBSTITUTE(SUBSTITUTE(MID(L708,SEARCH("(",L708)+1,SEARCH(")",L708)-SEARCH("(",L708)-1),"$",""),",","")," ","")),0),0))</f>
        <v>0</v>
      </c>
    </row>
    <row r="709" spans="1:27">
      <c r="A709" s="76">
        <v>45907</v>
      </c>
      <c r="B709" s="77" t="s">
        <v>508</v>
      </c>
      <c r="C709" s="77" t="s">
        <v>965</v>
      </c>
      <c r="D709" s="77" t="s">
        <v>125</v>
      </c>
      <c r="E709" s="77">
        <v>85266</v>
      </c>
      <c r="F709" s="77" t="s">
        <v>31</v>
      </c>
      <c r="G709" s="77" t="s">
        <v>2364</v>
      </c>
      <c r="H709" s="77" t="s">
        <v>2655</v>
      </c>
      <c r="I709" s="77" t="s">
        <v>36</v>
      </c>
      <c r="J709" s="77" t="s">
        <v>37</v>
      </c>
      <c r="K709" s="77" t="s">
        <v>37</v>
      </c>
      <c r="L709" s="77" t="s">
        <v>38</v>
      </c>
      <c r="M709" s="77" t="s">
        <v>37</v>
      </c>
      <c r="N709" s="77" t="s">
        <v>37</v>
      </c>
      <c r="O709" s="77" t="s">
        <v>38</v>
      </c>
      <c r="P709" s="77" t="s">
        <v>39</v>
      </c>
      <c r="Q709" s="76">
        <v>45964</v>
      </c>
      <c r="R709" s="77"/>
      <c r="S709" s="77"/>
      <c r="T709" s="77"/>
      <c r="U709" s="77"/>
      <c r="V709" s="78"/>
      <c r="W709" s="79"/>
      <c r="X709" s="78"/>
      <c r="Y709" s="78"/>
      <c r="Z709" s="78"/>
      <c r="AA709">
        <f>IF(COUNTIF('Call Queue'!$H$6:$H$20,V709)&gt;0,0,IF(AND(ISNUMBER(N709),N709&gt;0),10000000+N709,IF(ISNUMBER(N709*1),IF(N709*1&gt;0,10000000+N709*1,0),0))+IF(ISNUMBER(SEARCH("(",L709)),1000000+IFERROR(VALUE(SUBSTITUTE(SUBSTITUTE(SUBSTITUTE(MID(L709,SEARCH("(",L709)+1,SEARCH(")",L709)-SEARCH("(",L709)-1),"$",""),",","")," ","")),0),0))</f>
        <v>0</v>
      </c>
    </row>
    <row r="710" spans="1:27">
      <c r="A710" s="76">
        <v>45907</v>
      </c>
      <c r="B710" s="77" t="s">
        <v>686</v>
      </c>
      <c r="C710" s="77" t="s">
        <v>481</v>
      </c>
      <c r="D710" s="77" t="s">
        <v>202</v>
      </c>
      <c r="E710" s="77">
        <v>85383</v>
      </c>
      <c r="F710" s="77" t="s">
        <v>310</v>
      </c>
      <c r="G710" s="77" t="s">
        <v>2364</v>
      </c>
      <c r="H710" s="77" t="s">
        <v>209</v>
      </c>
      <c r="I710" s="77"/>
      <c r="J710" s="77"/>
      <c r="K710" s="77"/>
      <c r="L710" s="77"/>
      <c r="M710" s="77"/>
      <c r="N710" s="77"/>
      <c r="O710" s="77"/>
      <c r="P710" s="77"/>
      <c r="Q710" s="76"/>
      <c r="R710" s="77"/>
      <c r="S710" s="77"/>
      <c r="T710" s="77"/>
      <c r="U710" s="77"/>
      <c r="V710" s="78"/>
      <c r="W710" s="79"/>
      <c r="X710" s="78"/>
      <c r="Y710" s="78"/>
      <c r="Z710" s="78"/>
      <c r="AA710">
        <f>IF(COUNTIF('Call Queue'!$H$6:$H$20,V710)&gt;0,0,IF(AND(ISNUMBER(N710),N710&gt;0),10000000+N710,IF(ISNUMBER(N710*1),IF(N710*1&gt;0,10000000+N710*1,0),0))+IF(ISNUMBER(SEARCH("(",L710)),1000000+IFERROR(VALUE(SUBSTITUTE(SUBSTITUTE(SUBSTITUTE(MID(L710,SEARCH("(",L710)+1,SEARCH(")",L710)-SEARCH("(",L710)-1),"$",""),",","")," ","")),0),0))</f>
        <v>0</v>
      </c>
    </row>
    <row r="711" spans="1:27">
      <c r="A711" s="76">
        <v>45907</v>
      </c>
      <c r="B711" s="77" t="s">
        <v>1500</v>
      </c>
      <c r="C711" s="77" t="s">
        <v>2658</v>
      </c>
      <c r="D711" s="77" t="s">
        <v>169</v>
      </c>
      <c r="E711" s="77">
        <v>85395</v>
      </c>
      <c r="F711" s="77" t="s">
        <v>31</v>
      </c>
      <c r="G711" s="77" t="s">
        <v>2364</v>
      </c>
      <c r="H711" s="77" t="s">
        <v>2659</v>
      </c>
      <c r="I711" s="77" t="s">
        <v>1684</v>
      </c>
      <c r="J711" s="77" t="s">
        <v>37</v>
      </c>
      <c r="K711" s="77" t="s">
        <v>37</v>
      </c>
      <c r="L711" s="77" t="s">
        <v>38</v>
      </c>
      <c r="M711" s="77" t="s">
        <v>37</v>
      </c>
      <c r="N711" s="77" t="s">
        <v>37</v>
      </c>
      <c r="O711" s="77" t="s">
        <v>38</v>
      </c>
      <c r="P711" s="77" t="s">
        <v>39</v>
      </c>
      <c r="Q711" s="76">
        <v>45964</v>
      </c>
      <c r="R711" s="77"/>
      <c r="S711" s="77"/>
      <c r="T711" s="77"/>
      <c r="U711" s="77"/>
      <c r="V711" s="78"/>
      <c r="W711" s="79"/>
      <c r="X711" s="78"/>
      <c r="Y711" s="78"/>
      <c r="Z711" s="78"/>
      <c r="AA711">
        <f>IF(COUNTIF('Call Queue'!$H$6:$H$20,V711)&gt;0,0,IF(AND(ISNUMBER(N711),N711&gt;0),10000000+N711,IF(ISNUMBER(N711*1),IF(N711*1&gt;0,10000000+N711*1,0),0))+IF(ISNUMBER(SEARCH("(",L711)),1000000+IFERROR(VALUE(SUBSTITUTE(SUBSTITUTE(SUBSTITUTE(MID(L711,SEARCH("(",L711)+1,SEARCH(")",L711)-SEARCH("(",L711)-1),"$",""),",","")," ","")),0),0))</f>
        <v>0</v>
      </c>
    </row>
    <row r="712" spans="1:27">
      <c r="A712" s="76">
        <v>45907</v>
      </c>
      <c r="B712" s="77" t="s">
        <v>2660</v>
      </c>
      <c r="C712" s="77" t="s">
        <v>2019</v>
      </c>
      <c r="D712" s="77" t="s">
        <v>169</v>
      </c>
      <c r="E712" s="77">
        <v>85395</v>
      </c>
      <c r="F712" s="77" t="s">
        <v>2548</v>
      </c>
      <c r="G712" s="77" t="s">
        <v>2364</v>
      </c>
      <c r="H712" s="77">
        <v>5248721000</v>
      </c>
      <c r="I712" s="77" t="s">
        <v>36</v>
      </c>
      <c r="J712" s="77" t="s">
        <v>37</v>
      </c>
      <c r="K712" s="77" t="s">
        <v>37</v>
      </c>
      <c r="L712" s="77" t="s">
        <v>38</v>
      </c>
      <c r="M712" s="77" t="s">
        <v>37</v>
      </c>
      <c r="N712" s="77" t="s">
        <v>37</v>
      </c>
      <c r="O712" s="77" t="s">
        <v>38</v>
      </c>
      <c r="P712" s="77" t="s">
        <v>39</v>
      </c>
      <c r="Q712" s="76">
        <v>45964</v>
      </c>
      <c r="R712" s="77"/>
      <c r="S712" s="77"/>
      <c r="T712" s="77"/>
      <c r="U712" s="77"/>
      <c r="V712" s="78"/>
      <c r="W712" s="79"/>
      <c r="X712" s="78"/>
      <c r="Y712" s="78"/>
      <c r="Z712" s="78"/>
      <c r="AA712">
        <f>IF(COUNTIF('Call Queue'!$H$6:$H$20,V712)&gt;0,0,IF(AND(ISNUMBER(N712),N712&gt;0),10000000+N712,IF(ISNUMBER(N712*1),IF(N712*1&gt;0,10000000+N712*1,0),0))+IF(ISNUMBER(SEARCH("(",L712)),1000000+IFERROR(VALUE(SUBSTITUTE(SUBSTITUTE(SUBSTITUTE(MID(L712,SEARCH("(",L712)+1,SEARCH(")",L712)-SEARCH("(",L712)-1),"$",""),",","")," ","")),0),0))</f>
        <v>0</v>
      </c>
    </row>
    <row r="713" spans="1:27">
      <c r="A713" s="76">
        <v>45907</v>
      </c>
      <c r="B713" s="77" t="s">
        <v>2662</v>
      </c>
      <c r="C713" s="77" t="s">
        <v>2663</v>
      </c>
      <c r="D713" s="77" t="s">
        <v>129</v>
      </c>
      <c r="E713" s="77">
        <v>85223</v>
      </c>
      <c r="F713" s="77" t="s">
        <v>310</v>
      </c>
      <c r="G713" s="77" t="s">
        <v>2364</v>
      </c>
      <c r="H713" s="77">
        <v>3805928813</v>
      </c>
      <c r="I713" s="77" t="s">
        <v>57</v>
      </c>
      <c r="J713" s="77" t="s">
        <v>37</v>
      </c>
      <c r="K713" s="77" t="s">
        <v>37</v>
      </c>
      <c r="L713" s="77" t="s">
        <v>2665</v>
      </c>
      <c r="M713" s="77" t="s">
        <v>37</v>
      </c>
      <c r="N713" s="77" t="s">
        <v>37</v>
      </c>
      <c r="O713" s="77" t="s">
        <v>38</v>
      </c>
      <c r="P713" s="77" t="s">
        <v>39</v>
      </c>
      <c r="Q713" s="76">
        <v>45964</v>
      </c>
      <c r="R713" s="77"/>
      <c r="S713" s="77"/>
      <c r="T713" s="77"/>
      <c r="U713" s="77"/>
      <c r="V713" s="78" t="s">
        <v>5432</v>
      </c>
      <c r="W713" s="79">
        <v>46025</v>
      </c>
      <c r="X713" s="78" t="s">
        <v>38</v>
      </c>
      <c r="Y713" s="78"/>
      <c r="Z713" s="78" t="s">
        <v>5458</v>
      </c>
      <c r="AA713">
        <f>IF(COUNTIF('Call Queue'!$H$6:$H$20,V713)&gt;0,0,IF(AND(ISNUMBER(N713),N713&gt;0),10000000+N713,IF(ISNUMBER(N713*1),IF(N713*1&gt;0,10000000+N713*1,0),0))+IF(ISNUMBER(SEARCH("(",L713)),1000000+IFERROR(VALUE(SUBSTITUTE(SUBSTITUTE(SUBSTITUTE(MID(L713,SEARCH("(",L713)+1,SEARCH(")",L713)-SEARCH("(",L713)-1),"$",""),",","")," ","")),0),0))</f>
        <v>0</v>
      </c>
    </row>
    <row r="714" spans="1:27">
      <c r="A714" s="76">
        <v>45907</v>
      </c>
      <c r="B714" s="77" t="s">
        <v>2670</v>
      </c>
      <c r="C714" s="77" t="s">
        <v>2671</v>
      </c>
      <c r="D714" s="77" t="s">
        <v>136</v>
      </c>
      <c r="E714" s="77">
        <v>85377</v>
      </c>
      <c r="F714" s="77" t="s">
        <v>2672</v>
      </c>
      <c r="G714" s="77" t="s">
        <v>2364</v>
      </c>
      <c r="H714" s="77">
        <v>8715441000</v>
      </c>
      <c r="I714" s="77" t="s">
        <v>36</v>
      </c>
      <c r="J714" s="77" t="s">
        <v>37</v>
      </c>
      <c r="K714" s="77" t="s">
        <v>37</v>
      </c>
      <c r="L714" s="77" t="s">
        <v>38</v>
      </c>
      <c r="M714" s="77" t="s">
        <v>37</v>
      </c>
      <c r="N714" s="77" t="s">
        <v>37</v>
      </c>
      <c r="O714" s="77" t="s">
        <v>38</v>
      </c>
      <c r="P714" s="77" t="s">
        <v>39</v>
      </c>
      <c r="Q714" s="76">
        <v>45961</v>
      </c>
      <c r="R714" s="77"/>
      <c r="S714" s="77"/>
      <c r="T714" s="77"/>
      <c r="U714" s="77"/>
      <c r="V714" s="78"/>
      <c r="W714" s="79"/>
      <c r="X714" s="78"/>
      <c r="Y714" s="78"/>
      <c r="Z714" s="78"/>
      <c r="AA714">
        <f>IF(COUNTIF('Call Queue'!$H$6:$H$20,V714)&gt;0,0,IF(AND(ISNUMBER(N714),N714&gt;0),10000000+N714,IF(ISNUMBER(N714*1),IF(N714*1&gt;0,10000000+N714*1,0),0))+IF(ISNUMBER(SEARCH("(",L714)),1000000+IFERROR(VALUE(SUBSTITUTE(SUBSTITUTE(SUBSTITUTE(MID(L714,SEARCH("(",L714)+1,SEARCH(")",L714)-SEARCH("(",L714)-1),"$",""),",","")," ","")),0),0))</f>
        <v>0</v>
      </c>
    </row>
    <row r="715" spans="1:27">
      <c r="A715" s="76">
        <v>45907</v>
      </c>
      <c r="B715" s="77" t="s">
        <v>2674</v>
      </c>
      <c r="C715" s="77" t="s">
        <v>2675</v>
      </c>
      <c r="D715" s="77" t="s">
        <v>880</v>
      </c>
      <c r="E715" s="77">
        <v>85086</v>
      </c>
      <c r="F715" s="77" t="s">
        <v>2676</v>
      </c>
      <c r="G715" s="77" t="s">
        <v>2364</v>
      </c>
      <c r="H715" s="77">
        <v>2752541344</v>
      </c>
      <c r="I715" s="77" t="s">
        <v>196</v>
      </c>
      <c r="J715" s="77" t="s">
        <v>37</v>
      </c>
      <c r="K715" s="77" t="s">
        <v>37</v>
      </c>
      <c r="L715" s="77" t="s">
        <v>2678</v>
      </c>
      <c r="M715" s="77" t="s">
        <v>37</v>
      </c>
      <c r="N715" s="77" t="s">
        <v>37</v>
      </c>
      <c r="O715" s="77" t="s">
        <v>38</v>
      </c>
      <c r="P715" s="77" t="s">
        <v>39</v>
      </c>
      <c r="Q715" s="76">
        <v>45961</v>
      </c>
      <c r="R715" s="77"/>
      <c r="S715" s="77"/>
      <c r="T715" s="77"/>
      <c r="U715" s="77"/>
      <c r="V715" s="78" t="s">
        <v>5432</v>
      </c>
      <c r="W715" s="79">
        <v>46025</v>
      </c>
      <c r="X715" s="78" t="s">
        <v>38</v>
      </c>
      <c r="Y715" s="78"/>
      <c r="Z715" s="78" t="s">
        <v>5458</v>
      </c>
      <c r="AA715">
        <f>IF(COUNTIF('Call Queue'!$H$6:$H$20,V715)&gt;0,0,IF(AND(ISNUMBER(N715),N715&gt;0),10000000+N715,IF(ISNUMBER(N715*1),IF(N715*1&gt;0,10000000+N715*1,0),0))+IF(ISNUMBER(SEARCH("(",L715)),1000000+IFERROR(VALUE(SUBSTITUTE(SUBSTITUTE(SUBSTITUTE(MID(L715,SEARCH("(",L715)+1,SEARCH(")",L715)-SEARCH("(",L715)-1),"$",""),",","")," ","")),0),0))</f>
        <v>0</v>
      </c>
    </row>
    <row r="716" spans="1:27">
      <c r="A716" s="76">
        <v>45907</v>
      </c>
      <c r="B716" s="77" t="s">
        <v>2682</v>
      </c>
      <c r="C716" s="77" t="s">
        <v>1127</v>
      </c>
      <c r="D716" s="77" t="s">
        <v>2681</v>
      </c>
      <c r="E716" s="77">
        <v>85342</v>
      </c>
      <c r="F716" s="77" t="s">
        <v>31</v>
      </c>
      <c r="G716" s="77" t="s">
        <v>2364</v>
      </c>
      <c r="H716" s="77">
        <v>8171441100</v>
      </c>
      <c r="I716" s="77" t="s">
        <v>36</v>
      </c>
      <c r="J716" s="77" t="s">
        <v>37</v>
      </c>
      <c r="K716" s="77" t="s">
        <v>37</v>
      </c>
      <c r="L716" s="77" t="s">
        <v>2684</v>
      </c>
      <c r="M716" s="77" t="s">
        <v>37</v>
      </c>
      <c r="N716" s="77" t="s">
        <v>37</v>
      </c>
      <c r="O716" s="77" t="s">
        <v>38</v>
      </c>
      <c r="P716" s="77" t="s">
        <v>39</v>
      </c>
      <c r="Q716" s="76">
        <v>45961</v>
      </c>
      <c r="R716" s="77"/>
      <c r="S716" s="77"/>
      <c r="T716" s="77"/>
      <c r="U716" s="77"/>
      <c r="V716" s="78" t="s">
        <v>5432</v>
      </c>
      <c r="W716" s="79">
        <v>46025</v>
      </c>
      <c r="X716" s="78" t="s">
        <v>38</v>
      </c>
      <c r="Y716" s="78"/>
      <c r="Z716" s="78" t="s">
        <v>5458</v>
      </c>
      <c r="AA716">
        <f>IF(COUNTIF('Call Queue'!$H$6:$H$20,V716)&gt;0,0,IF(AND(ISNUMBER(N716),N716&gt;0),10000000+N716,IF(ISNUMBER(N716*1),IF(N716*1&gt;0,10000000+N716*1,0),0))+IF(ISNUMBER(SEARCH("(",L716)),1000000+IFERROR(VALUE(SUBSTITUTE(SUBSTITUTE(SUBSTITUTE(MID(L716,SEARCH("(",L716)+1,SEARCH(")",L716)-SEARCH("(",L716)-1),"$",""),",","")," ","")),0),0))</f>
        <v>0</v>
      </c>
    </row>
    <row r="717" spans="1:27">
      <c r="A717" s="76">
        <v>45907</v>
      </c>
      <c r="B717" s="77" t="s">
        <v>2685</v>
      </c>
      <c r="C717" s="77" t="s">
        <v>2686</v>
      </c>
      <c r="D717" s="77" t="s">
        <v>202</v>
      </c>
      <c r="E717" s="77">
        <v>85383</v>
      </c>
      <c r="F717" s="77" t="s">
        <v>31</v>
      </c>
      <c r="G717" s="77" t="s">
        <v>2364</v>
      </c>
      <c r="H717" s="77">
        <v>831730979</v>
      </c>
      <c r="I717" s="77" t="s">
        <v>73</v>
      </c>
      <c r="J717" s="77" t="s">
        <v>37</v>
      </c>
      <c r="K717" s="77" t="s">
        <v>37</v>
      </c>
      <c r="L717" s="77" t="s">
        <v>38</v>
      </c>
      <c r="M717" s="77" t="s">
        <v>37</v>
      </c>
      <c r="N717" s="77" t="s">
        <v>37</v>
      </c>
      <c r="O717" s="77" t="s">
        <v>38</v>
      </c>
      <c r="P717" s="77" t="s">
        <v>39</v>
      </c>
      <c r="Q717" s="76">
        <v>45961</v>
      </c>
      <c r="R717" s="77"/>
      <c r="S717" s="77"/>
      <c r="T717" s="77"/>
      <c r="U717" s="77"/>
      <c r="V717" s="78"/>
      <c r="W717" s="79"/>
      <c r="X717" s="78"/>
      <c r="Y717" s="78"/>
      <c r="Z717" s="78"/>
      <c r="AA717">
        <f>IF(COUNTIF('Call Queue'!$H$6:$H$20,V717)&gt;0,0,IF(AND(ISNUMBER(N717),N717&gt;0),10000000+N717,IF(ISNUMBER(N717*1),IF(N717*1&gt;0,10000000+N717*1,0),0))+IF(ISNUMBER(SEARCH("(",L717)),1000000+IFERROR(VALUE(SUBSTITUTE(SUBSTITUTE(SUBSTITUTE(MID(L717,SEARCH("(",L717)+1,SEARCH(")",L717)-SEARCH("(",L717)-1),"$",""),",","")," ","")),0),0))</f>
        <v>0</v>
      </c>
    </row>
    <row r="718" spans="1:27">
      <c r="A718" s="76">
        <v>45907</v>
      </c>
      <c r="B718" s="77" t="s">
        <v>2690</v>
      </c>
      <c r="C718" s="77" t="s">
        <v>2691</v>
      </c>
      <c r="D718" s="77" t="s">
        <v>112</v>
      </c>
      <c r="E718" s="77">
        <v>85388</v>
      </c>
      <c r="F718" s="77" t="s">
        <v>310</v>
      </c>
      <c r="G718" s="77" t="s">
        <v>2364</v>
      </c>
      <c r="H718" s="77">
        <v>179082566</v>
      </c>
      <c r="I718" s="77" t="s">
        <v>250</v>
      </c>
      <c r="J718" s="77" t="s">
        <v>37</v>
      </c>
      <c r="K718" s="77" t="s">
        <v>37</v>
      </c>
      <c r="L718" s="77" t="s">
        <v>38</v>
      </c>
      <c r="M718" s="77" t="s">
        <v>37</v>
      </c>
      <c r="N718" s="77" t="s">
        <v>37</v>
      </c>
      <c r="O718" s="77" t="s">
        <v>38</v>
      </c>
      <c r="P718" s="77" t="s">
        <v>39</v>
      </c>
      <c r="Q718" s="76">
        <v>45961</v>
      </c>
      <c r="R718" s="77"/>
      <c r="S718" s="77"/>
      <c r="T718" s="77"/>
      <c r="U718" s="77"/>
      <c r="V718" s="78"/>
      <c r="W718" s="79"/>
      <c r="X718" s="78"/>
      <c r="Y718" s="78"/>
      <c r="Z718" s="78"/>
      <c r="AA718">
        <f>IF(COUNTIF('Call Queue'!$H$6:$H$20,V718)&gt;0,0,IF(AND(ISNUMBER(N718),N718&gt;0),10000000+N718,IF(ISNUMBER(N718*1),IF(N718*1&gt;0,10000000+N718*1,0),0))+IF(ISNUMBER(SEARCH("(",L718)),1000000+IFERROR(VALUE(SUBSTITUTE(SUBSTITUTE(SUBSTITUTE(MID(L718,SEARCH("(",L718)+1,SEARCH(")",L718)-SEARCH("(",L718)-1),"$",""),",","")," ","")),0),0))</f>
        <v>0</v>
      </c>
    </row>
    <row r="719" spans="1:27">
      <c r="A719" s="76">
        <v>45907</v>
      </c>
      <c r="B719" s="77" t="s">
        <v>2693</v>
      </c>
      <c r="C719" s="77" t="s">
        <v>1824</v>
      </c>
      <c r="D719" s="77" t="s">
        <v>202</v>
      </c>
      <c r="E719" s="77">
        <v>85345</v>
      </c>
      <c r="F719" s="77" t="s">
        <v>310</v>
      </c>
      <c r="G719" s="77" t="s">
        <v>2364</v>
      </c>
      <c r="H719" s="77">
        <v>1027321000</v>
      </c>
      <c r="I719" s="77" t="s">
        <v>57</v>
      </c>
      <c r="J719" s="77" t="s">
        <v>37</v>
      </c>
      <c r="K719" s="77" t="s">
        <v>37</v>
      </c>
      <c r="L719" s="77" t="s">
        <v>2695</v>
      </c>
      <c r="M719" s="77" t="s">
        <v>37</v>
      </c>
      <c r="N719" s="77" t="s">
        <v>37</v>
      </c>
      <c r="O719" s="77" t="s">
        <v>38</v>
      </c>
      <c r="P719" s="77">
        <v>45939</v>
      </c>
      <c r="Q719" s="76">
        <v>45961</v>
      </c>
      <c r="R719" s="77" t="s">
        <v>2474</v>
      </c>
      <c r="S719" s="77"/>
      <c r="T719" s="77"/>
      <c r="U719" s="77"/>
      <c r="V719" s="78" t="s">
        <v>5432</v>
      </c>
      <c r="W719" s="79">
        <v>46025</v>
      </c>
      <c r="X719" s="78" t="s">
        <v>38</v>
      </c>
      <c r="Y719" s="78"/>
      <c r="Z719" s="78" t="s">
        <v>5458</v>
      </c>
      <c r="AA719">
        <f>IF(COUNTIF('Call Queue'!$H$6:$H$20,V719)&gt;0,0,IF(AND(ISNUMBER(N719),N719&gt;0),10000000+N719,IF(ISNUMBER(N719*1),IF(N719*1&gt;0,10000000+N719*1,0),0))+IF(ISNUMBER(SEARCH("(",L719)),1000000+IFERROR(VALUE(SUBSTITUTE(SUBSTITUTE(SUBSTITUTE(MID(L719,SEARCH("(",L719)+1,SEARCH(")",L719)-SEARCH("(",L719)-1),"$",""),",","")," ","")),0),0))</f>
        <v>0</v>
      </c>
    </row>
    <row r="720" spans="1:27">
      <c r="A720" s="76">
        <v>45907</v>
      </c>
      <c r="B720" s="77" t="s">
        <v>2696</v>
      </c>
      <c r="C720" s="77" t="s">
        <v>1647</v>
      </c>
      <c r="D720" s="77" t="s">
        <v>125</v>
      </c>
      <c r="E720" s="77">
        <v>85260</v>
      </c>
      <c r="F720" s="77" t="s">
        <v>310</v>
      </c>
      <c r="G720" s="77" t="s">
        <v>2364</v>
      </c>
      <c r="H720" s="77">
        <v>7586510000</v>
      </c>
      <c r="I720" s="77" t="s">
        <v>196</v>
      </c>
      <c r="J720" s="77" t="s">
        <v>37</v>
      </c>
      <c r="K720" s="77" t="s">
        <v>37</v>
      </c>
      <c r="L720" s="77" t="s">
        <v>38</v>
      </c>
      <c r="M720" s="77" t="s">
        <v>37</v>
      </c>
      <c r="N720" s="77" t="s">
        <v>37</v>
      </c>
      <c r="O720" s="77" t="s">
        <v>38</v>
      </c>
      <c r="P720" s="77">
        <v>45938</v>
      </c>
      <c r="Q720" s="76">
        <v>45961</v>
      </c>
      <c r="R720" s="77" t="s">
        <v>2698</v>
      </c>
      <c r="S720" s="77"/>
      <c r="T720" s="77"/>
      <c r="U720" s="77"/>
      <c r="V720" s="78"/>
      <c r="W720" s="79"/>
      <c r="X720" s="78"/>
      <c r="Y720" s="78"/>
      <c r="Z720" s="78"/>
      <c r="AA720">
        <f>IF(COUNTIF('Call Queue'!$H$6:$H$20,V720)&gt;0,0,IF(AND(ISNUMBER(N720),N720&gt;0),10000000+N720,IF(ISNUMBER(N720*1),IF(N720*1&gt;0,10000000+N720*1,0),0))+IF(ISNUMBER(SEARCH("(",L720)),1000000+IFERROR(VALUE(SUBSTITUTE(SUBSTITUTE(SUBSTITUTE(MID(L720,SEARCH("(",L720)+1,SEARCH(")",L720)-SEARCH("(",L720)-1),"$",""),",","")," ","")),0),0))</f>
        <v>0</v>
      </c>
    </row>
    <row r="721" spans="1:27">
      <c r="A721" s="76">
        <v>45907</v>
      </c>
      <c r="B721" s="77" t="s">
        <v>538</v>
      </c>
      <c r="C721" s="77" t="s">
        <v>124</v>
      </c>
      <c r="D721" s="77" t="s">
        <v>504</v>
      </c>
      <c r="E721" s="77">
        <v>86001</v>
      </c>
      <c r="F721" s="77" t="s">
        <v>310</v>
      </c>
      <c r="G721" s="77" t="s">
        <v>2364</v>
      </c>
      <c r="H721" s="77">
        <v>8422252988</v>
      </c>
      <c r="I721" s="77" t="s">
        <v>73</v>
      </c>
      <c r="J721" s="77" t="s">
        <v>37</v>
      </c>
      <c r="K721" s="77" t="s">
        <v>37</v>
      </c>
      <c r="L721" s="77" t="s">
        <v>38</v>
      </c>
      <c r="M721" s="77" t="s">
        <v>37</v>
      </c>
      <c r="N721" s="77" t="s">
        <v>37</v>
      </c>
      <c r="O721" s="77" t="s">
        <v>38</v>
      </c>
      <c r="P721" s="77" t="s">
        <v>39</v>
      </c>
      <c r="Q721" s="76">
        <v>45961</v>
      </c>
      <c r="R721" s="77"/>
      <c r="S721" s="77"/>
      <c r="T721" s="77"/>
      <c r="U721" s="77"/>
      <c r="V721" s="78"/>
      <c r="W721" s="79"/>
      <c r="X721" s="78"/>
      <c r="Y721" s="78"/>
      <c r="Z721" s="78"/>
      <c r="AA721">
        <f>IF(COUNTIF('Call Queue'!$H$6:$H$20,V721)&gt;0,0,IF(AND(ISNUMBER(N721),N721&gt;0),10000000+N721,IF(ISNUMBER(N721*1),IF(N721*1&gt;0,10000000+N721*1,0),0))+IF(ISNUMBER(SEARCH("(",L721)),1000000+IFERROR(VALUE(SUBSTITUTE(SUBSTITUTE(SUBSTITUTE(MID(L721,SEARCH("(",L721)+1,SEARCH(")",L721)-SEARCH("(",L721)-1),"$",""),",","")," ","")),0),0))</f>
        <v>0</v>
      </c>
    </row>
    <row r="722" spans="1:27">
      <c r="A722" s="76">
        <v>45907</v>
      </c>
      <c r="B722" s="77" t="s">
        <v>447</v>
      </c>
      <c r="C722" s="77" t="s">
        <v>135</v>
      </c>
      <c r="D722" s="77" t="s">
        <v>24</v>
      </c>
      <c r="E722" s="77">
        <v>85304</v>
      </c>
      <c r="F722" s="77" t="s">
        <v>2700</v>
      </c>
      <c r="G722" s="77" t="s">
        <v>2364</v>
      </c>
      <c r="H722" s="77" t="s">
        <v>209</v>
      </c>
      <c r="I722" s="77"/>
      <c r="J722" s="77"/>
      <c r="K722" s="77"/>
      <c r="L722" s="77"/>
      <c r="M722" s="77"/>
      <c r="N722" s="77"/>
      <c r="O722" s="77"/>
      <c r="P722" s="77"/>
      <c r="Q722" s="76"/>
      <c r="R722" s="77"/>
      <c r="S722" s="77"/>
      <c r="T722" s="77"/>
      <c r="U722" s="77"/>
      <c r="V722" s="78"/>
      <c r="W722" s="79"/>
      <c r="X722" s="78"/>
      <c r="Y722" s="78"/>
      <c r="Z722" s="78"/>
      <c r="AA722">
        <f>IF(COUNTIF('Call Queue'!$H$6:$H$20,V722)&gt;0,0,IF(AND(ISNUMBER(N722),N722&gt;0),10000000+N722,IF(ISNUMBER(N722*1),IF(N722*1&gt;0,10000000+N722*1,0),0))+IF(ISNUMBER(SEARCH("(",L722)),1000000+IFERROR(VALUE(SUBSTITUTE(SUBSTITUTE(SUBSTITUTE(MID(L722,SEARCH("(",L722)+1,SEARCH(")",L722)-SEARCH("(",L722)-1),"$",""),",","")," ","")),0),0))</f>
        <v>0</v>
      </c>
    </row>
    <row r="723" spans="1:27">
      <c r="A723" s="76">
        <v>45907</v>
      </c>
      <c r="B723" s="77" t="s">
        <v>2701</v>
      </c>
      <c r="C723" s="77" t="s">
        <v>2702</v>
      </c>
      <c r="D723" s="77" t="s">
        <v>112</v>
      </c>
      <c r="E723" s="77">
        <v>85379</v>
      </c>
      <c r="F723" s="77" t="s">
        <v>2703</v>
      </c>
      <c r="G723" s="77" t="s">
        <v>2364</v>
      </c>
      <c r="H723" s="77">
        <v>6220501000</v>
      </c>
      <c r="I723" s="77" t="s">
        <v>126</v>
      </c>
      <c r="J723" s="77" t="s">
        <v>37</v>
      </c>
      <c r="K723" s="77" t="s">
        <v>37</v>
      </c>
      <c r="L723" s="77" t="s">
        <v>38</v>
      </c>
      <c r="M723" s="77" t="s">
        <v>37</v>
      </c>
      <c r="N723" s="77" t="s">
        <v>37</v>
      </c>
      <c r="O723" s="77" t="s">
        <v>38</v>
      </c>
      <c r="P723" s="77" t="s">
        <v>39</v>
      </c>
      <c r="Q723" s="76">
        <v>45961</v>
      </c>
      <c r="R723" s="77"/>
      <c r="S723" s="77"/>
      <c r="T723" s="77"/>
      <c r="U723" s="77"/>
      <c r="V723" s="78"/>
      <c r="W723" s="79"/>
      <c r="X723" s="78"/>
      <c r="Y723" s="78"/>
      <c r="Z723" s="78"/>
      <c r="AA723">
        <f>IF(COUNTIF('Call Queue'!$H$6:$H$20,V723)&gt;0,0,IF(AND(ISNUMBER(N723),N723&gt;0),10000000+N723,IF(ISNUMBER(N723*1),IF(N723*1&gt;0,10000000+N723*1,0),0))+IF(ISNUMBER(SEARCH("(",L723)),1000000+IFERROR(VALUE(SUBSTITUTE(SUBSTITUTE(SUBSTITUTE(MID(L723,SEARCH("(",L723)+1,SEARCH(")",L723)-SEARCH("(",L723)-1),"$",""),",","")," ","")),0),0))</f>
        <v>0</v>
      </c>
    </row>
    <row r="724" spans="1:27">
      <c r="A724" s="76">
        <v>45907</v>
      </c>
      <c r="B724" s="77" t="s">
        <v>2705</v>
      </c>
      <c r="C724" s="77" t="s">
        <v>2706</v>
      </c>
      <c r="D724" s="77" t="s">
        <v>523</v>
      </c>
      <c r="E724" s="77">
        <v>85392</v>
      </c>
      <c r="F724" s="77" t="s">
        <v>1135</v>
      </c>
      <c r="G724" s="77" t="s">
        <v>2364</v>
      </c>
      <c r="H724" s="77">
        <v>829573314</v>
      </c>
      <c r="I724" s="77" t="s">
        <v>1684</v>
      </c>
      <c r="J724" s="77" t="s">
        <v>37</v>
      </c>
      <c r="K724" s="77" t="s">
        <v>37</v>
      </c>
      <c r="L724" s="77" t="s">
        <v>401</v>
      </c>
      <c r="M724" s="77" t="s">
        <v>37</v>
      </c>
      <c r="N724" s="77" t="s">
        <v>37</v>
      </c>
      <c r="O724" s="77" t="s">
        <v>38</v>
      </c>
      <c r="P724" s="77" t="s">
        <v>39</v>
      </c>
      <c r="Q724" s="76">
        <v>45961</v>
      </c>
      <c r="R724" s="77" t="s">
        <v>2708</v>
      </c>
      <c r="S724" s="77"/>
      <c r="T724" s="77"/>
      <c r="U724" s="77"/>
      <c r="V724" s="78" t="s">
        <v>5432</v>
      </c>
      <c r="W724" s="79">
        <v>46060</v>
      </c>
      <c r="X724" s="78" t="s">
        <v>38</v>
      </c>
      <c r="Y724" s="78"/>
      <c r="Z724" s="78" t="s">
        <v>5458</v>
      </c>
      <c r="AA724">
        <f>IF(COUNTIF('Call Queue'!$H$6:$H$20,V724)&gt;0,0,IF(AND(ISNUMBER(N724),N724&gt;0),10000000+N724,IF(ISNUMBER(N724*1),IF(N724*1&gt;0,10000000+N724*1,0),0))+IF(ISNUMBER(SEARCH("(",L724)),1000000+IFERROR(VALUE(SUBSTITUTE(SUBSTITUTE(SUBSTITUTE(MID(L724,SEARCH("(",L724)+1,SEARCH(")",L724)-SEARCH("(",L724)-1),"$",""),",","")," ","")),0),0))</f>
        <v>0</v>
      </c>
    </row>
    <row r="725" spans="1:27">
      <c r="A725" s="76">
        <v>45907</v>
      </c>
      <c r="B725" s="77" t="s">
        <v>1411</v>
      </c>
      <c r="C725" s="77" t="s">
        <v>2709</v>
      </c>
      <c r="D725" s="77" t="s">
        <v>202</v>
      </c>
      <c r="E725" s="77">
        <v>85382</v>
      </c>
      <c r="F725" s="77" t="s">
        <v>2274</v>
      </c>
      <c r="G725" s="77" t="s">
        <v>2364</v>
      </c>
      <c r="H725" s="77">
        <v>119612479</v>
      </c>
      <c r="I725" s="77" t="s">
        <v>73</v>
      </c>
      <c r="J725" s="77" t="s">
        <v>37</v>
      </c>
      <c r="K725" s="77" t="s">
        <v>37</v>
      </c>
      <c r="L725" s="77" t="s">
        <v>38</v>
      </c>
      <c r="M725" s="77" t="s">
        <v>37</v>
      </c>
      <c r="N725" s="77" t="s">
        <v>37</v>
      </c>
      <c r="O725" s="77" t="s">
        <v>38</v>
      </c>
      <c r="P725" s="77" t="s">
        <v>39</v>
      </c>
      <c r="Q725" s="76">
        <v>45961</v>
      </c>
      <c r="R725" s="77"/>
      <c r="S725" s="77"/>
      <c r="T725" s="77"/>
      <c r="U725" s="77"/>
      <c r="V725" s="78"/>
      <c r="W725" s="79"/>
      <c r="X725" s="78"/>
      <c r="Y725" s="78"/>
      <c r="Z725" s="78"/>
      <c r="AA725">
        <f>IF(COUNTIF('Call Queue'!$H$6:$H$20,V725)&gt;0,0,IF(AND(ISNUMBER(N725),N725&gt;0),10000000+N725,IF(ISNUMBER(N725*1),IF(N725*1&gt;0,10000000+N725*1,0),0))+IF(ISNUMBER(SEARCH("(",L725)),1000000+IFERROR(VALUE(SUBSTITUTE(SUBSTITUTE(SUBSTITUTE(MID(L725,SEARCH("(",L725)+1,SEARCH(")",L725)-SEARCH("(",L725)-1),"$",""),",","")," ","")),0),0))</f>
        <v>0</v>
      </c>
    </row>
    <row r="726" spans="1:27">
      <c r="A726" s="76">
        <v>45907</v>
      </c>
      <c r="B726" s="77" t="s">
        <v>2711</v>
      </c>
      <c r="C726" s="77" t="s">
        <v>2057</v>
      </c>
      <c r="D726" s="77" t="s">
        <v>2712</v>
      </c>
      <c r="E726" s="77">
        <v>86023</v>
      </c>
      <c r="F726" s="77" t="s">
        <v>310</v>
      </c>
      <c r="G726" s="77" t="s">
        <v>2364</v>
      </c>
      <c r="H726" s="77">
        <v>6942363976</v>
      </c>
      <c r="I726" s="77" t="s">
        <v>73</v>
      </c>
      <c r="J726" s="77" t="s">
        <v>37</v>
      </c>
      <c r="K726" s="77" t="s">
        <v>37</v>
      </c>
      <c r="L726" s="77" t="s">
        <v>38</v>
      </c>
      <c r="M726" s="77" t="s">
        <v>37</v>
      </c>
      <c r="N726" s="77" t="s">
        <v>37</v>
      </c>
      <c r="O726" s="77" t="s">
        <v>38</v>
      </c>
      <c r="P726" s="77" t="s">
        <v>39</v>
      </c>
      <c r="Q726" s="76">
        <v>45961</v>
      </c>
      <c r="R726" s="77"/>
      <c r="S726" s="77"/>
      <c r="T726" s="77"/>
      <c r="U726" s="77"/>
      <c r="V726" s="78"/>
      <c r="W726" s="79"/>
      <c r="X726" s="78"/>
      <c r="Y726" s="78"/>
      <c r="Z726" s="78"/>
      <c r="AA726">
        <f>IF(COUNTIF('Call Queue'!$H$6:$H$20,V726)&gt;0,0,IF(AND(ISNUMBER(N726),N726&gt;0),10000000+N726,IF(ISNUMBER(N726*1),IF(N726*1&gt;0,10000000+N726*1,0),0))+IF(ISNUMBER(SEARCH("(",L726)),1000000+IFERROR(VALUE(SUBSTITUTE(SUBSTITUTE(SUBSTITUTE(MID(L726,SEARCH("(",L726)+1,SEARCH(")",L726)-SEARCH("(",L726)-1),"$",""),",","")," ","")),0),0))</f>
        <v>0</v>
      </c>
    </row>
    <row r="727" spans="1:27">
      <c r="A727" s="76">
        <v>45907</v>
      </c>
      <c r="B727" s="77" t="s">
        <v>2714</v>
      </c>
      <c r="C727" s="77" t="s">
        <v>471</v>
      </c>
      <c r="D727" s="77" t="s">
        <v>63</v>
      </c>
      <c r="E727" s="77">
        <v>85020</v>
      </c>
      <c r="F727" s="77" t="s">
        <v>310</v>
      </c>
      <c r="G727" s="77" t="s">
        <v>2364</v>
      </c>
      <c r="H727" s="77">
        <v>3846299964</v>
      </c>
      <c r="I727" s="77" t="s">
        <v>541</v>
      </c>
      <c r="J727" s="77" t="s">
        <v>37</v>
      </c>
      <c r="K727" s="77" t="s">
        <v>37</v>
      </c>
      <c r="L727" s="77" t="s">
        <v>389</v>
      </c>
      <c r="M727" s="77" t="s">
        <v>37</v>
      </c>
      <c r="N727" s="77" t="s">
        <v>37</v>
      </c>
      <c r="O727" s="77" t="s">
        <v>38</v>
      </c>
      <c r="P727" s="77" t="s">
        <v>39</v>
      </c>
      <c r="Q727" s="76">
        <v>45961</v>
      </c>
      <c r="R727" s="77"/>
      <c r="S727" s="77"/>
      <c r="T727" s="77"/>
      <c r="U727" s="77"/>
      <c r="V727" s="78"/>
      <c r="W727" s="79"/>
      <c r="X727" s="78"/>
      <c r="Y727" s="78"/>
      <c r="Z727" s="78"/>
      <c r="AA727">
        <f>IF(COUNTIF('Call Queue'!$H$6:$H$20,V727)&gt;0,0,IF(AND(ISNUMBER(N727),N727&gt;0),10000000+N727,IF(ISNUMBER(N727*1),IF(N727*1&gt;0,10000000+N727*1,0),0))+IF(ISNUMBER(SEARCH("(",L727)),1000000+IFERROR(VALUE(SUBSTITUTE(SUBSTITUTE(SUBSTITUTE(MID(L727,SEARCH("(",L727)+1,SEARCH(")",L727)-SEARCH("(",L727)-1),"$",""),",","")," ","")),0),0))</f>
        <v>0</v>
      </c>
    </row>
    <row r="728" spans="1:27">
      <c r="A728" s="76">
        <v>45907</v>
      </c>
      <c r="B728" s="77" t="s">
        <v>2721</v>
      </c>
      <c r="C728" s="77" t="s">
        <v>382</v>
      </c>
      <c r="D728" s="77" t="s">
        <v>112</v>
      </c>
      <c r="E728" s="77">
        <v>85374</v>
      </c>
      <c r="F728" s="77" t="s">
        <v>310</v>
      </c>
      <c r="G728" s="77" t="s">
        <v>2364</v>
      </c>
      <c r="H728" s="77">
        <v>9041804996</v>
      </c>
      <c r="I728" s="77" t="s">
        <v>196</v>
      </c>
      <c r="J728" s="77" t="s">
        <v>37</v>
      </c>
      <c r="K728" s="77" t="s">
        <v>37</v>
      </c>
      <c r="L728" s="77" t="s">
        <v>2723</v>
      </c>
      <c r="M728" s="77" t="s">
        <v>37</v>
      </c>
      <c r="N728" s="77" t="s">
        <v>37</v>
      </c>
      <c r="O728" s="77" t="s">
        <v>38</v>
      </c>
      <c r="P728" s="77" t="s">
        <v>39</v>
      </c>
      <c r="Q728" s="76">
        <v>45961</v>
      </c>
      <c r="R728" s="77"/>
      <c r="S728" s="77"/>
      <c r="T728" s="77"/>
      <c r="U728" s="77"/>
      <c r="V728" s="78" t="s">
        <v>5432</v>
      </c>
      <c r="W728" s="79">
        <v>46025</v>
      </c>
      <c r="X728" s="78" t="s">
        <v>38</v>
      </c>
      <c r="Y728" s="78"/>
      <c r="Z728" s="78" t="s">
        <v>5458</v>
      </c>
      <c r="AA728">
        <f>IF(COUNTIF('Call Queue'!$H$6:$H$20,V728)&gt;0,0,IF(AND(ISNUMBER(N728),N728&gt;0),10000000+N728,IF(ISNUMBER(N728*1),IF(N728*1&gt;0,10000000+N728*1,0),0))+IF(ISNUMBER(SEARCH("(",L728)),1000000+IFERROR(VALUE(SUBSTITUTE(SUBSTITUTE(SUBSTITUTE(MID(L728,SEARCH("(",L728)+1,SEARCH(")",L728)-SEARCH("(",L728)-1),"$",""),",","")," ","")),0),0))</f>
        <v>0</v>
      </c>
    </row>
    <row r="729" spans="1:27">
      <c r="A729" s="76">
        <v>45907</v>
      </c>
      <c r="B729" s="77" t="s">
        <v>431</v>
      </c>
      <c r="C729" s="77" t="s">
        <v>2724</v>
      </c>
      <c r="D729" s="77" t="s">
        <v>63</v>
      </c>
      <c r="E729" s="77">
        <v>85016</v>
      </c>
      <c r="F729" s="77" t="s">
        <v>310</v>
      </c>
      <c r="G729" s="77" t="s">
        <v>2364</v>
      </c>
      <c r="H729" s="77">
        <v>7925230997</v>
      </c>
      <c r="I729" s="77" t="s">
        <v>126</v>
      </c>
      <c r="J729" s="77" t="s">
        <v>37</v>
      </c>
      <c r="K729" s="77" t="s">
        <v>37</v>
      </c>
      <c r="L729" s="77" t="s">
        <v>38</v>
      </c>
      <c r="M729" s="77" t="s">
        <v>37</v>
      </c>
      <c r="N729" s="77" t="s">
        <v>37</v>
      </c>
      <c r="O729" s="77" t="s">
        <v>38</v>
      </c>
      <c r="P729" s="77" t="s">
        <v>39</v>
      </c>
      <c r="Q729" s="76">
        <v>45961</v>
      </c>
      <c r="R729" s="77"/>
      <c r="S729" s="77"/>
      <c r="T729" s="77"/>
      <c r="U729" s="77"/>
      <c r="V729" s="78"/>
      <c r="W729" s="79"/>
      <c r="X729" s="78"/>
      <c r="Y729" s="78"/>
      <c r="Z729" s="78"/>
      <c r="AA729">
        <f>IF(COUNTIF('Call Queue'!$H$6:$H$20,V729)&gt;0,0,IF(AND(ISNUMBER(N729),N729&gt;0),10000000+N729,IF(ISNUMBER(N729*1),IF(N729*1&gt;0,10000000+N729*1,0),0))+IF(ISNUMBER(SEARCH("(",L729)),1000000+IFERROR(VALUE(SUBSTITUTE(SUBSTITUTE(SUBSTITUTE(MID(L729,SEARCH("(",L729)+1,SEARCH(")",L729)-SEARCH("(",L729)-1),"$",""),",","")," ","")),0),0))</f>
        <v>0</v>
      </c>
    </row>
    <row r="730" spans="1:27">
      <c r="A730" s="76">
        <v>45907</v>
      </c>
      <c r="B730" s="77" t="s">
        <v>2727</v>
      </c>
      <c r="C730" s="77" t="s">
        <v>395</v>
      </c>
      <c r="D730" s="77" t="s">
        <v>63</v>
      </c>
      <c r="E730" s="77">
        <v>85012</v>
      </c>
      <c r="F730" s="77" t="s">
        <v>310</v>
      </c>
      <c r="G730" s="77" t="s">
        <v>2364</v>
      </c>
      <c r="H730" s="77">
        <v>1669206811</v>
      </c>
      <c r="I730" s="77" t="s">
        <v>126</v>
      </c>
      <c r="J730" s="77" t="s">
        <v>37</v>
      </c>
      <c r="K730" s="77" t="s">
        <v>37</v>
      </c>
      <c r="L730" s="77" t="s">
        <v>2729</v>
      </c>
      <c r="M730" s="77" t="s">
        <v>37</v>
      </c>
      <c r="N730" s="77" t="s">
        <v>37</v>
      </c>
      <c r="O730" s="77" t="s">
        <v>38</v>
      </c>
      <c r="P730" s="77" t="s">
        <v>39</v>
      </c>
      <c r="Q730" s="76">
        <v>45961</v>
      </c>
      <c r="R730" s="77"/>
      <c r="S730" s="77"/>
      <c r="T730" s="77"/>
      <c r="U730" s="77"/>
      <c r="V730" s="78" t="s">
        <v>5432</v>
      </c>
      <c r="W730" s="79">
        <v>46025</v>
      </c>
      <c r="X730" s="78" t="s">
        <v>38</v>
      </c>
      <c r="Y730" s="78"/>
      <c r="Z730" s="78" t="s">
        <v>5458</v>
      </c>
      <c r="AA730">
        <f>IF(COUNTIF('Call Queue'!$H$6:$H$20,V730)&gt;0,0,IF(AND(ISNUMBER(N730),N730&gt;0),10000000+N730,IF(ISNUMBER(N730*1),IF(N730*1&gt;0,10000000+N730*1,0),0))+IF(ISNUMBER(SEARCH("(",L730)),1000000+IFERROR(VALUE(SUBSTITUTE(SUBSTITUTE(SUBSTITUTE(MID(L730,SEARCH("(",L730)+1,SEARCH(")",L730)-SEARCH("(",L730)-1),"$",""),",","")," ","")),0),0))</f>
        <v>0</v>
      </c>
    </row>
    <row r="731" spans="1:27">
      <c r="A731" s="76">
        <v>45907</v>
      </c>
      <c r="B731" s="77" t="s">
        <v>1703</v>
      </c>
      <c r="C731" s="77" t="s">
        <v>2730</v>
      </c>
      <c r="D731" s="77" t="s">
        <v>63</v>
      </c>
      <c r="E731" s="77">
        <v>85032</v>
      </c>
      <c r="F731" s="77" t="s">
        <v>310</v>
      </c>
      <c r="G731" s="77" t="s">
        <v>2364</v>
      </c>
      <c r="H731" s="77" t="s">
        <v>209</v>
      </c>
      <c r="I731" s="77"/>
      <c r="J731" s="77"/>
      <c r="K731" s="77"/>
      <c r="L731" s="77"/>
      <c r="M731" s="77"/>
      <c r="N731" s="77"/>
      <c r="O731" s="77"/>
      <c r="P731" s="77"/>
      <c r="Q731" s="76"/>
      <c r="R731" s="77"/>
      <c r="S731" s="77"/>
      <c r="T731" s="77"/>
      <c r="U731" s="77"/>
      <c r="V731" s="78"/>
      <c r="W731" s="79"/>
      <c r="X731" s="78"/>
      <c r="Y731" s="78"/>
      <c r="Z731" s="78"/>
      <c r="AA731">
        <f>IF(COUNTIF('Call Queue'!$H$6:$H$20,V731)&gt;0,0,IF(AND(ISNUMBER(N731),N731&gt;0),10000000+N731,IF(ISNUMBER(N731*1),IF(N731*1&gt;0,10000000+N731*1,0),0))+IF(ISNUMBER(SEARCH("(",L731)),1000000+IFERROR(VALUE(SUBSTITUTE(SUBSTITUTE(SUBSTITUTE(MID(L731,SEARCH("(",L731)+1,SEARCH(")",L731)-SEARCH("(",L731)-1),"$",""),",","")," ","")),0),0))</f>
        <v>0</v>
      </c>
    </row>
    <row r="732" spans="1:27">
      <c r="A732" s="76">
        <v>45907</v>
      </c>
      <c r="B732" s="77" t="s">
        <v>2025</v>
      </c>
      <c r="C732" s="77" t="s">
        <v>941</v>
      </c>
      <c r="D732" s="77" t="s">
        <v>63</v>
      </c>
      <c r="E732" s="77">
        <v>85012</v>
      </c>
      <c r="F732" s="77" t="s">
        <v>31</v>
      </c>
      <c r="G732" s="77" t="s">
        <v>2364</v>
      </c>
      <c r="H732" s="77">
        <v>4455318107</v>
      </c>
      <c r="I732" s="77" t="s">
        <v>126</v>
      </c>
      <c r="J732" s="77" t="s">
        <v>37</v>
      </c>
      <c r="K732" s="77" t="s">
        <v>37</v>
      </c>
      <c r="L732" s="77" t="s">
        <v>38</v>
      </c>
      <c r="M732" s="77" t="s">
        <v>37</v>
      </c>
      <c r="N732" s="77" t="s">
        <v>37</v>
      </c>
      <c r="O732" s="77" t="s">
        <v>38</v>
      </c>
      <c r="P732" s="77" t="s">
        <v>39</v>
      </c>
      <c r="Q732" s="76">
        <v>45961</v>
      </c>
      <c r="R732" s="77"/>
      <c r="S732" s="77"/>
      <c r="T732" s="77"/>
      <c r="U732" s="77"/>
      <c r="V732" s="78"/>
      <c r="W732" s="79"/>
      <c r="X732" s="78"/>
      <c r="Y732" s="78"/>
      <c r="Z732" s="78"/>
      <c r="AA732">
        <f>IF(COUNTIF('Call Queue'!$H$6:$H$20,V732)&gt;0,0,IF(AND(ISNUMBER(N732),N732&gt;0),10000000+N732,IF(ISNUMBER(N732*1),IF(N732*1&gt;0,10000000+N732*1,0),0))+IF(ISNUMBER(SEARCH("(",L732)),1000000+IFERROR(VALUE(SUBSTITUTE(SUBSTITUTE(SUBSTITUTE(MID(L732,SEARCH("(",L732)+1,SEARCH(")",L732)-SEARCH("(",L732)-1),"$",""),",","")," ","")),0),0))</f>
        <v>0</v>
      </c>
    </row>
    <row r="733" spans="1:27">
      <c r="A733" s="76">
        <v>45907</v>
      </c>
      <c r="B733" s="77" t="s">
        <v>1703</v>
      </c>
      <c r="C733" s="77" t="s">
        <v>481</v>
      </c>
      <c r="D733" s="77" t="s">
        <v>63</v>
      </c>
      <c r="E733" s="77">
        <v>85032</v>
      </c>
      <c r="F733" s="77" t="s">
        <v>2732</v>
      </c>
      <c r="G733" s="77" t="s">
        <v>2364</v>
      </c>
      <c r="H733" s="77">
        <v>6541680000</v>
      </c>
      <c r="I733" s="77" t="s">
        <v>36</v>
      </c>
      <c r="J733" s="77" t="s">
        <v>37</v>
      </c>
      <c r="K733" s="77" t="s">
        <v>37</v>
      </c>
      <c r="L733" s="77" t="s">
        <v>36</v>
      </c>
      <c r="M733" s="77" t="s">
        <v>37</v>
      </c>
      <c r="N733" s="77" t="s">
        <v>37</v>
      </c>
      <c r="O733" s="77" t="s">
        <v>38</v>
      </c>
      <c r="P733" s="77" t="s">
        <v>39</v>
      </c>
      <c r="Q733" s="76">
        <v>45961</v>
      </c>
      <c r="R733" s="77"/>
      <c r="S733" s="77"/>
      <c r="T733" s="77"/>
      <c r="U733" s="77"/>
      <c r="V733" s="78"/>
      <c r="W733" s="79"/>
      <c r="X733" s="78"/>
      <c r="Y733" s="78"/>
      <c r="Z733" s="78"/>
      <c r="AA733">
        <f>IF(COUNTIF('Call Queue'!$H$6:$H$20,V733)&gt;0,0,IF(AND(ISNUMBER(N733),N733&gt;0),10000000+N733,IF(ISNUMBER(N733*1),IF(N733*1&gt;0,10000000+N733*1,0),0))+IF(ISNUMBER(SEARCH("(",L733)),1000000+IFERROR(VALUE(SUBSTITUTE(SUBSTITUTE(SUBSTITUTE(MID(L733,SEARCH("(",L733)+1,SEARCH(")",L733)-SEARCH("(",L733)-1),"$",""),",","")," ","")),0),0))</f>
        <v>0</v>
      </c>
    </row>
    <row r="734" spans="1:27">
      <c r="A734" s="76">
        <v>45907</v>
      </c>
      <c r="B734" s="77" t="s">
        <v>449</v>
      </c>
      <c r="C734" s="77" t="s">
        <v>2734</v>
      </c>
      <c r="D734" s="77" t="s">
        <v>63</v>
      </c>
      <c r="E734" s="77">
        <v>85032</v>
      </c>
      <c r="F734" s="77" t="s">
        <v>310</v>
      </c>
      <c r="G734" s="77" t="s">
        <v>2364</v>
      </c>
      <c r="H734" s="77">
        <v>3242131815</v>
      </c>
      <c r="I734" s="77" t="s">
        <v>196</v>
      </c>
      <c r="J734" s="77" t="s">
        <v>37</v>
      </c>
      <c r="K734" s="77" t="s">
        <v>37</v>
      </c>
      <c r="L734" s="77" t="s">
        <v>2736</v>
      </c>
      <c r="M734" s="77" t="s">
        <v>37</v>
      </c>
      <c r="N734" s="77" t="s">
        <v>37</v>
      </c>
      <c r="O734" s="77" t="s">
        <v>38</v>
      </c>
      <c r="P734" s="77" t="s">
        <v>39</v>
      </c>
      <c r="Q734" s="76">
        <v>45961</v>
      </c>
      <c r="R734" s="77" t="s">
        <v>2737</v>
      </c>
      <c r="S734" s="77"/>
      <c r="T734" s="77"/>
      <c r="U734" s="77"/>
      <c r="V734" s="78" t="s">
        <v>5432</v>
      </c>
      <c r="W734" s="79">
        <v>46025</v>
      </c>
      <c r="X734" s="78" t="s">
        <v>38</v>
      </c>
      <c r="Y734" s="78"/>
      <c r="Z734" s="78" t="s">
        <v>5458</v>
      </c>
      <c r="AA734">
        <f>IF(COUNTIF('Call Queue'!$H$6:$H$20,V734)&gt;0,0,IF(AND(ISNUMBER(N734),N734&gt;0),10000000+N734,IF(ISNUMBER(N734*1),IF(N734*1&gt;0,10000000+N734*1,0),0))+IF(ISNUMBER(SEARCH("(",L734)),1000000+IFERROR(VALUE(SUBSTITUTE(SUBSTITUTE(SUBSTITUTE(MID(L734,SEARCH("(",L734)+1,SEARCH(")",L734)-SEARCH("(",L734)-1),"$",""),",","")," ","")),0),0))</f>
        <v>0</v>
      </c>
    </row>
    <row r="735" spans="1:27">
      <c r="A735" s="76">
        <v>45907</v>
      </c>
      <c r="B735" s="77" t="s">
        <v>2739</v>
      </c>
      <c r="C735" s="77" t="s">
        <v>1824</v>
      </c>
      <c r="D735" s="77" t="s">
        <v>24</v>
      </c>
      <c r="E735" s="77">
        <v>85308</v>
      </c>
      <c r="F735" s="77" t="s">
        <v>310</v>
      </c>
      <c r="G735" s="77" t="s">
        <v>2364</v>
      </c>
      <c r="H735" s="77">
        <v>2303209836</v>
      </c>
      <c r="I735" s="77" t="s">
        <v>196</v>
      </c>
      <c r="J735" s="77" t="s">
        <v>37</v>
      </c>
      <c r="K735" s="77" t="s">
        <v>37</v>
      </c>
      <c r="L735" s="77" t="s">
        <v>2741</v>
      </c>
      <c r="M735" s="77" t="s">
        <v>37</v>
      </c>
      <c r="N735" s="77" t="s">
        <v>37</v>
      </c>
      <c r="O735" s="77" t="s">
        <v>38</v>
      </c>
      <c r="P735" s="77" t="s">
        <v>39</v>
      </c>
      <c r="Q735" s="76">
        <v>45961</v>
      </c>
      <c r="R735" s="77"/>
      <c r="S735" s="77"/>
      <c r="T735" s="77"/>
      <c r="U735" s="77"/>
      <c r="V735" s="78" t="s">
        <v>5432</v>
      </c>
      <c r="W735" s="79">
        <v>46025</v>
      </c>
      <c r="X735" s="78" t="s">
        <v>38</v>
      </c>
      <c r="Y735" s="78"/>
      <c r="Z735" s="78" t="s">
        <v>5574</v>
      </c>
      <c r="AA735">
        <f>IF(COUNTIF('Call Queue'!$H$6:$H$20,V735)&gt;0,0,IF(AND(ISNUMBER(N735),N735&gt;0),10000000+N735,IF(ISNUMBER(N735*1),IF(N735*1&gt;0,10000000+N735*1,0),0))+IF(ISNUMBER(SEARCH("(",L735)),1000000+IFERROR(VALUE(SUBSTITUTE(SUBSTITUTE(SUBSTITUTE(MID(L735,SEARCH("(",L735)+1,SEARCH(")",L735)-SEARCH("(",L735)-1),"$",""),",","")," ","")),0),0))</f>
        <v>0</v>
      </c>
    </row>
    <row r="736" spans="1:27">
      <c r="A736" s="76">
        <v>45907</v>
      </c>
      <c r="B736" s="77" t="s">
        <v>2742</v>
      </c>
      <c r="C736" s="77" t="s">
        <v>624</v>
      </c>
      <c r="D736" s="77" t="s">
        <v>24</v>
      </c>
      <c r="E736" s="77">
        <v>85310</v>
      </c>
      <c r="F736" s="77" t="s">
        <v>2743</v>
      </c>
      <c r="G736" s="77" t="s">
        <v>2364</v>
      </c>
      <c r="H736" s="77">
        <v>8231151000</v>
      </c>
      <c r="I736" s="77" t="s">
        <v>196</v>
      </c>
      <c r="J736" s="77" t="s">
        <v>37</v>
      </c>
      <c r="K736" s="77" t="s">
        <v>37</v>
      </c>
      <c r="L736" s="77" t="s">
        <v>2745</v>
      </c>
      <c r="M736" s="77" t="s">
        <v>37</v>
      </c>
      <c r="N736" s="77" t="s">
        <v>37</v>
      </c>
      <c r="O736" s="77" t="s">
        <v>38</v>
      </c>
      <c r="P736" s="77">
        <v>45938</v>
      </c>
      <c r="Q736" s="76">
        <v>45961</v>
      </c>
      <c r="R736" s="77" t="s">
        <v>2746</v>
      </c>
      <c r="S736" s="77"/>
      <c r="T736" s="77"/>
      <c r="U736" s="77"/>
      <c r="V736" s="78" t="s">
        <v>5432</v>
      </c>
      <c r="W736" s="79">
        <v>46025</v>
      </c>
      <c r="X736" s="78" t="s">
        <v>38</v>
      </c>
      <c r="Y736" s="78"/>
      <c r="Z736" s="78" t="s">
        <v>5458</v>
      </c>
      <c r="AA736">
        <f>IF(COUNTIF('Call Queue'!$H$6:$H$20,V736)&gt;0,0,IF(AND(ISNUMBER(N736),N736&gt;0),10000000+N736,IF(ISNUMBER(N736*1),IF(N736*1&gt;0,10000000+N736*1,0),0))+IF(ISNUMBER(SEARCH("(",L736)),1000000+IFERROR(VALUE(SUBSTITUTE(SUBSTITUTE(SUBSTITUTE(MID(L736,SEARCH("(",L736)+1,SEARCH(")",L736)-SEARCH("(",L736)-1),"$",""),",","")," ","")),0),0))</f>
        <v>0</v>
      </c>
    </row>
    <row r="737" spans="1:27">
      <c r="A737" s="76">
        <v>45907</v>
      </c>
      <c r="B737" s="77" t="s">
        <v>2747</v>
      </c>
      <c r="C737" s="77" t="s">
        <v>2748</v>
      </c>
      <c r="D737" s="77" t="s">
        <v>30</v>
      </c>
      <c r="E737" s="77" t="s">
        <v>30</v>
      </c>
      <c r="F737" s="77" t="s">
        <v>2749</v>
      </c>
      <c r="G737" s="77" t="s">
        <v>2364</v>
      </c>
      <c r="H737" s="77">
        <v>7014080000</v>
      </c>
      <c r="I737" s="77" t="s">
        <v>36</v>
      </c>
      <c r="J737" s="77" t="s">
        <v>37</v>
      </c>
      <c r="K737" s="77" t="s">
        <v>37</v>
      </c>
      <c r="L737" s="77" t="s">
        <v>38</v>
      </c>
      <c r="M737" s="77" t="s">
        <v>37</v>
      </c>
      <c r="N737" s="77" t="s">
        <v>37</v>
      </c>
      <c r="O737" s="77" t="s">
        <v>38</v>
      </c>
      <c r="P737" s="77" t="s">
        <v>39</v>
      </c>
      <c r="Q737" s="76">
        <v>45961</v>
      </c>
      <c r="R737" s="77"/>
      <c r="S737" s="77"/>
      <c r="T737" s="77"/>
      <c r="U737" s="77"/>
      <c r="V737" s="78"/>
      <c r="W737" s="79"/>
      <c r="X737" s="78"/>
      <c r="Y737" s="78"/>
      <c r="Z737" s="78"/>
      <c r="AA737">
        <f>IF(COUNTIF('Call Queue'!$H$6:$H$20,V737)&gt;0,0,IF(AND(ISNUMBER(N737),N737&gt;0),10000000+N737,IF(ISNUMBER(N737*1),IF(N737*1&gt;0,10000000+N737*1,0),0))+IF(ISNUMBER(SEARCH("(",L737)),1000000+IFERROR(VALUE(SUBSTITUTE(SUBSTITUTE(SUBSTITUTE(MID(L737,SEARCH("(",L737)+1,SEARCH(")",L737)-SEARCH("(",L737)-1),"$",""),",","")," ","")),0),0))</f>
        <v>0</v>
      </c>
    </row>
    <row r="738" spans="1:27">
      <c r="A738" s="76">
        <v>45907</v>
      </c>
      <c r="B738" s="77" t="s">
        <v>2751</v>
      </c>
      <c r="C738" s="77" t="s">
        <v>2752</v>
      </c>
      <c r="D738" s="77" t="s">
        <v>63</v>
      </c>
      <c r="E738" s="77">
        <v>85022</v>
      </c>
      <c r="F738" s="77" t="s">
        <v>31</v>
      </c>
      <c r="G738" s="77" t="s">
        <v>2364</v>
      </c>
      <c r="H738" s="77">
        <v>2239392578</v>
      </c>
      <c r="I738" s="77" t="s">
        <v>196</v>
      </c>
      <c r="J738" s="77" t="s">
        <v>37</v>
      </c>
      <c r="K738" s="77" t="s">
        <v>37</v>
      </c>
      <c r="L738" s="77" t="s">
        <v>38</v>
      </c>
      <c r="M738" s="77" t="s">
        <v>37</v>
      </c>
      <c r="N738" s="77" t="s">
        <v>37</v>
      </c>
      <c r="O738" s="77" t="s">
        <v>38</v>
      </c>
      <c r="P738" s="77" t="s">
        <v>39</v>
      </c>
      <c r="Q738" s="76">
        <v>45961</v>
      </c>
      <c r="R738" s="77"/>
      <c r="S738" s="77"/>
      <c r="T738" s="77"/>
      <c r="U738" s="77"/>
      <c r="V738" s="78"/>
      <c r="W738" s="79"/>
      <c r="X738" s="78"/>
      <c r="Y738" s="78"/>
      <c r="Z738" s="78"/>
      <c r="AA738">
        <f>IF(COUNTIF('Call Queue'!$H$6:$H$20,V738)&gt;0,0,IF(AND(ISNUMBER(N738),N738&gt;0),10000000+N738,IF(ISNUMBER(N738*1),IF(N738*1&gt;0,10000000+N738*1,0),0))+IF(ISNUMBER(SEARCH("(",L738)),1000000+IFERROR(VALUE(SUBSTITUTE(SUBSTITUTE(SUBSTITUTE(MID(L738,SEARCH("(",L738)+1,SEARCH(")",L738)-SEARCH("(",L738)-1),"$",""),",","")," ","")),0),0))</f>
        <v>0</v>
      </c>
    </row>
    <row r="739" spans="1:27">
      <c r="A739" s="76">
        <v>45907</v>
      </c>
      <c r="B739" s="77" t="s">
        <v>2754</v>
      </c>
      <c r="C739" s="77" t="s">
        <v>2755</v>
      </c>
      <c r="D739" s="77" t="s">
        <v>30</v>
      </c>
      <c r="E739" s="77" t="s">
        <v>30</v>
      </c>
      <c r="F739" s="77" t="s">
        <v>2756</v>
      </c>
      <c r="G739" s="77" t="s">
        <v>2364</v>
      </c>
      <c r="H739" s="77">
        <v>2798910000</v>
      </c>
      <c r="I739" s="77" t="s">
        <v>418</v>
      </c>
      <c r="J739" s="77" t="s">
        <v>37</v>
      </c>
      <c r="K739" s="77" t="s">
        <v>37</v>
      </c>
      <c r="L739" s="77" t="s">
        <v>389</v>
      </c>
      <c r="M739" s="77" t="s">
        <v>37</v>
      </c>
      <c r="N739" s="77" t="s">
        <v>37</v>
      </c>
      <c r="O739" s="77" t="s">
        <v>38</v>
      </c>
      <c r="P739" s="77" t="s">
        <v>39</v>
      </c>
      <c r="Q739" s="76">
        <v>45961</v>
      </c>
      <c r="R739" s="77"/>
      <c r="S739" s="77"/>
      <c r="T739" s="77"/>
      <c r="U739" s="77"/>
      <c r="V739" s="78"/>
      <c r="W739" s="79"/>
      <c r="X739" s="78"/>
      <c r="Y739" s="78"/>
      <c r="Z739" s="78"/>
      <c r="AA739">
        <f>IF(COUNTIF('Call Queue'!$H$6:$H$20,V739)&gt;0,0,IF(AND(ISNUMBER(N739),N739&gt;0),10000000+N739,IF(ISNUMBER(N739*1),IF(N739*1&gt;0,10000000+N739*1,0),0))+IF(ISNUMBER(SEARCH("(",L739)),1000000+IFERROR(VALUE(SUBSTITUTE(SUBSTITUTE(SUBSTITUTE(MID(L739,SEARCH("(",L739)+1,SEARCH(")",L739)-SEARCH("(",L739)-1),"$",""),",","")," ","")),0),0))</f>
        <v>0</v>
      </c>
    </row>
    <row r="740" spans="1:27">
      <c r="A740" s="76">
        <v>45907</v>
      </c>
      <c r="B740" s="77" t="s">
        <v>2758</v>
      </c>
      <c r="C740" s="77" t="s">
        <v>2273</v>
      </c>
      <c r="D740" s="77" t="s">
        <v>112</v>
      </c>
      <c r="E740" s="77">
        <v>85388</v>
      </c>
      <c r="F740" s="77" t="s">
        <v>31</v>
      </c>
      <c r="G740" s="77" t="s">
        <v>2364</v>
      </c>
      <c r="H740" s="77" t="s">
        <v>2759</v>
      </c>
      <c r="I740" s="77" t="s">
        <v>126</v>
      </c>
      <c r="J740" s="77" t="s">
        <v>37</v>
      </c>
      <c r="K740" s="77" t="s">
        <v>37</v>
      </c>
      <c r="L740" s="77"/>
      <c r="M740" s="77" t="s">
        <v>37</v>
      </c>
      <c r="N740" s="77" t="s">
        <v>37</v>
      </c>
      <c r="O740" s="77" t="s">
        <v>38</v>
      </c>
      <c r="P740" s="77" t="s">
        <v>39</v>
      </c>
      <c r="Q740" s="76">
        <v>45961</v>
      </c>
      <c r="R740" s="77" t="s">
        <v>2760</v>
      </c>
      <c r="S740" s="77"/>
      <c r="T740" s="77"/>
      <c r="U740" s="77"/>
      <c r="V740" s="78"/>
      <c r="W740" s="79"/>
      <c r="X740" s="78"/>
      <c r="Y740" s="78"/>
      <c r="Z740" s="78"/>
      <c r="AA740">
        <f>IF(COUNTIF('Call Queue'!$H$6:$H$20,V740)&gt;0,0,IF(AND(ISNUMBER(N740),N740&gt;0),10000000+N740,IF(ISNUMBER(N740*1),IF(N740*1&gt;0,10000000+N740*1,0),0))+IF(ISNUMBER(SEARCH("(",L740)),1000000+IFERROR(VALUE(SUBSTITUTE(SUBSTITUTE(SUBSTITUTE(MID(L740,SEARCH("(",L740)+1,SEARCH(")",L740)-SEARCH("(",L740)-1),"$",""),",","")," ","")),0),0))</f>
        <v>0</v>
      </c>
    </row>
    <row r="741" spans="1:27">
      <c r="A741" s="76">
        <v>45907</v>
      </c>
      <c r="B741" s="77" t="s">
        <v>2761</v>
      </c>
      <c r="C741" s="77" t="s">
        <v>2762</v>
      </c>
      <c r="D741" s="77" t="s">
        <v>63</v>
      </c>
      <c r="E741" s="77">
        <v>85086</v>
      </c>
      <c r="F741" s="77" t="s">
        <v>31</v>
      </c>
      <c r="G741" s="77" t="s">
        <v>2364</v>
      </c>
      <c r="H741" s="77">
        <v>3006885688</v>
      </c>
      <c r="I741" s="77" t="s">
        <v>250</v>
      </c>
      <c r="J741" s="77" t="s">
        <v>37</v>
      </c>
      <c r="K741" s="77" t="s">
        <v>37</v>
      </c>
      <c r="L741" s="77" t="s">
        <v>1586</v>
      </c>
      <c r="M741" s="77" t="s">
        <v>37</v>
      </c>
      <c r="N741" s="77" t="s">
        <v>37</v>
      </c>
      <c r="O741" s="77" t="s">
        <v>38</v>
      </c>
      <c r="P741" s="77" t="s">
        <v>39</v>
      </c>
      <c r="Q741" s="76">
        <v>45961</v>
      </c>
      <c r="R741" s="77"/>
      <c r="S741" s="77"/>
      <c r="T741" s="77"/>
      <c r="U741" s="77"/>
      <c r="V741" s="78"/>
      <c r="W741" s="79"/>
      <c r="X741" s="78"/>
      <c r="Y741" s="78"/>
      <c r="Z741" s="78"/>
      <c r="AA741">
        <f>IF(COUNTIF('Call Queue'!$H$6:$H$20,V741)&gt;0,0,IF(AND(ISNUMBER(N741),N741&gt;0),10000000+N741,IF(ISNUMBER(N741*1),IF(N741*1&gt;0,10000000+N741*1,0),0))+IF(ISNUMBER(SEARCH("(",L741)),1000000+IFERROR(VALUE(SUBSTITUTE(SUBSTITUTE(SUBSTITUTE(MID(L741,SEARCH("(",L741)+1,SEARCH(")",L741)-SEARCH("(",L741)-1),"$",""),",","")," ","")),0),0))</f>
        <v>0</v>
      </c>
    </row>
    <row r="742" spans="1:27">
      <c r="A742" s="76">
        <v>45907</v>
      </c>
      <c r="B742" s="77" t="s">
        <v>2764</v>
      </c>
      <c r="C742" s="77" t="s">
        <v>2395</v>
      </c>
      <c r="D742" s="77" t="s">
        <v>93</v>
      </c>
      <c r="E742" s="77">
        <v>85373</v>
      </c>
      <c r="F742" s="77" t="s">
        <v>31</v>
      </c>
      <c r="G742" s="77" t="s">
        <v>2364</v>
      </c>
      <c r="H742" s="77">
        <v>786386957</v>
      </c>
      <c r="I742" s="77" t="s">
        <v>250</v>
      </c>
      <c r="J742" s="77" t="s">
        <v>37</v>
      </c>
      <c r="K742" s="77" t="s">
        <v>37</v>
      </c>
      <c r="L742" s="77" t="s">
        <v>2766</v>
      </c>
      <c r="M742" s="77" t="s">
        <v>37</v>
      </c>
      <c r="N742" s="77" t="s">
        <v>37</v>
      </c>
      <c r="O742" s="77" t="s">
        <v>38</v>
      </c>
      <c r="P742" s="77">
        <v>45938</v>
      </c>
      <c r="Q742" s="76">
        <v>45961</v>
      </c>
      <c r="R742" s="77" t="s">
        <v>2767</v>
      </c>
      <c r="S742" s="77"/>
      <c r="T742" s="77"/>
      <c r="U742" s="77"/>
      <c r="V742" s="78" t="s">
        <v>5432</v>
      </c>
      <c r="W742" s="79">
        <v>46025</v>
      </c>
      <c r="X742" s="78" t="s">
        <v>38</v>
      </c>
      <c r="Y742" s="78"/>
      <c r="Z742" s="78" t="s">
        <v>5458</v>
      </c>
      <c r="AA742">
        <f>IF(COUNTIF('Call Queue'!$H$6:$H$20,V742)&gt;0,0,IF(AND(ISNUMBER(N742),N742&gt;0),10000000+N742,IF(ISNUMBER(N742*1),IF(N742*1&gt;0,10000000+N742*1,0),0))+IF(ISNUMBER(SEARCH("(",L742)),1000000+IFERROR(VALUE(SUBSTITUTE(SUBSTITUTE(SUBSTITUTE(MID(L742,SEARCH("(",L742)+1,SEARCH(")",L742)-SEARCH("(",L742)-1),"$",""),",","")," ","")),0),0))</f>
        <v>0</v>
      </c>
    </row>
    <row r="743" spans="1:27">
      <c r="A743" s="76">
        <v>45907</v>
      </c>
      <c r="B743" s="77" t="s">
        <v>2768</v>
      </c>
      <c r="C743" s="77" t="s">
        <v>2769</v>
      </c>
      <c r="D743" s="77" t="s">
        <v>63</v>
      </c>
      <c r="E743" s="77">
        <v>85086</v>
      </c>
      <c r="F743" s="77" t="s">
        <v>31</v>
      </c>
      <c r="G743" s="77" t="s">
        <v>2364</v>
      </c>
      <c r="H743" s="77">
        <v>3973394094</v>
      </c>
      <c r="I743" s="77" t="s">
        <v>36</v>
      </c>
      <c r="J743" s="77" t="s">
        <v>37</v>
      </c>
      <c r="K743" s="77" t="s">
        <v>37</v>
      </c>
      <c r="L743" s="77" t="s">
        <v>1586</v>
      </c>
      <c r="M743" s="77" t="s">
        <v>37</v>
      </c>
      <c r="N743" s="77" t="s">
        <v>37</v>
      </c>
      <c r="O743" s="77" t="s">
        <v>38</v>
      </c>
      <c r="P743" s="77" t="s">
        <v>39</v>
      </c>
      <c r="Q743" s="76">
        <v>45961</v>
      </c>
      <c r="R743" s="77"/>
      <c r="S743" s="77"/>
      <c r="T743" s="77"/>
      <c r="U743" s="77"/>
      <c r="V743" s="78"/>
      <c r="W743" s="79"/>
      <c r="X743" s="78"/>
      <c r="Y743" s="78"/>
      <c r="Z743" s="78"/>
      <c r="AA743">
        <f>IF(COUNTIF('Call Queue'!$H$6:$H$20,V743)&gt;0,0,IF(AND(ISNUMBER(N743),N743&gt;0),10000000+N743,IF(ISNUMBER(N743*1),IF(N743*1&gt;0,10000000+N743*1,0),0))+IF(ISNUMBER(SEARCH("(",L743)),1000000+IFERROR(VALUE(SUBSTITUTE(SUBSTITUTE(SUBSTITUTE(MID(L743,SEARCH("(",L743)+1,SEARCH(")",L743)-SEARCH("(",L743)-1),"$",""),",","")," ","")),0),0))</f>
        <v>0</v>
      </c>
    </row>
    <row r="744" spans="1:27">
      <c r="A744" s="76">
        <v>45907</v>
      </c>
      <c r="B744" s="77" t="s">
        <v>2771</v>
      </c>
      <c r="C744" s="77" t="s">
        <v>2772</v>
      </c>
      <c r="D744" s="77" t="s">
        <v>125</v>
      </c>
      <c r="E744" s="77">
        <v>85260</v>
      </c>
      <c r="F744" s="77" t="s">
        <v>31</v>
      </c>
      <c r="G744" s="77" t="s">
        <v>2364</v>
      </c>
      <c r="H744" s="77">
        <v>1468123073</v>
      </c>
      <c r="I744" s="77" t="s">
        <v>36</v>
      </c>
      <c r="J744" s="77" t="s">
        <v>37</v>
      </c>
      <c r="K744" s="77" t="s">
        <v>37</v>
      </c>
      <c r="L744" s="77" t="s">
        <v>1586</v>
      </c>
      <c r="M744" s="77" t="s">
        <v>37</v>
      </c>
      <c r="N744" s="77" t="s">
        <v>37</v>
      </c>
      <c r="O744" s="77" t="s">
        <v>38</v>
      </c>
      <c r="P744" s="77" t="s">
        <v>39</v>
      </c>
      <c r="Q744" s="76">
        <v>45961</v>
      </c>
      <c r="R744" s="77"/>
      <c r="S744" s="77"/>
      <c r="T744" s="77"/>
      <c r="U744" s="77"/>
      <c r="V744" s="78"/>
      <c r="W744" s="79"/>
      <c r="X744" s="78"/>
      <c r="Y744" s="78"/>
      <c r="Z744" s="78"/>
      <c r="AA744">
        <f>IF(COUNTIF('Call Queue'!$H$6:$H$20,V744)&gt;0,0,IF(AND(ISNUMBER(N744),N744&gt;0),10000000+N744,IF(ISNUMBER(N744*1),IF(N744*1&gt;0,10000000+N744*1,0),0))+IF(ISNUMBER(SEARCH("(",L744)),1000000+IFERROR(VALUE(SUBSTITUTE(SUBSTITUTE(SUBSTITUTE(MID(L744,SEARCH("(",L744)+1,SEARCH(")",L744)-SEARCH("(",L744)-1),"$",""),",","")," ","")),0),0))</f>
        <v>0</v>
      </c>
    </row>
    <row r="745" spans="1:27">
      <c r="A745" s="76">
        <v>45907</v>
      </c>
      <c r="B745" s="77" t="s">
        <v>2775</v>
      </c>
      <c r="C745" s="77" t="s">
        <v>2454</v>
      </c>
      <c r="D745" s="77" t="s">
        <v>30</v>
      </c>
      <c r="E745" s="77" t="s">
        <v>30</v>
      </c>
      <c r="F745" s="77" t="s">
        <v>310</v>
      </c>
      <c r="G745" s="77" t="s">
        <v>2364</v>
      </c>
      <c r="H745" s="77" t="s">
        <v>209</v>
      </c>
      <c r="I745" s="77"/>
      <c r="J745" s="77"/>
      <c r="K745" s="77"/>
      <c r="L745" s="77"/>
      <c r="M745" s="77"/>
      <c r="N745" s="77"/>
      <c r="O745" s="77"/>
      <c r="P745" s="77"/>
      <c r="Q745" s="76"/>
      <c r="R745" s="77"/>
      <c r="S745" s="77"/>
      <c r="T745" s="77"/>
      <c r="U745" s="77"/>
      <c r="V745" s="78"/>
      <c r="W745" s="79"/>
      <c r="X745" s="78"/>
      <c r="Y745" s="78"/>
      <c r="Z745" s="78"/>
      <c r="AA745">
        <f>IF(COUNTIF('Call Queue'!$H$6:$H$20,V745)&gt;0,0,IF(AND(ISNUMBER(N745),N745&gt;0),10000000+N745,IF(ISNUMBER(N745*1),IF(N745*1&gt;0,10000000+N745*1,0),0))+IF(ISNUMBER(SEARCH("(",L745)),1000000+IFERROR(VALUE(SUBSTITUTE(SUBSTITUTE(SUBSTITUTE(MID(L745,SEARCH("(",L745)+1,SEARCH(")",L745)-SEARCH("(",L745)-1),"$",""),",","")," ","")),0),0))</f>
        <v>0</v>
      </c>
    </row>
    <row r="746" spans="1:27">
      <c r="A746" s="76">
        <v>45907</v>
      </c>
      <c r="B746" s="77" t="s">
        <v>2778</v>
      </c>
      <c r="C746" s="77" t="s">
        <v>2633</v>
      </c>
      <c r="D746" s="77" t="s">
        <v>63</v>
      </c>
      <c r="E746" s="77">
        <v>85086</v>
      </c>
      <c r="F746" s="77" t="s">
        <v>310</v>
      </c>
      <c r="G746" s="77" t="s">
        <v>2364</v>
      </c>
      <c r="H746" s="77">
        <v>902311000</v>
      </c>
      <c r="I746" s="77" t="s">
        <v>196</v>
      </c>
      <c r="J746" s="77" t="s">
        <v>37</v>
      </c>
      <c r="K746" s="77" t="s">
        <v>37</v>
      </c>
      <c r="L746" s="77" t="s">
        <v>2780</v>
      </c>
      <c r="M746" s="77" t="s">
        <v>38</v>
      </c>
      <c r="N746" s="77">
        <v>508.72</v>
      </c>
      <c r="O746" s="77" t="s">
        <v>38</v>
      </c>
      <c r="P746" s="77" t="s">
        <v>39</v>
      </c>
      <c r="Q746" s="76">
        <v>45961</v>
      </c>
      <c r="R746" s="77"/>
      <c r="S746" s="77"/>
      <c r="T746" s="77"/>
      <c r="U746" s="77"/>
      <c r="V746" s="78" t="s">
        <v>5432</v>
      </c>
      <c r="W746" s="79">
        <v>46025</v>
      </c>
      <c r="X746" s="78" t="s">
        <v>38</v>
      </c>
      <c r="Y746" s="78"/>
      <c r="Z746" s="78" t="s">
        <v>5458</v>
      </c>
      <c r="AA746">
        <f>IF(COUNTIF('Call Queue'!$H$6:$H$20,V746)&gt;0,0,IF(AND(ISNUMBER(N746),N746&gt;0),10000000+N746,IF(ISNUMBER(N746*1),IF(N746*1&gt;0,10000000+N746*1,0),0))+IF(ISNUMBER(SEARCH("(",L746)),1000000+IFERROR(VALUE(SUBSTITUTE(SUBSTITUTE(SUBSTITUTE(MID(L746,SEARCH("(",L746)+1,SEARCH(")",L746)-SEARCH("(",L746)-1),"$",""),",","")," ","")),0),0))</f>
        <v>0</v>
      </c>
    </row>
    <row r="747" spans="1:27">
      <c r="A747" s="76">
        <v>45908</v>
      </c>
      <c r="B747" s="77" t="s">
        <v>2781</v>
      </c>
      <c r="C747" s="77" t="s">
        <v>2380</v>
      </c>
      <c r="D747" s="77" t="s">
        <v>89</v>
      </c>
      <c r="E747" s="77">
        <v>86341</v>
      </c>
      <c r="F747" s="77" t="s">
        <v>1990</v>
      </c>
      <c r="G747" s="77" t="s">
        <v>2782</v>
      </c>
      <c r="H747" s="77">
        <v>9549931000</v>
      </c>
      <c r="I747" s="77" t="s">
        <v>57</v>
      </c>
      <c r="J747" s="77" t="s">
        <v>37</v>
      </c>
      <c r="K747" s="77" t="s">
        <v>37</v>
      </c>
      <c r="L747" s="77" t="s">
        <v>2784</v>
      </c>
      <c r="M747" s="77" t="s">
        <v>37</v>
      </c>
      <c r="N747" s="77" t="s">
        <v>37</v>
      </c>
      <c r="O747" s="77" t="s">
        <v>38</v>
      </c>
      <c r="P747" s="77">
        <v>45938</v>
      </c>
      <c r="Q747" s="76">
        <v>45961</v>
      </c>
      <c r="R747" s="77" t="s">
        <v>2767</v>
      </c>
      <c r="S747" s="77"/>
      <c r="T747" s="77"/>
      <c r="U747" s="77"/>
      <c r="V747" s="78" t="s">
        <v>5432</v>
      </c>
      <c r="W747" s="79">
        <v>46025</v>
      </c>
      <c r="X747" s="78" t="s">
        <v>38</v>
      </c>
      <c r="Y747" s="78"/>
      <c r="Z747" s="78" t="s">
        <v>5617</v>
      </c>
      <c r="AA747">
        <f>IF(COUNTIF('Call Queue'!$H$6:$H$20,V747)&gt;0,0,IF(AND(ISNUMBER(N747),N747&gt;0),10000000+N747,IF(ISNUMBER(N747*1),IF(N747*1&gt;0,10000000+N747*1,0),0))+IF(ISNUMBER(SEARCH("(",L747)),1000000+IFERROR(VALUE(SUBSTITUTE(SUBSTITUTE(SUBSTITUTE(MID(L747,SEARCH("(",L747)+1,SEARCH(")",L747)-SEARCH("(",L747)-1),"$",""),",","")," ","")),0),0))</f>
        <v>0</v>
      </c>
    </row>
    <row r="748" spans="1:27">
      <c r="A748" s="76">
        <v>45909</v>
      </c>
      <c r="B748" s="77" t="s">
        <v>2785</v>
      </c>
      <c r="C748" s="77" t="s">
        <v>2786</v>
      </c>
      <c r="D748" s="77" t="s">
        <v>63</v>
      </c>
      <c r="E748" s="77">
        <v>85012</v>
      </c>
      <c r="F748" s="77" t="s">
        <v>310</v>
      </c>
      <c r="G748" s="77" t="s">
        <v>2782</v>
      </c>
      <c r="H748" s="77">
        <v>5373695965</v>
      </c>
      <c r="I748" s="77" t="s">
        <v>126</v>
      </c>
      <c r="J748" s="77" t="s">
        <v>37</v>
      </c>
      <c r="K748" s="77" t="s">
        <v>37</v>
      </c>
      <c r="L748" s="77" t="s">
        <v>1586</v>
      </c>
      <c r="M748" s="77" t="s">
        <v>37</v>
      </c>
      <c r="N748" s="77" t="s">
        <v>37</v>
      </c>
      <c r="O748" s="77" t="s">
        <v>38</v>
      </c>
      <c r="P748" s="77" t="s">
        <v>39</v>
      </c>
      <c r="Q748" s="76">
        <v>45961</v>
      </c>
      <c r="R748" s="77"/>
      <c r="S748" s="77"/>
      <c r="T748" s="77"/>
      <c r="U748" s="77"/>
      <c r="V748" s="78"/>
      <c r="W748" s="79"/>
      <c r="X748" s="78"/>
      <c r="Y748" s="78"/>
      <c r="Z748" s="78"/>
      <c r="AA748">
        <f>IF(COUNTIF('Call Queue'!$H$6:$H$20,V748)&gt;0,0,IF(AND(ISNUMBER(N748),N748&gt;0),10000000+N748,IF(ISNUMBER(N748*1),IF(N748*1&gt;0,10000000+N748*1,0),0))+IF(ISNUMBER(SEARCH("(",L748)),1000000+IFERROR(VALUE(SUBSTITUTE(SUBSTITUTE(SUBSTITUTE(MID(L748,SEARCH("(",L748)+1,SEARCH(")",L748)-SEARCH("(",L748)-1),"$",""),",","")," ","")),0),0))</f>
        <v>0</v>
      </c>
    </row>
    <row r="749" spans="1:27">
      <c r="A749" s="76">
        <v>45909</v>
      </c>
      <c r="B749" s="77" t="s">
        <v>2788</v>
      </c>
      <c r="C749" s="77" t="s">
        <v>2789</v>
      </c>
      <c r="D749" s="77" t="s">
        <v>202</v>
      </c>
      <c r="E749" s="77">
        <v>85383</v>
      </c>
      <c r="F749" s="77" t="s">
        <v>2790</v>
      </c>
      <c r="G749" s="77" t="s">
        <v>2782</v>
      </c>
      <c r="H749" s="77">
        <v>5997041000</v>
      </c>
      <c r="I749" s="77" t="s">
        <v>1488</v>
      </c>
      <c r="J749" s="77" t="s">
        <v>37</v>
      </c>
      <c r="K749" s="77" t="s">
        <v>37</v>
      </c>
      <c r="L749" s="77" t="s">
        <v>389</v>
      </c>
      <c r="M749" s="77" t="s">
        <v>37</v>
      </c>
      <c r="N749" s="77" t="s">
        <v>37</v>
      </c>
      <c r="O749" s="77" t="s">
        <v>38</v>
      </c>
      <c r="P749" s="77" t="s">
        <v>39</v>
      </c>
      <c r="Q749" s="76">
        <v>45961</v>
      </c>
      <c r="R749" s="77"/>
      <c r="S749" s="77"/>
      <c r="T749" s="77"/>
      <c r="U749" s="77"/>
      <c r="V749" s="78"/>
      <c r="W749" s="79"/>
      <c r="X749" s="78"/>
      <c r="Y749" s="78"/>
      <c r="Z749" s="78"/>
      <c r="AA749">
        <f>IF(COUNTIF('Call Queue'!$H$6:$H$20,V749)&gt;0,0,IF(AND(ISNUMBER(N749),N749&gt;0),10000000+N749,IF(ISNUMBER(N749*1),IF(N749*1&gt;0,10000000+N749*1,0),0))+IF(ISNUMBER(SEARCH("(",L749)),1000000+IFERROR(VALUE(SUBSTITUTE(SUBSTITUTE(SUBSTITUTE(MID(L749,SEARCH("(",L749)+1,SEARCH(")",L749)-SEARCH("(",L749)-1),"$",""),",","")," ","")),0),0))</f>
        <v>0</v>
      </c>
    </row>
    <row r="750" spans="1:27">
      <c r="A750" s="76">
        <v>45909</v>
      </c>
      <c r="B750" s="77" t="s">
        <v>686</v>
      </c>
      <c r="C750" s="77" t="s">
        <v>1755</v>
      </c>
      <c r="D750" s="77" t="s">
        <v>112</v>
      </c>
      <c r="E750" s="77">
        <v>85374</v>
      </c>
      <c r="F750" s="77" t="s">
        <v>310</v>
      </c>
      <c r="G750" s="77" t="s">
        <v>2782</v>
      </c>
      <c r="H750" s="77">
        <v>8418910000</v>
      </c>
      <c r="I750" s="77" t="s">
        <v>36</v>
      </c>
      <c r="J750" s="77" t="s">
        <v>37</v>
      </c>
      <c r="K750" s="77" t="s">
        <v>37</v>
      </c>
      <c r="L750" s="77" t="s">
        <v>1586</v>
      </c>
      <c r="M750" s="77" t="s">
        <v>37</v>
      </c>
      <c r="N750" s="77" t="s">
        <v>37</v>
      </c>
      <c r="O750" s="77" t="s">
        <v>38</v>
      </c>
      <c r="P750" s="77" t="s">
        <v>39</v>
      </c>
      <c r="Q750" s="76">
        <v>45961</v>
      </c>
      <c r="R750" s="77"/>
      <c r="S750" s="77"/>
      <c r="T750" s="77"/>
      <c r="U750" s="77"/>
      <c r="V750" s="78"/>
      <c r="W750" s="79"/>
      <c r="X750" s="78"/>
      <c r="Y750" s="78"/>
      <c r="Z750" s="78"/>
      <c r="AA750">
        <f>IF(COUNTIF('Call Queue'!$H$6:$H$20,V750)&gt;0,0,IF(AND(ISNUMBER(N750),N750&gt;0),10000000+N750,IF(ISNUMBER(N750*1),IF(N750*1&gt;0,10000000+N750*1,0),0))+IF(ISNUMBER(SEARCH("(",L750)),1000000+IFERROR(VALUE(SUBSTITUTE(SUBSTITUTE(SUBSTITUTE(MID(L750,SEARCH("(",L750)+1,SEARCH(")",L750)-SEARCH("(",L750)-1),"$",""),",","")," ","")),0),0))</f>
        <v>0</v>
      </c>
    </row>
    <row r="751" spans="1:27">
      <c r="A751" s="76">
        <v>45909</v>
      </c>
      <c r="B751" s="77" t="s">
        <v>1356</v>
      </c>
      <c r="C751" s="77" t="s">
        <v>2794</v>
      </c>
      <c r="D751" s="77" t="s">
        <v>63</v>
      </c>
      <c r="E751" s="77">
        <v>85012</v>
      </c>
      <c r="F751" s="77" t="s">
        <v>310</v>
      </c>
      <c r="G751" s="77" t="s">
        <v>2782</v>
      </c>
      <c r="H751" s="77">
        <v>9984188572</v>
      </c>
      <c r="I751" s="77" t="s">
        <v>73</v>
      </c>
      <c r="J751" s="77" t="s">
        <v>38</v>
      </c>
      <c r="K751" s="77" t="s">
        <v>37</v>
      </c>
      <c r="L751" s="77" t="s">
        <v>1586</v>
      </c>
      <c r="M751" s="77" t="s">
        <v>37</v>
      </c>
      <c r="N751" s="77" t="s">
        <v>37</v>
      </c>
      <c r="O751" s="77" t="s">
        <v>38</v>
      </c>
      <c r="P751" s="77" t="s">
        <v>39</v>
      </c>
      <c r="Q751" s="76">
        <v>45961</v>
      </c>
      <c r="R751" s="77"/>
      <c r="S751" s="77"/>
      <c r="T751" s="77"/>
      <c r="U751" s="77"/>
      <c r="V751" s="78" t="s">
        <v>5432</v>
      </c>
      <c r="W751" s="79">
        <v>46081</v>
      </c>
      <c r="X751" s="78" t="s">
        <v>37</v>
      </c>
      <c r="Y751" s="78" t="s">
        <v>5442</v>
      </c>
      <c r="Z751" s="78" t="s">
        <v>5575</v>
      </c>
      <c r="AA751">
        <f>IF(COUNTIF('Call Queue'!$H$6:$H$20,V751)&gt;0,0,IF(AND(ISNUMBER(N751),N751&gt;0),10000000+N751,IF(ISNUMBER(N751*1),IF(N751*1&gt;0,10000000+N751*1,0),0))+IF(ISNUMBER(SEARCH("(",L751)),1000000+IFERROR(VALUE(SUBSTITUTE(SUBSTITUTE(SUBSTITUTE(MID(L751,SEARCH("(",L751)+1,SEARCH(")",L751)-SEARCH("(",L751)-1),"$",""),",","")," ","")),0),0))</f>
        <v>0</v>
      </c>
    </row>
    <row r="752" spans="1:27">
      <c r="A752" s="76">
        <v>45909</v>
      </c>
      <c r="B752" s="77" t="s">
        <v>2796</v>
      </c>
      <c r="C752" s="77" t="s">
        <v>2797</v>
      </c>
      <c r="D752" s="77" t="s">
        <v>63</v>
      </c>
      <c r="E752" s="77">
        <v>85085</v>
      </c>
      <c r="F752" s="77" t="s">
        <v>310</v>
      </c>
      <c r="G752" s="77" t="s">
        <v>2782</v>
      </c>
      <c r="H752" s="77">
        <v>7756951000</v>
      </c>
      <c r="I752" s="77" t="s">
        <v>1684</v>
      </c>
      <c r="J752" s="77" t="s">
        <v>37</v>
      </c>
      <c r="K752" s="77" t="s">
        <v>37</v>
      </c>
      <c r="L752" s="77" t="s">
        <v>401</v>
      </c>
      <c r="M752" s="77" t="s">
        <v>37</v>
      </c>
      <c r="N752" s="77" t="s">
        <v>37</v>
      </c>
      <c r="O752" s="77" t="s">
        <v>38</v>
      </c>
      <c r="P752" s="77" t="s">
        <v>39</v>
      </c>
      <c r="Q752" s="76">
        <v>45961</v>
      </c>
      <c r="R752" s="77"/>
      <c r="S752" s="77"/>
      <c r="T752" s="77"/>
      <c r="U752" s="77"/>
      <c r="V752" s="78" t="s">
        <v>5432</v>
      </c>
      <c r="W752" s="79">
        <v>46060</v>
      </c>
      <c r="X752" s="78" t="s">
        <v>38</v>
      </c>
      <c r="Y752" s="78"/>
      <c r="Z752" s="78" t="s">
        <v>5576</v>
      </c>
      <c r="AA752">
        <f>IF(COUNTIF('Call Queue'!$H$6:$H$20,V752)&gt;0,0,IF(AND(ISNUMBER(N752),N752&gt;0),10000000+N752,IF(ISNUMBER(N752*1),IF(N752*1&gt;0,10000000+N752*1,0),0))+IF(ISNUMBER(SEARCH("(",L752)),1000000+IFERROR(VALUE(SUBSTITUTE(SUBSTITUTE(SUBSTITUTE(MID(L752,SEARCH("(",L752)+1,SEARCH(")",L752)-SEARCH("(",L752)-1),"$",""),",","")," ","")),0),0))</f>
        <v>0</v>
      </c>
    </row>
    <row r="753" spans="1:27">
      <c r="A753" s="76">
        <v>45909</v>
      </c>
      <c r="B753" s="77" t="s">
        <v>2799</v>
      </c>
      <c r="C753" s="77" t="s">
        <v>2800</v>
      </c>
      <c r="D753" s="77" t="s">
        <v>202</v>
      </c>
      <c r="E753" s="77">
        <v>85383</v>
      </c>
      <c r="F753" s="77" t="s">
        <v>310</v>
      </c>
      <c r="G753" s="77" t="s">
        <v>2782</v>
      </c>
      <c r="H753" s="77">
        <v>3063800000</v>
      </c>
      <c r="I753" s="77" t="s">
        <v>36</v>
      </c>
      <c r="J753" s="77" t="s">
        <v>37</v>
      </c>
      <c r="K753" s="77" t="s">
        <v>37</v>
      </c>
      <c r="L753" s="77" t="s">
        <v>1586</v>
      </c>
      <c r="M753" s="77" t="s">
        <v>37</v>
      </c>
      <c r="N753" s="77" t="s">
        <v>37</v>
      </c>
      <c r="O753" s="77" t="s">
        <v>38</v>
      </c>
      <c r="P753" s="77" t="s">
        <v>39</v>
      </c>
      <c r="Q753" s="76">
        <v>45961</v>
      </c>
      <c r="R753" s="77"/>
      <c r="S753" s="77"/>
      <c r="T753" s="77"/>
      <c r="U753" s="77"/>
      <c r="V753" s="78" t="s">
        <v>5432</v>
      </c>
      <c r="W753" s="79">
        <v>46081</v>
      </c>
      <c r="X753" s="78" t="s">
        <v>37</v>
      </c>
      <c r="Y753" s="78" t="s">
        <v>5442</v>
      </c>
      <c r="Z753" s="78" t="s">
        <v>5575</v>
      </c>
      <c r="AA753">
        <f>IF(COUNTIF('Call Queue'!$H$6:$H$20,V753)&gt;0,0,IF(AND(ISNUMBER(N753),N753&gt;0),10000000+N753,IF(ISNUMBER(N753*1),IF(N753*1&gt;0,10000000+N753*1,0),0))+IF(ISNUMBER(SEARCH("(",L753)),1000000+IFERROR(VALUE(SUBSTITUTE(SUBSTITUTE(SUBSTITUTE(MID(L753,SEARCH("(",L753)+1,SEARCH(")",L753)-SEARCH("(",L753)-1),"$",""),",","")," ","")),0),0))</f>
        <v>0</v>
      </c>
    </row>
    <row r="754" spans="1:27">
      <c r="A754" s="76">
        <v>45909</v>
      </c>
      <c r="B754" s="77" t="s">
        <v>2802</v>
      </c>
      <c r="C754" s="77" t="s">
        <v>2803</v>
      </c>
      <c r="D754" s="77" t="s">
        <v>619</v>
      </c>
      <c r="E754" s="77">
        <v>85365</v>
      </c>
      <c r="F754" s="77" t="s">
        <v>2804</v>
      </c>
      <c r="G754" s="77" t="s">
        <v>2782</v>
      </c>
      <c r="H754" s="77" t="s">
        <v>2805</v>
      </c>
      <c r="I754" s="77" t="s">
        <v>196</v>
      </c>
      <c r="J754" s="77" t="s">
        <v>37</v>
      </c>
      <c r="K754" s="77" t="s">
        <v>37</v>
      </c>
      <c r="L754" s="77" t="s">
        <v>2806</v>
      </c>
      <c r="M754" s="77" t="s">
        <v>37</v>
      </c>
      <c r="N754" s="77" t="s">
        <v>37</v>
      </c>
      <c r="O754" s="77" t="s">
        <v>38</v>
      </c>
      <c r="P754" s="77">
        <v>45938</v>
      </c>
      <c r="Q754" s="76">
        <v>45961</v>
      </c>
      <c r="R754" s="77" t="s">
        <v>2767</v>
      </c>
      <c r="S754" s="77"/>
      <c r="T754" s="77"/>
      <c r="U754" s="77"/>
      <c r="V754" s="78" t="s">
        <v>5432</v>
      </c>
      <c r="W754" s="79">
        <v>46025</v>
      </c>
      <c r="X754" s="78" t="s">
        <v>38</v>
      </c>
      <c r="Y754" s="78"/>
      <c r="Z754" s="78" t="s">
        <v>5458</v>
      </c>
      <c r="AA754">
        <f>IF(COUNTIF('Call Queue'!$H$6:$H$20,V754)&gt;0,0,IF(AND(ISNUMBER(N754),N754&gt;0),10000000+N754,IF(ISNUMBER(N754*1),IF(N754*1&gt;0,10000000+N754*1,0),0))+IF(ISNUMBER(SEARCH("(",L754)),1000000+IFERROR(VALUE(SUBSTITUTE(SUBSTITUTE(SUBSTITUTE(MID(L754,SEARCH("(",L754)+1,SEARCH(")",L754)-SEARCH("(",L754)-1),"$",""),",","")," ","")),0),0))</f>
        <v>0</v>
      </c>
    </row>
    <row r="755" spans="1:27">
      <c r="A755" s="76">
        <v>45909</v>
      </c>
      <c r="B755" s="77" t="s">
        <v>2807</v>
      </c>
      <c r="C755" s="77" t="s">
        <v>2808</v>
      </c>
      <c r="D755" s="77" t="s">
        <v>428</v>
      </c>
      <c r="E755" s="77">
        <v>85335</v>
      </c>
      <c r="F755" s="77" t="s">
        <v>2809</v>
      </c>
      <c r="G755" s="77" t="s">
        <v>2782</v>
      </c>
      <c r="H755" s="77">
        <v>6552151000</v>
      </c>
      <c r="I755" s="77" t="s">
        <v>1488</v>
      </c>
      <c r="J755" s="77" t="s">
        <v>37</v>
      </c>
      <c r="K755" s="77" t="s">
        <v>37</v>
      </c>
      <c r="L755" s="77" t="s">
        <v>389</v>
      </c>
      <c r="M755" s="77" t="s">
        <v>37</v>
      </c>
      <c r="N755" s="77" t="s">
        <v>37</v>
      </c>
      <c r="O755" s="77" t="s">
        <v>38</v>
      </c>
      <c r="P755" s="77" t="s">
        <v>39</v>
      </c>
      <c r="Q755" s="76">
        <v>45961</v>
      </c>
      <c r="R755" s="77"/>
      <c r="S755" s="77"/>
      <c r="T755" s="77"/>
      <c r="U755" s="77"/>
      <c r="V755" s="78" t="s">
        <v>5432</v>
      </c>
      <c r="W755" s="79">
        <v>46081</v>
      </c>
      <c r="X755" s="78" t="s">
        <v>38</v>
      </c>
      <c r="Y755" s="78"/>
      <c r="Z755" s="78" t="s">
        <v>5458</v>
      </c>
      <c r="AA755">
        <f>IF(COUNTIF('Call Queue'!$H$6:$H$20,V755)&gt;0,0,IF(AND(ISNUMBER(N755),N755&gt;0),10000000+N755,IF(ISNUMBER(N755*1),IF(N755*1&gt;0,10000000+N755*1,0),0))+IF(ISNUMBER(SEARCH("(",L755)),1000000+IFERROR(VALUE(SUBSTITUTE(SUBSTITUTE(SUBSTITUTE(MID(L755,SEARCH("(",L755)+1,SEARCH(")",L755)-SEARCH("(",L755)-1),"$",""),",","")," ","")),0),0))</f>
        <v>0</v>
      </c>
    </row>
    <row r="756" spans="1:27">
      <c r="A756" s="76">
        <v>45909</v>
      </c>
      <c r="B756" s="77" t="s">
        <v>2811</v>
      </c>
      <c r="C756" s="77" t="s">
        <v>1444</v>
      </c>
      <c r="D756" s="77" t="s">
        <v>370</v>
      </c>
      <c r="E756" s="77">
        <v>85225</v>
      </c>
      <c r="F756" s="77" t="s">
        <v>310</v>
      </c>
      <c r="G756" s="77" t="s">
        <v>2812</v>
      </c>
      <c r="H756" s="77">
        <v>5001808687</v>
      </c>
      <c r="I756" s="77" t="s">
        <v>46</v>
      </c>
      <c r="J756" s="77" t="s">
        <v>37</v>
      </c>
      <c r="K756" s="77" t="s">
        <v>37</v>
      </c>
      <c r="L756" s="77" t="s">
        <v>1586</v>
      </c>
      <c r="M756" s="77" t="s">
        <v>37</v>
      </c>
      <c r="N756" s="77" t="s">
        <v>37</v>
      </c>
      <c r="O756" s="77" t="s">
        <v>38</v>
      </c>
      <c r="P756" s="77" t="s">
        <v>39</v>
      </c>
      <c r="Q756" s="76">
        <v>45961</v>
      </c>
      <c r="R756" s="77"/>
      <c r="S756" s="77"/>
      <c r="T756" s="77"/>
      <c r="U756" s="77"/>
      <c r="V756" s="78"/>
      <c r="W756" s="79"/>
      <c r="X756" s="78"/>
      <c r="Y756" s="78"/>
      <c r="Z756" s="78"/>
      <c r="AA756">
        <f>IF(COUNTIF('Call Queue'!$H$6:$H$20,V756)&gt;0,0,IF(AND(ISNUMBER(N756),N756&gt;0),10000000+N756,IF(ISNUMBER(N756*1),IF(N756*1&gt;0,10000000+N756*1,0),0))+IF(ISNUMBER(SEARCH("(",L756)),1000000+IFERROR(VALUE(SUBSTITUTE(SUBSTITUTE(SUBSTITUTE(MID(L756,SEARCH("(",L756)+1,SEARCH(")",L756)-SEARCH("(",L756)-1),"$",""),",","")," ","")),0),0))</f>
        <v>0</v>
      </c>
    </row>
    <row r="757" spans="1:27">
      <c r="A757" s="76">
        <v>45909</v>
      </c>
      <c r="B757" s="77" t="s">
        <v>558</v>
      </c>
      <c r="C757" s="77" t="s">
        <v>2814</v>
      </c>
      <c r="D757" s="77" t="s">
        <v>1719</v>
      </c>
      <c r="E757" s="77">
        <v>85615</v>
      </c>
      <c r="F757" s="77" t="s">
        <v>31</v>
      </c>
      <c r="G757" s="77" t="s">
        <v>2812</v>
      </c>
      <c r="H757" s="77">
        <v>1247840000</v>
      </c>
      <c r="I757" s="77" t="s">
        <v>196</v>
      </c>
      <c r="J757" s="77" t="s">
        <v>38</v>
      </c>
      <c r="K757" s="77" t="s">
        <v>37</v>
      </c>
      <c r="L757" s="77" t="s">
        <v>2816</v>
      </c>
      <c r="M757" s="77" t="s">
        <v>37</v>
      </c>
      <c r="N757" s="77" t="s">
        <v>37</v>
      </c>
      <c r="O757" s="77" t="s">
        <v>38</v>
      </c>
      <c r="P757" s="77">
        <v>45938</v>
      </c>
      <c r="Q757" s="76">
        <v>45961</v>
      </c>
      <c r="R757" s="77" t="s">
        <v>2767</v>
      </c>
      <c r="S757" s="77"/>
      <c r="T757" s="77"/>
      <c r="U757" s="77"/>
      <c r="V757" s="78" t="s">
        <v>5432</v>
      </c>
      <c r="W757" s="79">
        <v>46025</v>
      </c>
      <c r="X757" s="78" t="s">
        <v>38</v>
      </c>
      <c r="Y757" s="78"/>
      <c r="Z757" s="78" t="s">
        <v>5458</v>
      </c>
      <c r="AA757">
        <f>IF(COUNTIF('Call Queue'!$H$6:$H$20,V757)&gt;0,0,IF(AND(ISNUMBER(N757),N757&gt;0),10000000+N757,IF(ISNUMBER(N757*1),IF(N757*1&gt;0,10000000+N757*1,0),0))+IF(ISNUMBER(SEARCH("(",L757)),1000000+IFERROR(VALUE(SUBSTITUTE(SUBSTITUTE(SUBSTITUTE(MID(L757,SEARCH("(",L757)+1,SEARCH(")",L757)-SEARCH("(",L757)-1),"$",""),",","")," ","")),0),0))</f>
        <v>0</v>
      </c>
    </row>
    <row r="758" spans="1:27">
      <c r="A758" s="76">
        <v>45909</v>
      </c>
      <c r="B758" s="77" t="s">
        <v>1136</v>
      </c>
      <c r="C758" s="77" t="s">
        <v>2817</v>
      </c>
      <c r="D758" s="77" t="s">
        <v>63</v>
      </c>
      <c r="E758" s="77">
        <v>85032</v>
      </c>
      <c r="F758" s="77" t="s">
        <v>310</v>
      </c>
      <c r="G758" s="77" t="s">
        <v>2812</v>
      </c>
      <c r="H758" s="77">
        <v>7888410000</v>
      </c>
      <c r="I758" s="77" t="s">
        <v>36</v>
      </c>
      <c r="J758" s="77" t="s">
        <v>37</v>
      </c>
      <c r="K758" s="77" t="s">
        <v>37</v>
      </c>
      <c r="L758" s="77" t="s">
        <v>1586</v>
      </c>
      <c r="M758" s="77" t="s">
        <v>37</v>
      </c>
      <c r="N758" s="77" t="s">
        <v>37</v>
      </c>
      <c r="O758" s="77" t="s">
        <v>38</v>
      </c>
      <c r="P758" s="77" t="s">
        <v>39</v>
      </c>
      <c r="Q758" s="76">
        <v>45961</v>
      </c>
      <c r="R758" s="77"/>
      <c r="S758" s="77"/>
      <c r="T758" s="77"/>
      <c r="U758" s="77"/>
      <c r="V758" s="78"/>
      <c r="W758" s="79"/>
      <c r="X758" s="78"/>
      <c r="Y758" s="78"/>
      <c r="Z758" s="78"/>
      <c r="AA758">
        <f>IF(COUNTIF('Call Queue'!$H$6:$H$20,V758)&gt;0,0,IF(AND(ISNUMBER(N758),N758&gt;0),10000000+N758,IF(ISNUMBER(N758*1),IF(N758*1&gt;0,10000000+N758*1,0),0))+IF(ISNUMBER(SEARCH("(",L758)),1000000+IFERROR(VALUE(SUBSTITUTE(SUBSTITUTE(SUBSTITUTE(MID(L758,SEARCH("(",L758)+1,SEARCH(")",L758)-SEARCH("(",L758)-1),"$",""),",","")," ","")),0),0))</f>
        <v>0</v>
      </c>
    </row>
    <row r="759" spans="1:27">
      <c r="A759" s="76">
        <v>45909</v>
      </c>
      <c r="B759" s="77" t="s">
        <v>269</v>
      </c>
      <c r="C759" s="77" t="s">
        <v>420</v>
      </c>
      <c r="D759" s="77" t="s">
        <v>63</v>
      </c>
      <c r="E759" s="77">
        <v>85020</v>
      </c>
      <c r="F759" s="77" t="s">
        <v>310</v>
      </c>
      <c r="G759" s="77" t="s">
        <v>2812</v>
      </c>
      <c r="H759" s="77">
        <v>5739710087</v>
      </c>
      <c r="I759" s="77" t="s">
        <v>541</v>
      </c>
      <c r="J759" s="77" t="s">
        <v>37</v>
      </c>
      <c r="K759" s="77" t="s">
        <v>37</v>
      </c>
      <c r="L759" s="77" t="s">
        <v>389</v>
      </c>
      <c r="M759" s="77" t="s">
        <v>37</v>
      </c>
      <c r="N759" s="77" t="s">
        <v>37</v>
      </c>
      <c r="O759" s="77" t="s">
        <v>38</v>
      </c>
      <c r="P759" s="77" t="s">
        <v>39</v>
      </c>
      <c r="Q759" s="76">
        <v>45961</v>
      </c>
      <c r="R759" s="77"/>
      <c r="S759" s="77"/>
      <c r="T759" s="77"/>
      <c r="U759" s="77"/>
      <c r="V759" s="78" t="s">
        <v>5432</v>
      </c>
      <c r="W759" s="79">
        <v>46081</v>
      </c>
      <c r="X759" s="78" t="s">
        <v>38</v>
      </c>
      <c r="Y759" s="78"/>
      <c r="Z759" s="78" t="s">
        <v>5458</v>
      </c>
      <c r="AA759">
        <f>IF(COUNTIF('Call Queue'!$H$6:$H$20,V759)&gt;0,0,IF(AND(ISNUMBER(N759),N759&gt;0),10000000+N759,IF(ISNUMBER(N759*1),IF(N759*1&gt;0,10000000+N759*1,0),0))+IF(ISNUMBER(SEARCH("(",L759)),1000000+IFERROR(VALUE(SUBSTITUTE(SUBSTITUTE(SUBSTITUTE(MID(L759,SEARCH("(",L759)+1,SEARCH(")",L759)-SEARCH("(",L759)-1),"$",""),",","")," ","")),0),0))</f>
        <v>0</v>
      </c>
    </row>
    <row r="760" spans="1:27">
      <c r="A760" s="76">
        <v>45909</v>
      </c>
      <c r="B760" s="77" t="s">
        <v>2820</v>
      </c>
      <c r="C760" s="77" t="s">
        <v>177</v>
      </c>
      <c r="D760" s="77" t="s">
        <v>63</v>
      </c>
      <c r="E760" s="77">
        <v>85083</v>
      </c>
      <c r="F760" s="77" t="s">
        <v>31</v>
      </c>
      <c r="G760" s="77" t="s">
        <v>2812</v>
      </c>
      <c r="H760" s="77" t="s">
        <v>209</v>
      </c>
      <c r="I760" s="77"/>
      <c r="J760" s="77"/>
      <c r="K760" s="77"/>
      <c r="L760" s="77"/>
      <c r="M760" s="77"/>
      <c r="N760" s="77"/>
      <c r="O760" s="77"/>
      <c r="P760" s="77"/>
      <c r="Q760" s="76"/>
      <c r="R760" s="77"/>
      <c r="S760" s="77"/>
      <c r="T760" s="77"/>
      <c r="U760" s="77"/>
      <c r="V760" s="78"/>
      <c r="W760" s="79"/>
      <c r="X760" s="78"/>
      <c r="Y760" s="78"/>
      <c r="Z760" s="78"/>
      <c r="AA760">
        <f>IF(COUNTIF('Call Queue'!$H$6:$H$20,V760)&gt;0,0,IF(AND(ISNUMBER(N760),N760&gt;0),10000000+N760,IF(ISNUMBER(N760*1),IF(N760*1&gt;0,10000000+N760*1,0),0))+IF(ISNUMBER(SEARCH("(",L760)),1000000+IFERROR(VALUE(SUBSTITUTE(SUBSTITUTE(SUBSTITUTE(MID(L760,SEARCH("(",L760)+1,SEARCH(")",L760)-SEARCH("(",L760)-1),"$",""),",","")," ","")),0),0))</f>
        <v>0</v>
      </c>
    </row>
    <row r="761" spans="1:27">
      <c r="A761" s="76">
        <v>45909</v>
      </c>
      <c r="B761" s="77" t="s">
        <v>2821</v>
      </c>
      <c r="C761" s="77" t="s">
        <v>1806</v>
      </c>
      <c r="D761" s="77" t="s">
        <v>63</v>
      </c>
      <c r="E761" s="77">
        <v>85083</v>
      </c>
      <c r="F761" s="77" t="s">
        <v>31</v>
      </c>
      <c r="G761" s="77" t="s">
        <v>2812</v>
      </c>
      <c r="H761" s="77">
        <v>7411200000</v>
      </c>
      <c r="I761" s="77" t="s">
        <v>126</v>
      </c>
      <c r="J761" s="77" t="s">
        <v>37</v>
      </c>
      <c r="K761" s="77" t="s">
        <v>37</v>
      </c>
      <c r="L761" s="77" t="s">
        <v>1586</v>
      </c>
      <c r="M761" s="77" t="s">
        <v>37</v>
      </c>
      <c r="N761" s="77" t="s">
        <v>37</v>
      </c>
      <c r="O761" s="77" t="s">
        <v>38</v>
      </c>
      <c r="P761" s="77" t="s">
        <v>39</v>
      </c>
      <c r="Q761" s="76">
        <v>45961</v>
      </c>
      <c r="R761" s="77"/>
      <c r="S761" s="77"/>
      <c r="T761" s="77"/>
      <c r="U761" s="77"/>
      <c r="V761" s="78"/>
      <c r="W761" s="79"/>
      <c r="X761" s="78"/>
      <c r="Y761" s="78"/>
      <c r="Z761" s="78"/>
      <c r="AA761">
        <f>IF(COUNTIF('Call Queue'!$H$6:$H$20,V761)&gt;0,0,IF(AND(ISNUMBER(N761),N761&gt;0),10000000+N761,IF(ISNUMBER(N761*1),IF(N761*1&gt;0,10000000+N761*1,0),0))+IF(ISNUMBER(SEARCH("(",L761)),1000000+IFERROR(VALUE(SUBSTITUTE(SUBSTITUTE(SUBSTITUTE(MID(L761,SEARCH("(",L761)+1,SEARCH(")",L761)-SEARCH("(",L761)-1),"$",""),",","")," ","")),0),0))</f>
        <v>0</v>
      </c>
    </row>
    <row r="762" spans="1:27">
      <c r="A762" s="76">
        <v>45909</v>
      </c>
      <c r="B762" s="77" t="s">
        <v>835</v>
      </c>
      <c r="C762" s="77" t="s">
        <v>2823</v>
      </c>
      <c r="D762" s="77" t="s">
        <v>63</v>
      </c>
      <c r="E762" s="77">
        <v>85086</v>
      </c>
      <c r="F762" s="77" t="s">
        <v>31</v>
      </c>
      <c r="G762" s="77" t="s">
        <v>2812</v>
      </c>
      <c r="H762" s="77">
        <v>9763988768</v>
      </c>
      <c r="I762" s="77" t="s">
        <v>36</v>
      </c>
      <c r="J762" s="77" t="s">
        <v>38</v>
      </c>
      <c r="K762" s="77" t="s">
        <v>37</v>
      </c>
      <c r="L762" s="77" t="s">
        <v>1586</v>
      </c>
      <c r="M762" s="77" t="s">
        <v>37</v>
      </c>
      <c r="N762" s="77" t="s">
        <v>37</v>
      </c>
      <c r="O762" s="77" t="s">
        <v>38</v>
      </c>
      <c r="P762" s="77" t="s">
        <v>39</v>
      </c>
      <c r="Q762" s="76">
        <v>45961</v>
      </c>
      <c r="R762" s="77"/>
      <c r="S762" s="77"/>
      <c r="T762" s="77"/>
      <c r="U762" s="77"/>
      <c r="V762" s="78" t="s">
        <v>5432</v>
      </c>
      <c r="W762" s="79">
        <v>46081</v>
      </c>
      <c r="X762" s="78" t="s">
        <v>38</v>
      </c>
      <c r="Y762" s="78"/>
      <c r="Z762" s="78" t="s">
        <v>5458</v>
      </c>
      <c r="AA762">
        <f>IF(COUNTIF('Call Queue'!$H$6:$H$20,V762)&gt;0,0,IF(AND(ISNUMBER(N762),N762&gt;0),10000000+N762,IF(ISNUMBER(N762*1),IF(N762*1&gt;0,10000000+N762*1,0),0))+IF(ISNUMBER(SEARCH("(",L762)),1000000+IFERROR(VALUE(SUBSTITUTE(SUBSTITUTE(SUBSTITUTE(MID(L762,SEARCH("(",L762)+1,SEARCH(")",L762)-SEARCH("(",L762)-1),"$",""),",","")," ","")),0),0))</f>
        <v>0</v>
      </c>
    </row>
    <row r="763" spans="1:27">
      <c r="A763" s="76">
        <v>45909</v>
      </c>
      <c r="B763" s="77" t="s">
        <v>2826</v>
      </c>
      <c r="C763" s="77" t="s">
        <v>102</v>
      </c>
      <c r="D763" s="77" t="s">
        <v>63</v>
      </c>
      <c r="E763" s="77">
        <v>85086</v>
      </c>
      <c r="F763" s="77" t="s">
        <v>2827</v>
      </c>
      <c r="G763" s="77" t="s">
        <v>2812</v>
      </c>
      <c r="H763" s="77">
        <v>4455045278</v>
      </c>
      <c r="I763" s="77" t="s">
        <v>46</v>
      </c>
      <c r="J763" s="77" t="s">
        <v>37</v>
      </c>
      <c r="K763" s="77" t="s">
        <v>37</v>
      </c>
      <c r="L763" s="77" t="s">
        <v>1586</v>
      </c>
      <c r="M763" s="77" t="s">
        <v>37</v>
      </c>
      <c r="N763" s="77" t="s">
        <v>37</v>
      </c>
      <c r="O763" s="77" t="s">
        <v>38</v>
      </c>
      <c r="P763" s="77" t="s">
        <v>39</v>
      </c>
      <c r="Q763" s="76">
        <v>45961</v>
      </c>
      <c r="R763" s="77"/>
      <c r="S763" s="77"/>
      <c r="T763" s="77"/>
      <c r="U763" s="77"/>
      <c r="V763" s="78"/>
      <c r="W763" s="79"/>
      <c r="X763" s="78"/>
      <c r="Y763" s="78"/>
      <c r="Z763" s="78"/>
      <c r="AA763">
        <f>IF(COUNTIF('Call Queue'!$H$6:$H$20,V763)&gt;0,0,IF(AND(ISNUMBER(N763),N763&gt;0),10000000+N763,IF(ISNUMBER(N763*1),IF(N763*1&gt;0,10000000+N763*1,0),0))+IF(ISNUMBER(SEARCH("(",L763)),1000000+IFERROR(VALUE(SUBSTITUTE(SUBSTITUTE(SUBSTITUTE(MID(L763,SEARCH("(",L763)+1,SEARCH(")",L763)-SEARCH("(",L763)-1),"$",""),",","")," ","")),0),0))</f>
        <v>0</v>
      </c>
    </row>
    <row r="764" spans="1:27">
      <c r="A764" s="76">
        <v>45909</v>
      </c>
      <c r="B764" s="77" t="s">
        <v>2829</v>
      </c>
      <c r="C764" s="77" t="s">
        <v>2380</v>
      </c>
      <c r="D764" s="77" t="s">
        <v>63</v>
      </c>
      <c r="E764" s="77">
        <v>85086</v>
      </c>
      <c r="F764" s="77" t="s">
        <v>31</v>
      </c>
      <c r="G764" s="77" t="s">
        <v>2812</v>
      </c>
      <c r="H764" s="77">
        <v>8069970000</v>
      </c>
      <c r="I764" s="77" t="s">
        <v>46</v>
      </c>
      <c r="J764" s="77" t="s">
        <v>37</v>
      </c>
      <c r="K764" s="77" t="s">
        <v>37</v>
      </c>
      <c r="L764" s="77" t="s">
        <v>1586</v>
      </c>
      <c r="M764" s="77" t="s">
        <v>38</v>
      </c>
      <c r="N764" s="77">
        <v>1068.19</v>
      </c>
      <c r="O764" s="77" t="s">
        <v>38</v>
      </c>
      <c r="P764" s="77"/>
      <c r="Q764" s="76">
        <v>45961</v>
      </c>
      <c r="R764" s="77" t="s">
        <v>495</v>
      </c>
      <c r="S764" s="77"/>
      <c r="T764" s="77"/>
      <c r="U764" s="77"/>
      <c r="V764" s="78" t="s">
        <v>5432</v>
      </c>
      <c r="W764" s="79">
        <v>46025</v>
      </c>
      <c r="X764" s="78" t="s">
        <v>38</v>
      </c>
      <c r="Y764" s="78"/>
      <c r="Z764" s="78" t="s">
        <v>5458</v>
      </c>
      <c r="AA764">
        <f>IF(COUNTIF('Call Queue'!$H$6:$H$20,V764)&gt;0,0,IF(AND(ISNUMBER(N764),N764&gt;0),10000000+N764,IF(ISNUMBER(N764*1),IF(N764*1&gt;0,10000000+N764*1,0),0))+IF(ISNUMBER(SEARCH("(",L764)),1000000+IFERROR(VALUE(SUBSTITUTE(SUBSTITUTE(SUBSTITUTE(MID(L764,SEARCH("(",L764)+1,SEARCH(")",L764)-SEARCH("(",L764)-1),"$",""),",","")," ","")),0),0))</f>
        <v>0</v>
      </c>
    </row>
    <row r="765" spans="1:27">
      <c r="A765" s="76">
        <v>45909</v>
      </c>
      <c r="B765" s="77" t="s">
        <v>1583</v>
      </c>
      <c r="C765" s="77" t="s">
        <v>284</v>
      </c>
      <c r="D765" s="77" t="s">
        <v>30</v>
      </c>
      <c r="E765" s="77" t="s">
        <v>30</v>
      </c>
      <c r="F765" s="77" t="s">
        <v>310</v>
      </c>
      <c r="G765" s="77" t="s">
        <v>2812</v>
      </c>
      <c r="H765" s="77" t="s">
        <v>209</v>
      </c>
      <c r="I765" s="77"/>
      <c r="J765" s="77"/>
      <c r="K765" s="77"/>
      <c r="L765" s="77"/>
      <c r="M765" s="77"/>
      <c r="N765" s="77"/>
      <c r="O765" s="77"/>
      <c r="P765" s="77"/>
      <c r="Q765" s="76"/>
      <c r="R765" s="77"/>
      <c r="S765" s="77"/>
      <c r="T765" s="77"/>
      <c r="U765" s="77"/>
      <c r="V765" s="78"/>
      <c r="W765" s="79"/>
      <c r="X765" s="78"/>
      <c r="Y765" s="78"/>
      <c r="Z765" s="78"/>
      <c r="AA765">
        <f>IF(COUNTIF('Call Queue'!$H$6:$H$20,V765)&gt;0,0,IF(AND(ISNUMBER(N765),N765&gt;0),10000000+N765,IF(ISNUMBER(N765*1),IF(N765*1&gt;0,10000000+N765*1,0),0))+IF(ISNUMBER(SEARCH("(",L765)),1000000+IFERROR(VALUE(SUBSTITUTE(SUBSTITUTE(SUBSTITUTE(MID(L765,SEARCH("(",L765)+1,SEARCH(")",L765)-SEARCH("(",L765)-1),"$",""),",","")," ","")),0),0))</f>
        <v>0</v>
      </c>
    </row>
    <row r="766" spans="1:27">
      <c r="A766" s="76">
        <v>45909</v>
      </c>
      <c r="B766" s="77" t="s">
        <v>2761</v>
      </c>
      <c r="C766" s="77" t="s">
        <v>481</v>
      </c>
      <c r="D766" s="77" t="s">
        <v>63</v>
      </c>
      <c r="E766" s="77">
        <v>85086</v>
      </c>
      <c r="F766" s="77" t="s">
        <v>2827</v>
      </c>
      <c r="G766" s="77" t="s">
        <v>2812</v>
      </c>
      <c r="H766" s="77">
        <v>3006885688</v>
      </c>
      <c r="I766" s="77" t="s">
        <v>250</v>
      </c>
      <c r="J766" s="77" t="s">
        <v>37</v>
      </c>
      <c r="K766" s="77" t="s">
        <v>37</v>
      </c>
      <c r="L766" s="77" t="s">
        <v>1586</v>
      </c>
      <c r="M766" s="77" t="s">
        <v>37</v>
      </c>
      <c r="N766" s="77" t="s">
        <v>37</v>
      </c>
      <c r="O766" s="77" t="s">
        <v>38</v>
      </c>
      <c r="P766" s="77" t="s">
        <v>39</v>
      </c>
      <c r="Q766" s="76">
        <v>45961</v>
      </c>
      <c r="R766" s="77"/>
      <c r="S766" s="77"/>
      <c r="T766" s="77"/>
      <c r="U766" s="77"/>
      <c r="V766" s="78"/>
      <c r="W766" s="79"/>
      <c r="X766" s="78"/>
      <c r="Y766" s="78"/>
      <c r="Z766" s="78"/>
      <c r="AA766">
        <f>IF(COUNTIF('Call Queue'!$H$6:$H$20,V766)&gt;0,0,IF(AND(ISNUMBER(N766),N766&gt;0),10000000+N766,IF(ISNUMBER(N766*1),IF(N766*1&gt;0,10000000+N766*1,0),0))+IF(ISNUMBER(SEARCH("(",L766)),1000000+IFERROR(VALUE(SUBSTITUTE(SUBSTITUTE(SUBSTITUTE(MID(L766,SEARCH("(",L766)+1,SEARCH(")",L766)-SEARCH("(",L766)-1),"$",""),",","")," ","")),0),0))</f>
        <v>0</v>
      </c>
    </row>
    <row r="767" spans="1:27">
      <c r="A767" s="76">
        <v>45909</v>
      </c>
      <c r="B767" s="77" t="s">
        <v>2833</v>
      </c>
      <c r="C767" s="77" t="s">
        <v>355</v>
      </c>
      <c r="D767" s="77" t="s">
        <v>125</v>
      </c>
      <c r="E767" s="77">
        <v>85255</v>
      </c>
      <c r="F767" s="77" t="s">
        <v>31</v>
      </c>
      <c r="G767" s="77" t="s">
        <v>2812</v>
      </c>
      <c r="H767" s="77" t="s">
        <v>209</v>
      </c>
      <c r="I767" s="77"/>
      <c r="J767" s="77"/>
      <c r="K767" s="77"/>
      <c r="L767" s="77"/>
      <c r="M767" s="77"/>
      <c r="N767" s="77"/>
      <c r="O767" s="77"/>
      <c r="P767" s="77"/>
      <c r="Q767" s="76"/>
      <c r="R767" s="77"/>
      <c r="S767" s="77"/>
      <c r="T767" s="77"/>
      <c r="U767" s="77"/>
      <c r="V767" s="78"/>
      <c r="W767" s="79"/>
      <c r="X767" s="78"/>
      <c r="Y767" s="78"/>
      <c r="Z767" s="78"/>
      <c r="AA767">
        <f>IF(COUNTIF('Call Queue'!$H$6:$H$20,V767)&gt;0,0,IF(AND(ISNUMBER(N767),N767&gt;0),10000000+N767,IF(ISNUMBER(N767*1),IF(N767*1&gt;0,10000000+N767*1,0),0))+IF(ISNUMBER(SEARCH("(",L767)),1000000+IFERROR(VALUE(SUBSTITUTE(SUBSTITUTE(SUBSTITUTE(MID(L767,SEARCH("(",L767)+1,SEARCH(")",L767)-SEARCH("(",L767)-1),"$",""),",","")," ","")),0),0))</f>
        <v>0</v>
      </c>
    </row>
    <row r="768" spans="1:27">
      <c r="A768" s="76">
        <v>45909</v>
      </c>
      <c r="B768" s="77" t="s">
        <v>2836</v>
      </c>
      <c r="C768" s="77" t="s">
        <v>133</v>
      </c>
      <c r="D768" s="77" t="s">
        <v>30</v>
      </c>
      <c r="E768" s="77" t="s">
        <v>30</v>
      </c>
      <c r="F768" s="77" t="s">
        <v>310</v>
      </c>
      <c r="G768" s="77" t="s">
        <v>2812</v>
      </c>
      <c r="H768" s="77">
        <v>1139701000</v>
      </c>
      <c r="I768" s="77" t="s">
        <v>250</v>
      </c>
      <c r="J768" s="77" t="s">
        <v>37</v>
      </c>
      <c r="K768" s="77" t="s">
        <v>37</v>
      </c>
      <c r="L768" s="77" t="s">
        <v>1586</v>
      </c>
      <c r="M768" s="77" t="s">
        <v>37</v>
      </c>
      <c r="N768" s="77" t="s">
        <v>37</v>
      </c>
      <c r="O768" s="77" t="s">
        <v>38</v>
      </c>
      <c r="P768" s="77" t="s">
        <v>39</v>
      </c>
      <c r="Q768" s="76">
        <v>45961</v>
      </c>
      <c r="R768" s="77"/>
      <c r="S768" s="77"/>
      <c r="T768" s="77"/>
      <c r="U768" s="77"/>
      <c r="V768" s="78" t="s">
        <v>5432</v>
      </c>
      <c r="W768" s="79">
        <v>46081</v>
      </c>
      <c r="X768" s="78" t="s">
        <v>37</v>
      </c>
      <c r="Y768" s="78" t="s">
        <v>5442</v>
      </c>
      <c r="Z768" s="78" t="s">
        <v>5577</v>
      </c>
      <c r="AA768">
        <f>IF(COUNTIF('Call Queue'!$H$6:$H$20,V768)&gt;0,0,IF(AND(ISNUMBER(N768),N768&gt;0),10000000+N768,IF(ISNUMBER(N768*1),IF(N768*1&gt;0,10000000+N768*1,0),0))+IF(ISNUMBER(SEARCH("(",L768)),1000000+IFERROR(VALUE(SUBSTITUTE(SUBSTITUTE(SUBSTITUTE(MID(L768,SEARCH("(",L768)+1,SEARCH(")",L768)-SEARCH("(",L768)-1),"$",""),",","")," ","")),0),0))</f>
        <v>0</v>
      </c>
    </row>
    <row r="769" spans="1:27">
      <c r="A769" s="76">
        <v>45909</v>
      </c>
      <c r="B769" s="77" t="s">
        <v>2839</v>
      </c>
      <c r="C769" s="77" t="s">
        <v>320</v>
      </c>
      <c r="D769" s="77" t="s">
        <v>63</v>
      </c>
      <c r="E769" s="77">
        <v>85085</v>
      </c>
      <c r="F769" s="77" t="s">
        <v>310</v>
      </c>
      <c r="G769" s="77" t="s">
        <v>2812</v>
      </c>
      <c r="H769" s="77">
        <v>7740741000</v>
      </c>
      <c r="I769" s="77" t="s">
        <v>36</v>
      </c>
      <c r="J769" s="77" t="s">
        <v>37</v>
      </c>
      <c r="K769" s="77" t="s">
        <v>37</v>
      </c>
      <c r="L769" s="77" t="s">
        <v>1586</v>
      </c>
      <c r="M769" s="77" t="s">
        <v>37</v>
      </c>
      <c r="N769" s="77" t="s">
        <v>37</v>
      </c>
      <c r="O769" s="77" t="s">
        <v>38</v>
      </c>
      <c r="P769" s="77" t="s">
        <v>39</v>
      </c>
      <c r="Q769" s="76">
        <v>45961</v>
      </c>
      <c r="R769" s="77"/>
      <c r="S769" s="77"/>
      <c r="T769" s="77"/>
      <c r="U769" s="77"/>
      <c r="V769" s="78"/>
      <c r="W769" s="79"/>
      <c r="X769" s="78"/>
      <c r="Y769" s="78"/>
      <c r="Z769" s="78"/>
      <c r="AA769">
        <f>IF(COUNTIF('Call Queue'!$H$6:$H$20,V769)&gt;0,0,IF(AND(ISNUMBER(N769),N769&gt;0),10000000+N769,IF(ISNUMBER(N769*1),IF(N769*1&gt;0,10000000+N769*1,0),0))+IF(ISNUMBER(SEARCH("(",L769)),1000000+IFERROR(VALUE(SUBSTITUTE(SUBSTITUTE(SUBSTITUTE(MID(L769,SEARCH("(",L769)+1,SEARCH(")",L769)-SEARCH("(",L769)-1),"$",""),",","")," ","")),0),0))</f>
        <v>0</v>
      </c>
    </row>
    <row r="770" spans="1:27">
      <c r="A770" s="76">
        <v>45909</v>
      </c>
      <c r="B770" s="77" t="s">
        <v>2841</v>
      </c>
      <c r="C770" s="77" t="s">
        <v>931</v>
      </c>
      <c r="D770" s="77" t="s">
        <v>880</v>
      </c>
      <c r="E770" s="77">
        <v>85086</v>
      </c>
      <c r="F770" s="77" t="s">
        <v>2842</v>
      </c>
      <c r="G770" s="77" t="s">
        <v>2812</v>
      </c>
      <c r="H770" s="77">
        <v>4807360000</v>
      </c>
      <c r="I770" s="77" t="s">
        <v>250</v>
      </c>
      <c r="J770" s="77" t="s">
        <v>37</v>
      </c>
      <c r="K770" s="77" t="s">
        <v>37</v>
      </c>
      <c r="L770" s="77" t="s">
        <v>1586</v>
      </c>
      <c r="M770" s="77" t="s">
        <v>37</v>
      </c>
      <c r="N770" s="77" t="s">
        <v>37</v>
      </c>
      <c r="O770" s="77" t="s">
        <v>38</v>
      </c>
      <c r="P770" s="77" t="s">
        <v>39</v>
      </c>
      <c r="Q770" s="76">
        <v>45961</v>
      </c>
      <c r="R770" s="77"/>
      <c r="S770" s="77"/>
      <c r="T770" s="77"/>
      <c r="U770" s="77"/>
      <c r="V770" s="78" t="s">
        <v>5432</v>
      </c>
      <c r="W770" s="79">
        <v>46081</v>
      </c>
      <c r="X770" s="78" t="s">
        <v>37</v>
      </c>
      <c r="Y770" s="78" t="s">
        <v>5442</v>
      </c>
      <c r="Z770" s="78" t="s">
        <v>5563</v>
      </c>
      <c r="AA770">
        <f>IF(COUNTIF('Call Queue'!$H$6:$H$20,V770)&gt;0,0,IF(AND(ISNUMBER(N770),N770&gt;0),10000000+N770,IF(ISNUMBER(N770*1),IF(N770*1&gt;0,10000000+N770*1,0),0))+IF(ISNUMBER(SEARCH("(",L770)),1000000+IFERROR(VALUE(SUBSTITUTE(SUBSTITUTE(SUBSTITUTE(MID(L770,SEARCH("(",L770)+1,SEARCH(")",L770)-SEARCH("(",L770)-1),"$",""),",","")," ","")),0),0))</f>
        <v>0</v>
      </c>
    </row>
    <row r="771" spans="1:27">
      <c r="A771" s="76">
        <v>45909</v>
      </c>
      <c r="B771" s="77" t="s">
        <v>2844</v>
      </c>
      <c r="C771" s="77" t="s">
        <v>2845</v>
      </c>
      <c r="D771" s="77" t="s">
        <v>63</v>
      </c>
      <c r="E771" s="77">
        <v>85086</v>
      </c>
      <c r="F771" s="77" t="s">
        <v>2588</v>
      </c>
      <c r="G771" s="77" t="s">
        <v>2812</v>
      </c>
      <c r="H771" s="77">
        <v>7745120000</v>
      </c>
      <c r="I771" s="77" t="s">
        <v>250</v>
      </c>
      <c r="J771" s="77" t="s">
        <v>37</v>
      </c>
      <c r="K771" s="77" t="s">
        <v>37</v>
      </c>
      <c r="L771" s="77" t="s">
        <v>1586</v>
      </c>
      <c r="M771" s="77" t="s">
        <v>37</v>
      </c>
      <c r="N771" s="77" t="s">
        <v>37</v>
      </c>
      <c r="O771" s="77" t="s">
        <v>38</v>
      </c>
      <c r="P771" s="77" t="s">
        <v>39</v>
      </c>
      <c r="Q771" s="76">
        <v>45961</v>
      </c>
      <c r="R771" s="77"/>
      <c r="S771" s="77"/>
      <c r="T771" s="77"/>
      <c r="U771" s="77"/>
      <c r="V771" s="78" t="s">
        <v>5432</v>
      </c>
      <c r="W771" s="79">
        <v>45997</v>
      </c>
      <c r="X771" s="78" t="s">
        <v>38</v>
      </c>
      <c r="Y771" s="78"/>
      <c r="Z771" s="78" t="s">
        <v>5578</v>
      </c>
      <c r="AA771">
        <f>IF(COUNTIF('Call Queue'!$H$6:$H$20,V771)&gt;0,0,IF(AND(ISNUMBER(N771),N771&gt;0),10000000+N771,IF(ISNUMBER(N771*1),IF(N771*1&gt;0,10000000+N771*1,0),0))+IF(ISNUMBER(SEARCH("(",L771)),1000000+IFERROR(VALUE(SUBSTITUTE(SUBSTITUTE(SUBSTITUTE(MID(L771,SEARCH("(",L771)+1,SEARCH(")",L771)-SEARCH("(",L771)-1),"$",""),",","")," ","")),0),0))</f>
        <v>0</v>
      </c>
    </row>
    <row r="772" spans="1:27">
      <c r="A772" s="76">
        <v>45909</v>
      </c>
      <c r="B772" s="77" t="s">
        <v>2847</v>
      </c>
      <c r="C772" s="77" t="s">
        <v>184</v>
      </c>
      <c r="D772" s="77" t="s">
        <v>2641</v>
      </c>
      <c r="E772" s="77">
        <v>85087</v>
      </c>
      <c r="F772" s="77" t="s">
        <v>310</v>
      </c>
      <c r="G772" s="77" t="s">
        <v>2812</v>
      </c>
      <c r="H772" s="77">
        <v>9186920000</v>
      </c>
      <c r="I772" s="77" t="s">
        <v>250</v>
      </c>
      <c r="J772" s="77" t="s">
        <v>37</v>
      </c>
      <c r="K772" s="77" t="s">
        <v>37</v>
      </c>
      <c r="L772" s="77" t="s">
        <v>1586</v>
      </c>
      <c r="M772" s="77" t="s">
        <v>38</v>
      </c>
      <c r="N772" s="77">
        <v>548.12</v>
      </c>
      <c r="O772" s="77" t="s">
        <v>38</v>
      </c>
      <c r="P772" s="77"/>
      <c r="Q772" s="76">
        <v>45961</v>
      </c>
      <c r="R772" s="77" t="s">
        <v>495</v>
      </c>
      <c r="S772" s="77"/>
      <c r="T772" s="77"/>
      <c r="U772" s="77"/>
      <c r="V772" s="78" t="s">
        <v>5432</v>
      </c>
      <c r="W772" s="79">
        <v>46025</v>
      </c>
      <c r="X772" s="78" t="s">
        <v>38</v>
      </c>
      <c r="Y772" s="78"/>
      <c r="Z772" s="78" t="s">
        <v>5458</v>
      </c>
      <c r="AA772">
        <f>IF(COUNTIF('Call Queue'!$H$6:$H$20,V772)&gt;0,0,IF(AND(ISNUMBER(N772),N772&gt;0),10000000+N772,IF(ISNUMBER(N772*1),IF(N772*1&gt;0,10000000+N772*1,0),0))+IF(ISNUMBER(SEARCH("(",L772)),1000000+IFERROR(VALUE(SUBSTITUTE(SUBSTITUTE(SUBSTITUTE(MID(L772,SEARCH("(",L772)+1,SEARCH(")",L772)-SEARCH("(",L772)-1),"$",""),",","")," ","")),0),0))</f>
        <v>0</v>
      </c>
    </row>
    <row r="773" spans="1:27">
      <c r="A773" s="76">
        <v>45909</v>
      </c>
      <c r="B773" s="77" t="s">
        <v>2849</v>
      </c>
      <c r="C773" s="77" t="s">
        <v>2850</v>
      </c>
      <c r="D773" s="77" t="s">
        <v>63</v>
      </c>
      <c r="E773" s="77">
        <v>85086</v>
      </c>
      <c r="F773" s="77" t="s">
        <v>2851</v>
      </c>
      <c r="G773" s="77" t="s">
        <v>2812</v>
      </c>
      <c r="H773" s="77">
        <v>5805736054</v>
      </c>
      <c r="I773" s="77" t="s">
        <v>196</v>
      </c>
      <c r="J773" s="77" t="s">
        <v>37</v>
      </c>
      <c r="K773" s="77" t="s">
        <v>37</v>
      </c>
      <c r="L773" s="77" t="s">
        <v>1586</v>
      </c>
      <c r="M773" s="77" t="s">
        <v>37</v>
      </c>
      <c r="N773" s="77" t="s">
        <v>37</v>
      </c>
      <c r="O773" s="77" t="s">
        <v>38</v>
      </c>
      <c r="P773" s="77" t="s">
        <v>39</v>
      </c>
      <c r="Q773" s="76">
        <v>45961</v>
      </c>
      <c r="R773" s="77"/>
      <c r="S773" s="77"/>
      <c r="T773" s="77"/>
      <c r="U773" s="77"/>
      <c r="V773" s="78"/>
      <c r="W773" s="79"/>
      <c r="X773" s="78"/>
      <c r="Y773" s="78"/>
      <c r="Z773" s="78"/>
      <c r="AA773">
        <f>IF(COUNTIF('Call Queue'!$H$6:$H$20,V773)&gt;0,0,IF(AND(ISNUMBER(N773),N773&gt;0),10000000+N773,IF(ISNUMBER(N773*1),IF(N773*1&gt;0,10000000+N773*1,0),0))+IF(ISNUMBER(SEARCH("(",L773)),1000000+IFERROR(VALUE(SUBSTITUTE(SUBSTITUTE(SUBSTITUTE(MID(L773,SEARCH("(",L773)+1,SEARCH(")",L773)-SEARCH("(",L773)-1),"$",""),",","")," ","")),0),0))</f>
        <v>0</v>
      </c>
    </row>
    <row r="774" spans="1:27">
      <c r="A774" s="76">
        <v>45909</v>
      </c>
      <c r="B774" s="77" t="s">
        <v>2853</v>
      </c>
      <c r="C774" s="77" t="s">
        <v>1661</v>
      </c>
      <c r="D774" s="77" t="s">
        <v>2641</v>
      </c>
      <c r="E774" s="77">
        <v>85087</v>
      </c>
      <c r="F774" s="77" t="s">
        <v>310</v>
      </c>
      <c r="G774" s="77" t="s">
        <v>2812</v>
      </c>
      <c r="H774" s="77">
        <v>4181641000</v>
      </c>
      <c r="I774" s="77" t="s">
        <v>81</v>
      </c>
      <c r="J774" s="77" t="s">
        <v>37</v>
      </c>
      <c r="K774" s="77" t="s">
        <v>37</v>
      </c>
      <c r="L774" s="77" t="s">
        <v>389</v>
      </c>
      <c r="M774" s="77" t="s">
        <v>37</v>
      </c>
      <c r="N774" s="77" t="s">
        <v>37</v>
      </c>
      <c r="O774" s="77" t="s">
        <v>38</v>
      </c>
      <c r="P774" s="77" t="s">
        <v>39</v>
      </c>
      <c r="Q774" s="76">
        <v>45961</v>
      </c>
      <c r="R774" s="77"/>
      <c r="S774" s="77"/>
      <c r="T774" s="77"/>
      <c r="U774" s="77"/>
      <c r="V774" s="78" t="s">
        <v>5432</v>
      </c>
      <c r="W774" s="79">
        <v>46081</v>
      </c>
      <c r="X774" s="78" t="s">
        <v>37</v>
      </c>
      <c r="Y774" s="78" t="s">
        <v>5442</v>
      </c>
      <c r="Z774" s="78" t="s">
        <v>5579</v>
      </c>
      <c r="AA774">
        <f>IF(COUNTIF('Call Queue'!$H$6:$H$20,V774)&gt;0,0,IF(AND(ISNUMBER(N774),N774&gt;0),10000000+N774,IF(ISNUMBER(N774*1),IF(N774*1&gt;0,10000000+N774*1,0),0))+IF(ISNUMBER(SEARCH("(",L774)),1000000+IFERROR(VALUE(SUBSTITUTE(SUBSTITUTE(SUBSTITUTE(MID(L774,SEARCH("(",L774)+1,SEARCH(")",L774)-SEARCH("(",L774)-1),"$",""),",","")," ","")),0),0))</f>
        <v>0</v>
      </c>
    </row>
    <row r="775" spans="1:27">
      <c r="A775" s="76">
        <v>45909</v>
      </c>
      <c r="B775" s="77" t="s">
        <v>2857</v>
      </c>
      <c r="C775" s="77" t="s">
        <v>2858</v>
      </c>
      <c r="D775" s="77" t="s">
        <v>30</v>
      </c>
      <c r="E775" s="77" t="s">
        <v>30</v>
      </c>
      <c r="F775" s="77" t="s">
        <v>310</v>
      </c>
      <c r="G775" s="77" t="s">
        <v>2812</v>
      </c>
      <c r="H775" s="77">
        <v>5506921000</v>
      </c>
      <c r="I775" s="77" t="s">
        <v>36</v>
      </c>
      <c r="J775" s="77" t="s">
        <v>37</v>
      </c>
      <c r="K775" s="77" t="s">
        <v>37</v>
      </c>
      <c r="L775" s="77" t="s">
        <v>1586</v>
      </c>
      <c r="M775" s="77" t="s">
        <v>37</v>
      </c>
      <c r="N775" s="77" t="s">
        <v>37</v>
      </c>
      <c r="O775" s="77" t="s">
        <v>38</v>
      </c>
      <c r="P775" s="77" t="s">
        <v>39</v>
      </c>
      <c r="Q775" s="76">
        <v>45961</v>
      </c>
      <c r="R775" s="77"/>
      <c r="S775" s="77"/>
      <c r="T775" s="77"/>
      <c r="U775" s="77"/>
      <c r="V775" s="78"/>
      <c r="W775" s="79"/>
      <c r="X775" s="78"/>
      <c r="Y775" s="78"/>
      <c r="Z775" s="78"/>
      <c r="AA775">
        <f>IF(COUNTIF('Call Queue'!$H$6:$H$20,V775)&gt;0,0,IF(AND(ISNUMBER(N775),N775&gt;0),10000000+N775,IF(ISNUMBER(N775*1),IF(N775*1&gt;0,10000000+N775*1,0),0))+IF(ISNUMBER(SEARCH("(",L775)),1000000+IFERROR(VALUE(SUBSTITUTE(SUBSTITUTE(SUBSTITUTE(MID(L775,SEARCH("(",L775)+1,SEARCH(")",L775)-SEARCH("(",L775)-1),"$",""),",","")," ","")),0),0))</f>
        <v>0</v>
      </c>
    </row>
    <row r="776" spans="1:27">
      <c r="A776" s="76">
        <v>45909</v>
      </c>
      <c r="B776" s="77" t="s">
        <v>2860</v>
      </c>
      <c r="C776" s="77" t="s">
        <v>2861</v>
      </c>
      <c r="D776" s="77" t="s">
        <v>85</v>
      </c>
      <c r="E776" s="77">
        <v>86323</v>
      </c>
      <c r="F776" s="77" t="s">
        <v>31</v>
      </c>
      <c r="G776" s="77" t="s">
        <v>2812</v>
      </c>
      <c r="H776" s="77">
        <v>3459240757</v>
      </c>
      <c r="I776" s="77" t="s">
        <v>196</v>
      </c>
      <c r="J776" s="77" t="s">
        <v>37</v>
      </c>
      <c r="K776" s="77" t="s">
        <v>37</v>
      </c>
      <c r="L776" s="77" t="s">
        <v>2863</v>
      </c>
      <c r="M776" s="77" t="s">
        <v>37</v>
      </c>
      <c r="N776" s="77" t="s">
        <v>37</v>
      </c>
      <c r="O776" s="77" t="s">
        <v>38</v>
      </c>
      <c r="P776" s="77" t="s">
        <v>39</v>
      </c>
      <c r="Q776" s="76">
        <v>45961</v>
      </c>
      <c r="R776" s="77"/>
      <c r="S776" s="77"/>
      <c r="T776" s="77"/>
      <c r="U776" s="77"/>
      <c r="V776" s="78" t="s">
        <v>5432</v>
      </c>
      <c r="W776" s="79">
        <v>45997</v>
      </c>
      <c r="X776" s="78"/>
      <c r="Y776" s="78"/>
      <c r="Z776" s="78" t="s">
        <v>5584</v>
      </c>
      <c r="AA776">
        <f>IF(COUNTIF('Call Queue'!$H$6:$H$20,V776)&gt;0,0,IF(AND(ISNUMBER(N776),N776&gt;0),10000000+N776,IF(ISNUMBER(N776*1),IF(N776*1&gt;0,10000000+N776*1,0),0))+IF(ISNUMBER(SEARCH("(",L776)),1000000+IFERROR(VALUE(SUBSTITUTE(SUBSTITUTE(SUBSTITUTE(MID(L776,SEARCH("(",L776)+1,SEARCH(")",L776)-SEARCH("(",L776)-1),"$",""),",","")," ","")),0),0))</f>
        <v>0</v>
      </c>
    </row>
    <row r="777" spans="1:27">
      <c r="A777" s="76">
        <v>45909</v>
      </c>
      <c r="B777" s="77" t="s">
        <v>2864</v>
      </c>
      <c r="C777" s="77" t="s">
        <v>801</v>
      </c>
      <c r="D777" s="77" t="s">
        <v>63</v>
      </c>
      <c r="E777" s="77">
        <v>85083</v>
      </c>
      <c r="F777" s="77" t="s">
        <v>2865</v>
      </c>
      <c r="G777" s="77" t="s">
        <v>2812</v>
      </c>
      <c r="H777" s="77">
        <v>1593380000</v>
      </c>
      <c r="I777" s="77" t="s">
        <v>250</v>
      </c>
      <c r="J777" s="77" t="s">
        <v>37</v>
      </c>
      <c r="K777" s="77" t="s">
        <v>37</v>
      </c>
      <c r="L777" s="77" t="s">
        <v>1586</v>
      </c>
      <c r="M777" s="77" t="s">
        <v>37</v>
      </c>
      <c r="N777" s="77" t="s">
        <v>37</v>
      </c>
      <c r="O777" s="77" t="s">
        <v>38</v>
      </c>
      <c r="P777" s="77" t="s">
        <v>39</v>
      </c>
      <c r="Q777" s="76">
        <v>45961</v>
      </c>
      <c r="R777" s="77"/>
      <c r="S777" s="77"/>
      <c r="T777" s="77"/>
      <c r="U777" s="77"/>
      <c r="V777" s="78"/>
      <c r="W777" s="79"/>
      <c r="X777" s="78"/>
      <c r="Y777" s="78"/>
      <c r="Z777" s="78"/>
      <c r="AA777">
        <f>IF(COUNTIF('Call Queue'!$H$6:$H$20,V777)&gt;0,0,IF(AND(ISNUMBER(N777),N777&gt;0),10000000+N777,IF(ISNUMBER(N777*1),IF(N777*1&gt;0,10000000+N777*1,0),0))+IF(ISNUMBER(SEARCH("(",L777)),1000000+IFERROR(VALUE(SUBSTITUTE(SUBSTITUTE(SUBSTITUTE(MID(L777,SEARCH("(",L777)+1,SEARCH(")",L777)-SEARCH("(",L777)-1),"$",""),",","")," ","")),0),0))</f>
        <v>0</v>
      </c>
    </row>
    <row r="778" spans="1:27">
      <c r="A778" s="76">
        <v>45909</v>
      </c>
      <c r="B778" s="77" t="s">
        <v>2869</v>
      </c>
      <c r="C778" s="77" t="s">
        <v>2380</v>
      </c>
      <c r="D778" s="77" t="s">
        <v>30</v>
      </c>
      <c r="E778" s="77" t="s">
        <v>30</v>
      </c>
      <c r="F778" s="77" t="s">
        <v>31</v>
      </c>
      <c r="G778" s="77" t="s">
        <v>2812</v>
      </c>
      <c r="H778" s="77">
        <v>4494941000</v>
      </c>
      <c r="I778" s="77" t="s">
        <v>73</v>
      </c>
      <c r="J778" s="77" t="s">
        <v>37</v>
      </c>
      <c r="K778" s="77" t="s">
        <v>37</v>
      </c>
      <c r="L778" s="77" t="s">
        <v>1586</v>
      </c>
      <c r="M778" s="77" t="s">
        <v>37</v>
      </c>
      <c r="N778" s="77" t="s">
        <v>37</v>
      </c>
      <c r="O778" s="77" t="s">
        <v>38</v>
      </c>
      <c r="P778" s="77" t="s">
        <v>39</v>
      </c>
      <c r="Q778" s="76">
        <v>45961</v>
      </c>
      <c r="R778" s="77"/>
      <c r="S778" s="77"/>
      <c r="T778" s="77"/>
      <c r="U778" s="77"/>
      <c r="V778" s="78" t="s">
        <v>5432</v>
      </c>
      <c r="W778" s="79">
        <v>46081</v>
      </c>
      <c r="X778" s="78" t="s">
        <v>38</v>
      </c>
      <c r="Y778" s="78"/>
      <c r="Z778" s="78" t="s">
        <v>5579</v>
      </c>
      <c r="AA778">
        <f>IF(COUNTIF('Call Queue'!$H$6:$H$20,V778)&gt;0,0,IF(AND(ISNUMBER(N778),N778&gt;0),10000000+N778,IF(ISNUMBER(N778*1),IF(N778*1&gt;0,10000000+N778*1,0),0))+IF(ISNUMBER(SEARCH("(",L778)),1000000+IFERROR(VALUE(SUBSTITUTE(SUBSTITUTE(SUBSTITUTE(MID(L778,SEARCH("(",L778)+1,SEARCH(")",L778)-SEARCH("(",L778)-1),"$",""),",","")," ","")),0),0))</f>
        <v>0</v>
      </c>
    </row>
    <row r="779" spans="1:27">
      <c r="A779" s="76">
        <v>45909</v>
      </c>
      <c r="B779" s="77" t="s">
        <v>1797</v>
      </c>
      <c r="C779" s="77" t="s">
        <v>2871</v>
      </c>
      <c r="D779" s="77" t="s">
        <v>63</v>
      </c>
      <c r="E779" s="77">
        <v>85035</v>
      </c>
      <c r="F779" s="77" t="s">
        <v>310</v>
      </c>
      <c r="G779" s="77" t="s">
        <v>2812</v>
      </c>
      <c r="H779" s="77">
        <v>879272556</v>
      </c>
      <c r="I779" s="77" t="s">
        <v>36</v>
      </c>
      <c r="J779" s="77" t="s">
        <v>37</v>
      </c>
      <c r="K779" s="77" t="s">
        <v>37</v>
      </c>
      <c r="L779" s="77" t="s">
        <v>1586</v>
      </c>
      <c r="M779" s="77" t="s">
        <v>37</v>
      </c>
      <c r="N779" s="77" t="s">
        <v>37</v>
      </c>
      <c r="O779" s="77" t="s">
        <v>38</v>
      </c>
      <c r="P779" s="77" t="s">
        <v>39</v>
      </c>
      <c r="Q779" s="76">
        <v>45961</v>
      </c>
      <c r="R779" s="77"/>
      <c r="S779" s="77"/>
      <c r="T779" s="77"/>
      <c r="U779" s="77" t="s">
        <v>2873</v>
      </c>
      <c r="V779" s="78"/>
      <c r="W779" s="79"/>
      <c r="X779" s="78"/>
      <c r="Y779" s="78"/>
      <c r="Z779" s="78"/>
      <c r="AA779">
        <f>IF(COUNTIF('Call Queue'!$H$6:$H$20,V779)&gt;0,0,IF(AND(ISNUMBER(N779),N779&gt;0),10000000+N779,IF(ISNUMBER(N779*1),IF(N779*1&gt;0,10000000+N779*1,0),0))+IF(ISNUMBER(SEARCH("(",L779)),1000000+IFERROR(VALUE(SUBSTITUTE(SUBSTITUTE(SUBSTITUTE(MID(L779,SEARCH("(",L779)+1,SEARCH(")",L779)-SEARCH("(",L779)-1),"$",""),",","")," ","")),0),0))</f>
        <v>0</v>
      </c>
    </row>
    <row r="780" spans="1:27">
      <c r="A780" s="76">
        <v>45909</v>
      </c>
      <c r="B780" s="77" t="s">
        <v>2874</v>
      </c>
      <c r="C780" s="77" t="s">
        <v>2875</v>
      </c>
      <c r="D780" s="77" t="s">
        <v>63</v>
      </c>
      <c r="E780" s="77">
        <v>85028</v>
      </c>
      <c r="F780" s="77" t="s">
        <v>2876</v>
      </c>
      <c r="G780" s="77" t="s">
        <v>2812</v>
      </c>
      <c r="H780" s="77">
        <v>9093670000</v>
      </c>
      <c r="I780" s="77" t="s">
        <v>36</v>
      </c>
      <c r="J780" s="77" t="s">
        <v>37</v>
      </c>
      <c r="K780" s="77" t="s">
        <v>37</v>
      </c>
      <c r="L780" s="77" t="s">
        <v>1586</v>
      </c>
      <c r="M780" s="77" t="s">
        <v>37</v>
      </c>
      <c r="N780" s="77" t="s">
        <v>37</v>
      </c>
      <c r="O780" s="77" t="s">
        <v>38</v>
      </c>
      <c r="P780" s="77" t="s">
        <v>39</v>
      </c>
      <c r="Q780" s="76">
        <v>45961</v>
      </c>
      <c r="R780" s="77"/>
      <c r="S780" s="77"/>
      <c r="T780" s="77"/>
      <c r="U780" s="77"/>
      <c r="V780" s="78" t="s">
        <v>5432</v>
      </c>
      <c r="W780" s="79">
        <v>46081</v>
      </c>
      <c r="X780" s="78" t="s">
        <v>38</v>
      </c>
      <c r="Y780" s="78"/>
      <c r="Z780" s="78" t="s">
        <v>5458</v>
      </c>
      <c r="AA780">
        <f>IF(COUNTIF('Call Queue'!$H$6:$H$20,V780)&gt;0,0,IF(AND(ISNUMBER(N780),N780&gt;0),10000000+N780,IF(ISNUMBER(N780*1),IF(N780*1&gt;0,10000000+N780*1,0),0))+IF(ISNUMBER(SEARCH("(",L780)),1000000+IFERROR(VALUE(SUBSTITUTE(SUBSTITUTE(SUBSTITUTE(MID(L780,SEARCH("(",L780)+1,SEARCH(")",L780)-SEARCH("(",L780)-1),"$",""),",","")," ","")),0),0))</f>
        <v>0</v>
      </c>
    </row>
    <row r="781" spans="1:27">
      <c r="A781" s="76">
        <v>45909</v>
      </c>
      <c r="B781" s="77" t="s">
        <v>2290</v>
      </c>
      <c r="C781" s="77" t="s">
        <v>355</v>
      </c>
      <c r="D781" s="77" t="s">
        <v>30</v>
      </c>
      <c r="E781" s="77" t="s">
        <v>30</v>
      </c>
      <c r="F781" s="77" t="s">
        <v>31</v>
      </c>
      <c r="G781" s="77" t="s">
        <v>2812</v>
      </c>
      <c r="H781" s="77" t="s">
        <v>209</v>
      </c>
      <c r="I781" s="77"/>
      <c r="J781" s="77"/>
      <c r="K781" s="77"/>
      <c r="L781" s="77"/>
      <c r="M781" s="77"/>
      <c r="N781" s="77"/>
      <c r="O781" s="77"/>
      <c r="P781" s="77"/>
      <c r="Q781" s="76"/>
      <c r="R781" s="77"/>
      <c r="S781" s="77"/>
      <c r="T781" s="77"/>
      <c r="U781" s="77"/>
      <c r="V781" s="78"/>
      <c r="W781" s="79"/>
      <c r="X781" s="78"/>
      <c r="Y781" s="78"/>
      <c r="Z781" s="78"/>
      <c r="AA781">
        <f>IF(COUNTIF('Call Queue'!$H$6:$H$20,V781)&gt;0,0,IF(AND(ISNUMBER(N781),N781&gt;0),10000000+N781,IF(ISNUMBER(N781*1),IF(N781*1&gt;0,10000000+N781*1,0),0))+IF(ISNUMBER(SEARCH("(",L781)),1000000+IFERROR(VALUE(SUBSTITUTE(SUBSTITUTE(SUBSTITUTE(MID(L781,SEARCH("(",L781)+1,SEARCH(")",L781)-SEARCH("(",L781)-1),"$",""),",","")," ","")),0),0))</f>
        <v>0</v>
      </c>
    </row>
    <row r="782" spans="1:27">
      <c r="A782" s="76">
        <v>45909</v>
      </c>
      <c r="B782" s="77" t="s">
        <v>2878</v>
      </c>
      <c r="C782" s="77" t="s">
        <v>2040</v>
      </c>
      <c r="D782" s="77" t="s">
        <v>174</v>
      </c>
      <c r="E782" s="77">
        <v>85396</v>
      </c>
      <c r="F782" s="77" t="s">
        <v>310</v>
      </c>
      <c r="G782" s="77" t="s">
        <v>2812</v>
      </c>
      <c r="H782" s="77">
        <v>607010210</v>
      </c>
      <c r="I782" s="77" t="s">
        <v>250</v>
      </c>
      <c r="J782" s="77" t="s">
        <v>37</v>
      </c>
      <c r="K782" s="77" t="s">
        <v>37</v>
      </c>
      <c r="L782" s="77" t="s">
        <v>1586</v>
      </c>
      <c r="M782" s="77" t="s">
        <v>37</v>
      </c>
      <c r="N782" s="77" t="s">
        <v>37</v>
      </c>
      <c r="O782" s="77" t="s">
        <v>38</v>
      </c>
      <c r="P782" s="77" t="s">
        <v>39</v>
      </c>
      <c r="Q782" s="76">
        <v>45961</v>
      </c>
      <c r="R782" s="77"/>
      <c r="S782" s="77"/>
      <c r="T782" s="77"/>
      <c r="U782" s="77"/>
      <c r="V782" s="78"/>
      <c r="W782" s="79"/>
      <c r="X782" s="78"/>
      <c r="Y782" s="78"/>
      <c r="Z782" s="78"/>
      <c r="AA782">
        <f>IF(COUNTIF('Call Queue'!$H$6:$H$20,V782)&gt;0,0,IF(AND(ISNUMBER(N782),N782&gt;0),10000000+N782,IF(ISNUMBER(N782*1),IF(N782*1&gt;0,10000000+N782*1,0),0))+IF(ISNUMBER(SEARCH("(",L782)),1000000+IFERROR(VALUE(SUBSTITUTE(SUBSTITUTE(SUBSTITUTE(MID(L782,SEARCH("(",L782)+1,SEARCH(")",L782)-SEARCH("(",L782)-1),"$",""),",","")," ","")),0),0))</f>
        <v>0</v>
      </c>
    </row>
    <row r="783" spans="1:27">
      <c r="A783" s="76">
        <v>45909</v>
      </c>
      <c r="B783" s="77" t="s">
        <v>2880</v>
      </c>
      <c r="C783" s="77" t="s">
        <v>2881</v>
      </c>
      <c r="D783" s="77" t="s">
        <v>112</v>
      </c>
      <c r="E783" s="77">
        <v>85374</v>
      </c>
      <c r="F783" s="77" t="s">
        <v>31</v>
      </c>
      <c r="G783" s="77" t="s">
        <v>2812</v>
      </c>
      <c r="H783" s="77">
        <v>5406537242</v>
      </c>
      <c r="I783" s="77" t="s">
        <v>57</v>
      </c>
      <c r="J783" s="77" t="s">
        <v>37</v>
      </c>
      <c r="K783" s="77" t="s">
        <v>37</v>
      </c>
      <c r="L783" s="77" t="s">
        <v>2883</v>
      </c>
      <c r="M783" s="77" t="s">
        <v>37</v>
      </c>
      <c r="N783" s="77" t="s">
        <v>37</v>
      </c>
      <c r="O783" s="77" t="s">
        <v>38</v>
      </c>
      <c r="P783" s="77">
        <v>45938</v>
      </c>
      <c r="Q783" s="76">
        <v>45961</v>
      </c>
      <c r="R783" s="77" t="s">
        <v>2767</v>
      </c>
      <c r="S783" s="77"/>
      <c r="T783" s="77"/>
      <c r="U783" s="77"/>
      <c r="V783" s="78" t="s">
        <v>5432</v>
      </c>
      <c r="W783" s="79">
        <v>46025</v>
      </c>
      <c r="X783" s="78" t="s">
        <v>38</v>
      </c>
      <c r="Y783" s="78"/>
      <c r="Z783" s="78" t="s">
        <v>5458</v>
      </c>
      <c r="AA783">
        <f>IF(COUNTIF('Call Queue'!$H$6:$H$20,V783)&gt;0,0,IF(AND(ISNUMBER(N783),N783&gt;0),10000000+N783,IF(ISNUMBER(N783*1),IF(N783*1&gt;0,10000000+N783*1,0),0))+IF(ISNUMBER(SEARCH("(",L783)),1000000+IFERROR(VALUE(SUBSTITUTE(SUBSTITUTE(SUBSTITUTE(MID(L783,SEARCH("(",L783)+1,SEARCH(")",L783)-SEARCH("(",L783)-1),"$",""),",","")," ","")),0),0))</f>
        <v>0</v>
      </c>
    </row>
    <row r="784" spans="1:27">
      <c r="A784" s="76">
        <v>45909</v>
      </c>
      <c r="B784" s="77" t="s">
        <v>2884</v>
      </c>
      <c r="C784" s="77" t="s">
        <v>177</v>
      </c>
      <c r="D784" s="77" t="s">
        <v>30</v>
      </c>
      <c r="E784" s="77" t="s">
        <v>30</v>
      </c>
      <c r="F784" s="77" t="s">
        <v>2885</v>
      </c>
      <c r="G784" s="77" t="s">
        <v>2812</v>
      </c>
      <c r="H784" s="77" t="s">
        <v>209</v>
      </c>
      <c r="I784" s="77"/>
      <c r="J784" s="77"/>
      <c r="K784" s="77"/>
      <c r="L784" s="77"/>
      <c r="M784" s="77"/>
      <c r="N784" s="77"/>
      <c r="O784" s="77"/>
      <c r="P784" s="77"/>
      <c r="Q784" s="76"/>
      <c r="R784" s="77"/>
      <c r="S784" s="77"/>
      <c r="T784" s="77"/>
      <c r="U784" s="77"/>
      <c r="V784" s="78"/>
      <c r="W784" s="79"/>
      <c r="X784" s="78"/>
      <c r="Y784" s="78"/>
      <c r="Z784" s="78"/>
      <c r="AA784">
        <f>IF(COUNTIF('Call Queue'!$H$6:$H$20,V784)&gt;0,0,IF(AND(ISNUMBER(N784),N784&gt;0),10000000+N784,IF(ISNUMBER(N784*1),IF(N784*1&gt;0,10000000+N784*1,0),0))+IF(ISNUMBER(SEARCH("(",L784)),1000000+IFERROR(VALUE(SUBSTITUTE(SUBSTITUTE(SUBSTITUTE(MID(L784,SEARCH("(",L784)+1,SEARCH(")",L784)-SEARCH("(",L784)-1),"$",""),",","")," ","")),0),0))</f>
        <v>0</v>
      </c>
    </row>
    <row r="785" spans="1:27">
      <c r="A785" s="76">
        <v>45909</v>
      </c>
      <c r="B785" s="77" t="s">
        <v>208</v>
      </c>
      <c r="C785" s="77" t="s">
        <v>230</v>
      </c>
      <c r="D785" s="77" t="s">
        <v>89</v>
      </c>
      <c r="E785" s="77">
        <v>86351</v>
      </c>
      <c r="F785" s="77" t="s">
        <v>2889</v>
      </c>
      <c r="G785" s="77" t="s">
        <v>2888</v>
      </c>
      <c r="H785" s="77">
        <v>7176661000</v>
      </c>
      <c r="I785" s="77" t="s">
        <v>46</v>
      </c>
      <c r="J785" s="77" t="s">
        <v>37</v>
      </c>
      <c r="K785" s="77" t="s">
        <v>37</v>
      </c>
      <c r="L785" s="77" t="s">
        <v>1586</v>
      </c>
      <c r="M785" s="77" t="s">
        <v>37</v>
      </c>
      <c r="N785" s="77" t="s">
        <v>37</v>
      </c>
      <c r="O785" s="77" t="s">
        <v>38</v>
      </c>
      <c r="P785" s="77" t="s">
        <v>39</v>
      </c>
      <c r="Q785" s="76">
        <v>45961</v>
      </c>
      <c r="R785" s="77"/>
      <c r="S785" s="77"/>
      <c r="T785" s="77"/>
      <c r="U785" s="77"/>
      <c r="V785" s="78"/>
      <c r="W785" s="79"/>
      <c r="X785" s="78"/>
      <c r="Y785" s="78"/>
      <c r="Z785" s="78"/>
      <c r="AA785">
        <f>IF(COUNTIF('Call Queue'!$H$6:$H$20,V785)&gt;0,0,IF(AND(ISNUMBER(N785),N785&gt;0),10000000+N785,IF(ISNUMBER(N785*1),IF(N785*1&gt;0,10000000+N785*1,0),0))+IF(ISNUMBER(SEARCH("(",L785)),1000000+IFERROR(VALUE(SUBSTITUTE(SUBSTITUTE(SUBSTITUTE(MID(L785,SEARCH("(",L785)+1,SEARCH(")",L785)-SEARCH("(",L785)-1),"$",""),",","")," ","")),0),0))</f>
        <v>0</v>
      </c>
    </row>
    <row r="786" spans="1:27">
      <c r="A786" s="76">
        <v>45909</v>
      </c>
      <c r="B786" s="77" t="s">
        <v>940</v>
      </c>
      <c r="C786" s="77" t="s">
        <v>1707</v>
      </c>
      <c r="D786" s="77" t="s">
        <v>63</v>
      </c>
      <c r="E786" s="77">
        <v>85085</v>
      </c>
      <c r="F786" s="77" t="s">
        <v>2891</v>
      </c>
      <c r="G786" s="77" t="s">
        <v>2888</v>
      </c>
      <c r="H786" s="77" t="s">
        <v>209</v>
      </c>
      <c r="I786" s="77"/>
      <c r="J786" s="77"/>
      <c r="K786" s="77"/>
      <c r="L786" s="77"/>
      <c r="M786" s="77"/>
      <c r="N786" s="77"/>
      <c r="O786" s="77"/>
      <c r="P786" s="77"/>
      <c r="Q786" s="76"/>
      <c r="R786" s="77"/>
      <c r="S786" s="77"/>
      <c r="T786" s="77"/>
      <c r="U786" s="77"/>
      <c r="V786" s="78"/>
      <c r="W786" s="79"/>
      <c r="X786" s="78"/>
      <c r="Y786" s="78"/>
      <c r="Z786" s="78"/>
      <c r="AA786">
        <f>IF(COUNTIF('Call Queue'!$H$6:$H$20,V786)&gt;0,0,IF(AND(ISNUMBER(N786),N786&gt;0),10000000+N786,IF(ISNUMBER(N786*1),IF(N786*1&gt;0,10000000+N786*1,0),0))+IF(ISNUMBER(SEARCH("(",L786)),1000000+IFERROR(VALUE(SUBSTITUTE(SUBSTITUTE(SUBSTITUTE(MID(L786,SEARCH("(",L786)+1,SEARCH(")",L786)-SEARCH("(",L786)-1),"$",""),",","")," ","")),0),0))</f>
        <v>0</v>
      </c>
    </row>
    <row r="787" spans="1:27">
      <c r="A787" s="76">
        <v>45909</v>
      </c>
      <c r="B787" s="77" t="s">
        <v>2892</v>
      </c>
      <c r="C787" s="77" t="s">
        <v>471</v>
      </c>
      <c r="D787" s="77" t="s">
        <v>63</v>
      </c>
      <c r="E787" s="77">
        <v>85023</v>
      </c>
      <c r="F787" s="77" t="s">
        <v>310</v>
      </c>
      <c r="G787" s="77" t="s">
        <v>2888</v>
      </c>
      <c r="H787" s="77">
        <v>4935500000</v>
      </c>
      <c r="I787" s="77" t="s">
        <v>36</v>
      </c>
      <c r="J787" s="77" t="s">
        <v>37</v>
      </c>
      <c r="K787" s="77" t="s">
        <v>37</v>
      </c>
      <c r="L787" s="77" t="s">
        <v>1586</v>
      </c>
      <c r="M787" s="77" t="s">
        <v>37</v>
      </c>
      <c r="N787" s="77" t="s">
        <v>37</v>
      </c>
      <c r="O787" s="77" t="s">
        <v>38</v>
      </c>
      <c r="P787" s="77" t="s">
        <v>39</v>
      </c>
      <c r="Q787" s="76">
        <v>45961</v>
      </c>
      <c r="R787" s="77"/>
      <c r="S787" s="77"/>
      <c r="T787" s="77"/>
      <c r="U787" s="77"/>
      <c r="V787" s="78" t="s">
        <v>5432</v>
      </c>
      <c r="W787" s="79">
        <v>45997</v>
      </c>
      <c r="X787" s="78" t="s">
        <v>38</v>
      </c>
      <c r="Y787" s="78"/>
      <c r="Z787" s="78" t="s">
        <v>5580</v>
      </c>
      <c r="AA787">
        <f>IF(COUNTIF('Call Queue'!$H$6:$H$20,V787)&gt;0,0,IF(AND(ISNUMBER(N787),N787&gt;0),10000000+N787,IF(ISNUMBER(N787*1),IF(N787*1&gt;0,10000000+N787*1,0),0))+IF(ISNUMBER(SEARCH("(",L787)),1000000+IFERROR(VALUE(SUBSTITUTE(SUBSTITUTE(SUBSTITUTE(MID(L787,SEARCH("(",L787)+1,SEARCH(")",L787)-SEARCH("(",L787)-1),"$",""),",","")," ","")),0),0))</f>
        <v>0</v>
      </c>
    </row>
    <row r="788" spans="1:27">
      <c r="A788" s="76">
        <v>45909</v>
      </c>
      <c r="B788" s="77" t="s">
        <v>2894</v>
      </c>
      <c r="C788" s="77" t="s">
        <v>1444</v>
      </c>
      <c r="D788" s="77" t="s">
        <v>63</v>
      </c>
      <c r="E788" s="77">
        <v>85053</v>
      </c>
      <c r="F788" s="77" t="s">
        <v>310</v>
      </c>
      <c r="G788" s="77" t="s">
        <v>2888</v>
      </c>
      <c r="H788" s="77">
        <v>3940259300</v>
      </c>
      <c r="I788" s="77" t="s">
        <v>126</v>
      </c>
      <c r="J788" s="77" t="s">
        <v>37</v>
      </c>
      <c r="K788" s="77" t="s">
        <v>37</v>
      </c>
      <c r="L788" s="77" t="s">
        <v>1586</v>
      </c>
      <c r="M788" s="77" t="s">
        <v>37</v>
      </c>
      <c r="N788" s="77" t="s">
        <v>37</v>
      </c>
      <c r="O788" s="77" t="s">
        <v>38</v>
      </c>
      <c r="P788" s="77" t="s">
        <v>39</v>
      </c>
      <c r="Q788" s="76">
        <v>45961</v>
      </c>
      <c r="R788" s="77"/>
      <c r="S788" s="77"/>
      <c r="T788" s="77"/>
      <c r="U788" s="77"/>
      <c r="V788" s="78"/>
      <c r="W788" s="79"/>
      <c r="X788" s="78"/>
      <c r="Y788" s="78"/>
      <c r="Z788" s="78"/>
      <c r="AA788">
        <f>IF(COUNTIF('Call Queue'!$H$6:$H$20,V788)&gt;0,0,IF(AND(ISNUMBER(N788),N788&gt;0),10000000+N788,IF(ISNUMBER(N788*1),IF(N788*1&gt;0,10000000+N788*1,0),0))+IF(ISNUMBER(SEARCH("(",L788)),1000000+IFERROR(VALUE(SUBSTITUTE(SUBSTITUTE(SUBSTITUTE(MID(L788,SEARCH("(",L788)+1,SEARCH(")",L788)-SEARCH("(",L788)-1),"$",""),",","")," ","")),0),0))</f>
        <v>0</v>
      </c>
    </row>
    <row r="789" spans="1:27">
      <c r="A789" s="76">
        <v>45910</v>
      </c>
      <c r="B789" s="77" t="s">
        <v>2902</v>
      </c>
      <c r="C789" s="77" t="s">
        <v>2903</v>
      </c>
      <c r="D789" s="77" t="s">
        <v>85</v>
      </c>
      <c r="E789" s="77">
        <v>86323</v>
      </c>
      <c r="F789" s="77" t="s">
        <v>2904</v>
      </c>
      <c r="G789" s="77" t="s">
        <v>2901</v>
      </c>
      <c r="H789" s="77">
        <v>2387100000</v>
      </c>
      <c r="I789" s="77" t="s">
        <v>243</v>
      </c>
      <c r="J789" s="77" t="s">
        <v>37</v>
      </c>
      <c r="K789" s="77" t="s">
        <v>37</v>
      </c>
      <c r="L789" s="77" t="s">
        <v>389</v>
      </c>
      <c r="M789" s="77" t="s">
        <v>37</v>
      </c>
      <c r="N789" s="77" t="s">
        <v>37</v>
      </c>
      <c r="O789" s="77" t="s">
        <v>38</v>
      </c>
      <c r="P789" s="77" t="s">
        <v>39</v>
      </c>
      <c r="Q789" s="76">
        <v>45961</v>
      </c>
      <c r="R789" s="77"/>
      <c r="S789" s="77"/>
      <c r="T789" s="77"/>
      <c r="U789" s="77"/>
      <c r="V789" s="78" t="s">
        <v>5432</v>
      </c>
      <c r="W789" s="79">
        <v>46081</v>
      </c>
      <c r="X789" s="78" t="s">
        <v>38</v>
      </c>
      <c r="Y789" s="78"/>
      <c r="Z789" s="78" t="s">
        <v>5458</v>
      </c>
      <c r="AA789">
        <f>IF(COUNTIF('Call Queue'!$H$6:$H$20,V789)&gt;0,0,IF(AND(ISNUMBER(N789),N789&gt;0),10000000+N789,IF(ISNUMBER(N789*1),IF(N789*1&gt;0,10000000+N789*1,0),0))+IF(ISNUMBER(SEARCH("(",L789)),1000000+IFERROR(VALUE(SUBSTITUTE(SUBSTITUTE(SUBSTITUTE(MID(L789,SEARCH("(",L789)+1,SEARCH(")",L789)-SEARCH("(",L789)-1),"$",""),",","")," ","")),0),0))</f>
        <v>0</v>
      </c>
    </row>
    <row r="790" spans="1:27">
      <c r="A790" s="76">
        <v>45910</v>
      </c>
      <c r="B790" s="77" t="s">
        <v>2906</v>
      </c>
      <c r="C790" s="77" t="s">
        <v>2907</v>
      </c>
      <c r="D790" s="77" t="s">
        <v>24</v>
      </c>
      <c r="E790" s="77">
        <v>85308</v>
      </c>
      <c r="F790" s="77" t="s">
        <v>310</v>
      </c>
      <c r="G790" s="77" t="s">
        <v>2901</v>
      </c>
      <c r="H790" s="77">
        <v>8027967579</v>
      </c>
      <c r="I790" s="77" t="s">
        <v>196</v>
      </c>
      <c r="J790" s="77" t="s">
        <v>37</v>
      </c>
      <c r="K790" s="77" t="s">
        <v>37</v>
      </c>
      <c r="L790" s="77" t="s">
        <v>2909</v>
      </c>
      <c r="M790" s="77" t="s">
        <v>37</v>
      </c>
      <c r="N790" s="77" t="s">
        <v>37</v>
      </c>
      <c r="O790" s="77" t="s">
        <v>38</v>
      </c>
      <c r="P790" s="77" t="s">
        <v>39</v>
      </c>
      <c r="Q790" s="76">
        <v>45961</v>
      </c>
      <c r="R790" s="77"/>
      <c r="S790" s="77"/>
      <c r="T790" s="77"/>
      <c r="U790" s="77"/>
      <c r="V790" s="78" t="s">
        <v>5432</v>
      </c>
      <c r="W790" s="79">
        <v>46025</v>
      </c>
      <c r="X790" s="78" t="s">
        <v>37</v>
      </c>
      <c r="Y790" s="78" t="s">
        <v>5442</v>
      </c>
      <c r="Z790" s="78" t="s">
        <v>5581</v>
      </c>
      <c r="AA790">
        <f>IF(COUNTIF('Call Queue'!$H$6:$H$20,V790)&gt;0,0,IF(AND(ISNUMBER(N790),N790&gt;0),10000000+N790,IF(ISNUMBER(N790*1),IF(N790*1&gt;0,10000000+N790*1,0),0))+IF(ISNUMBER(SEARCH("(",L790)),1000000+IFERROR(VALUE(SUBSTITUTE(SUBSTITUTE(SUBSTITUTE(MID(L790,SEARCH("(",L790)+1,SEARCH(")",L790)-SEARCH("(",L790)-1),"$",""),",","")," ","")),0),0))</f>
        <v>0</v>
      </c>
    </row>
    <row r="791" spans="1:27">
      <c r="A791" s="76">
        <v>45910</v>
      </c>
      <c r="B791" s="77" t="s">
        <v>2910</v>
      </c>
      <c r="C791" s="77" t="s">
        <v>2911</v>
      </c>
      <c r="D791" s="77" t="s">
        <v>63</v>
      </c>
      <c r="E791" s="77">
        <v>85083</v>
      </c>
      <c r="F791" s="77" t="s">
        <v>31</v>
      </c>
      <c r="G791" s="77" t="s">
        <v>2901</v>
      </c>
      <c r="H791" s="77">
        <v>1914731000</v>
      </c>
      <c r="I791" s="77" t="s">
        <v>243</v>
      </c>
      <c r="J791" s="77" t="s">
        <v>37</v>
      </c>
      <c r="K791" s="77" t="s">
        <v>37</v>
      </c>
      <c r="L791" s="77" t="s">
        <v>389</v>
      </c>
      <c r="M791" s="77" t="s">
        <v>37</v>
      </c>
      <c r="N791" s="77" t="s">
        <v>37</v>
      </c>
      <c r="O791" s="77" t="s">
        <v>38</v>
      </c>
      <c r="P791" s="77" t="s">
        <v>39</v>
      </c>
      <c r="Q791" s="76">
        <v>45961</v>
      </c>
      <c r="R791" s="77"/>
      <c r="S791" s="77"/>
      <c r="T791" s="77"/>
      <c r="U791" s="77"/>
      <c r="V791" s="78" t="s">
        <v>5432</v>
      </c>
      <c r="W791" s="79">
        <v>46081</v>
      </c>
      <c r="X791" s="78" t="s">
        <v>37</v>
      </c>
      <c r="Y791" s="78" t="s">
        <v>5442</v>
      </c>
      <c r="Z791" s="78" t="s">
        <v>5470</v>
      </c>
      <c r="AA791">
        <f>IF(COUNTIF('Call Queue'!$H$6:$H$20,V791)&gt;0,0,IF(AND(ISNUMBER(N791),N791&gt;0),10000000+N791,IF(ISNUMBER(N791*1),IF(N791*1&gt;0,10000000+N791*1,0),0))+IF(ISNUMBER(SEARCH("(",L791)),1000000+IFERROR(VALUE(SUBSTITUTE(SUBSTITUTE(SUBSTITUTE(MID(L791,SEARCH("(",L791)+1,SEARCH(")",L791)-SEARCH("(",L791)-1),"$",""),",","")," ","")),0),0))</f>
        <v>0</v>
      </c>
    </row>
    <row r="792" spans="1:27">
      <c r="A792" s="76">
        <v>45910</v>
      </c>
      <c r="B792" s="77" t="s">
        <v>2914</v>
      </c>
      <c r="C792" s="77" t="s">
        <v>133</v>
      </c>
      <c r="D792" s="77" t="s">
        <v>619</v>
      </c>
      <c r="E792" s="77">
        <v>85365</v>
      </c>
      <c r="F792" s="77" t="s">
        <v>31</v>
      </c>
      <c r="G792" s="77" t="s">
        <v>2901</v>
      </c>
      <c r="H792" s="77">
        <v>29211000</v>
      </c>
      <c r="I792" s="77" t="s">
        <v>36</v>
      </c>
      <c r="J792" s="77" t="s">
        <v>37</v>
      </c>
      <c r="K792" s="77" t="s">
        <v>37</v>
      </c>
      <c r="L792" s="77" t="s">
        <v>1586</v>
      </c>
      <c r="M792" s="77" t="s">
        <v>37</v>
      </c>
      <c r="N792" s="77" t="s">
        <v>37</v>
      </c>
      <c r="O792" s="77" t="s">
        <v>38</v>
      </c>
      <c r="P792" s="77" t="s">
        <v>39</v>
      </c>
      <c r="Q792" s="76">
        <v>45961</v>
      </c>
      <c r="R792" s="77"/>
      <c r="S792" s="77"/>
      <c r="T792" s="77"/>
      <c r="U792" s="77"/>
      <c r="V792" s="78"/>
      <c r="W792" s="79"/>
      <c r="X792" s="78"/>
      <c r="Y792" s="78"/>
      <c r="Z792" s="78"/>
      <c r="AA792">
        <f>IF(COUNTIF('Call Queue'!$H$6:$H$20,V792)&gt;0,0,IF(AND(ISNUMBER(N792),N792&gt;0),10000000+N792,IF(ISNUMBER(N792*1),IF(N792*1&gt;0,10000000+N792*1,0),0))+IF(ISNUMBER(SEARCH("(",L792)),1000000+IFERROR(VALUE(SUBSTITUTE(SUBSTITUTE(SUBSTITUTE(MID(L792,SEARCH("(",L792)+1,SEARCH(")",L792)-SEARCH("(",L792)-1),"$",""),",","")," ","")),0),0))</f>
        <v>0</v>
      </c>
    </row>
    <row r="793" spans="1:27">
      <c r="A793" s="76">
        <v>45910</v>
      </c>
      <c r="B793" s="77" t="s">
        <v>940</v>
      </c>
      <c r="C793" s="77" t="s">
        <v>2916</v>
      </c>
      <c r="D793" s="77" t="s">
        <v>63</v>
      </c>
      <c r="E793" s="77">
        <v>85008</v>
      </c>
      <c r="F793" s="77" t="s">
        <v>31</v>
      </c>
      <c r="G793" s="77" t="s">
        <v>2901</v>
      </c>
      <c r="H793" s="77">
        <v>5458953850</v>
      </c>
      <c r="I793" s="77" t="s">
        <v>196</v>
      </c>
      <c r="J793" s="77" t="s">
        <v>37</v>
      </c>
      <c r="K793" s="77" t="s">
        <v>37</v>
      </c>
      <c r="L793" s="77" t="s">
        <v>2918</v>
      </c>
      <c r="M793" s="77" t="s">
        <v>37</v>
      </c>
      <c r="N793" s="77" t="s">
        <v>37</v>
      </c>
      <c r="O793" s="77" t="s">
        <v>38</v>
      </c>
      <c r="P793" s="77" t="s">
        <v>39</v>
      </c>
      <c r="Q793" s="76">
        <v>45961</v>
      </c>
      <c r="R793" s="77"/>
      <c r="S793" s="77"/>
      <c r="T793" s="77"/>
      <c r="U793" s="77"/>
      <c r="V793" s="78" t="s">
        <v>5432</v>
      </c>
      <c r="W793" s="79">
        <v>45997</v>
      </c>
      <c r="X793" s="78"/>
      <c r="Y793" s="78"/>
      <c r="Z793" s="78" t="s">
        <v>5582</v>
      </c>
      <c r="AA793">
        <f>IF(COUNTIF('Call Queue'!$H$6:$H$20,V793)&gt;0,0,IF(AND(ISNUMBER(N793),N793&gt;0),10000000+N793,IF(ISNUMBER(N793*1),IF(N793*1&gt;0,10000000+N793*1,0),0))+IF(ISNUMBER(SEARCH("(",L793)),1000000+IFERROR(VALUE(SUBSTITUTE(SUBSTITUTE(SUBSTITUTE(MID(L793,SEARCH("(",L793)+1,SEARCH(")",L793)-SEARCH("(",L793)-1),"$",""),",","")," ","")),0),0))</f>
        <v>0</v>
      </c>
    </row>
    <row r="794" spans="1:27">
      <c r="A794" s="76">
        <v>45910</v>
      </c>
      <c r="B794" s="77" t="s">
        <v>2919</v>
      </c>
      <c r="C794" s="77" t="s">
        <v>1905</v>
      </c>
      <c r="D794" s="77" t="s">
        <v>1693</v>
      </c>
      <c r="E794" s="77">
        <v>85351</v>
      </c>
      <c r="F794" s="77" t="s">
        <v>31</v>
      </c>
      <c r="G794" s="77" t="s">
        <v>2920</v>
      </c>
      <c r="H794" s="77">
        <v>4528501000</v>
      </c>
      <c r="I794" s="77" t="s">
        <v>126</v>
      </c>
      <c r="J794" s="77" t="s">
        <v>37</v>
      </c>
      <c r="K794" s="77" t="s">
        <v>37</v>
      </c>
      <c r="L794" s="77" t="s">
        <v>2922</v>
      </c>
      <c r="M794" s="77"/>
      <c r="N794" s="77"/>
      <c r="O794" s="77" t="s">
        <v>38</v>
      </c>
      <c r="P794" s="77">
        <v>45938</v>
      </c>
      <c r="Q794" s="76">
        <v>45961</v>
      </c>
      <c r="R794" s="77" t="s">
        <v>2923</v>
      </c>
      <c r="S794" s="77"/>
      <c r="T794" s="77"/>
      <c r="U794" s="77"/>
      <c r="V794" s="78" t="s">
        <v>5432</v>
      </c>
      <c r="W794" s="79">
        <v>46025</v>
      </c>
      <c r="X794" s="78"/>
      <c r="Y794" s="78"/>
      <c r="Z794" s="78" t="s">
        <v>5458</v>
      </c>
      <c r="AA794">
        <f>IF(COUNTIF('Call Queue'!$H$6:$H$20,V794)&gt;0,0,IF(AND(ISNUMBER(N794),N794&gt;0),10000000+N794,IF(ISNUMBER(N794*1),IF(N794*1&gt;0,10000000+N794*1,0),0))+IF(ISNUMBER(SEARCH("(",L794)),1000000+IFERROR(VALUE(SUBSTITUTE(SUBSTITUTE(SUBSTITUTE(MID(L794,SEARCH("(",L794)+1,SEARCH(")",L794)-SEARCH("(",L794)-1),"$",""),",","")," ","")),0),0))</f>
        <v>0</v>
      </c>
    </row>
    <row r="795" spans="1:27">
      <c r="A795" s="76">
        <v>45910</v>
      </c>
      <c r="B795" s="77" t="s">
        <v>2924</v>
      </c>
      <c r="C795" s="77" t="s">
        <v>2925</v>
      </c>
      <c r="D795" s="77" t="s">
        <v>63</v>
      </c>
      <c r="E795" s="77">
        <v>85021</v>
      </c>
      <c r="F795" s="77" t="s">
        <v>31</v>
      </c>
      <c r="G795" s="77" t="s">
        <v>2920</v>
      </c>
      <c r="H795" s="77">
        <v>6428400000</v>
      </c>
      <c r="I795" s="77" t="s">
        <v>36</v>
      </c>
      <c r="J795" s="77" t="s">
        <v>37</v>
      </c>
      <c r="K795" s="77" t="s">
        <v>37</v>
      </c>
      <c r="L795" s="77" t="s">
        <v>1586</v>
      </c>
      <c r="M795" s="77" t="s">
        <v>37</v>
      </c>
      <c r="N795" s="77" t="s">
        <v>37</v>
      </c>
      <c r="O795" s="77" t="s">
        <v>38</v>
      </c>
      <c r="P795" s="77" t="s">
        <v>39</v>
      </c>
      <c r="Q795" s="76">
        <v>45961</v>
      </c>
      <c r="R795" s="77"/>
      <c r="S795" s="77"/>
      <c r="T795" s="77"/>
      <c r="U795" s="77"/>
      <c r="V795" s="78" t="s">
        <v>5432</v>
      </c>
      <c r="W795" s="79">
        <v>46081</v>
      </c>
      <c r="X795" s="78" t="s">
        <v>38</v>
      </c>
      <c r="Y795" s="78"/>
      <c r="Z795" s="78" t="s">
        <v>5458</v>
      </c>
      <c r="AA795">
        <f>IF(COUNTIF('Call Queue'!$H$6:$H$20,V795)&gt;0,0,IF(AND(ISNUMBER(N795),N795&gt;0),10000000+N795,IF(ISNUMBER(N795*1),IF(N795*1&gt;0,10000000+N795*1,0),0))+IF(ISNUMBER(SEARCH("(",L795)),1000000+IFERROR(VALUE(SUBSTITUTE(SUBSTITUTE(SUBSTITUTE(MID(L795,SEARCH("(",L795)+1,SEARCH(")",L795)-SEARCH("(",L795)-1),"$",""),",","")," ","")),0),0))</f>
        <v>0</v>
      </c>
    </row>
    <row r="796" spans="1:27">
      <c r="A796" s="76">
        <v>45910</v>
      </c>
      <c r="B796" s="77" t="s">
        <v>2930</v>
      </c>
      <c r="C796" s="77" t="s">
        <v>2931</v>
      </c>
      <c r="D796" s="77" t="s">
        <v>619</v>
      </c>
      <c r="E796" s="77" t="s">
        <v>30</v>
      </c>
      <c r="F796" s="77" t="s">
        <v>2932</v>
      </c>
      <c r="G796" s="77" t="s">
        <v>2933</v>
      </c>
      <c r="H796" s="77" t="s">
        <v>719</v>
      </c>
      <c r="I796" s="77" t="s">
        <v>73</v>
      </c>
      <c r="J796" s="77" t="s">
        <v>37</v>
      </c>
      <c r="K796" s="77" t="s">
        <v>37</v>
      </c>
      <c r="L796" s="77" t="s">
        <v>1586</v>
      </c>
      <c r="M796" s="77" t="s">
        <v>37</v>
      </c>
      <c r="N796" s="77" t="s">
        <v>37</v>
      </c>
      <c r="O796" s="77" t="s">
        <v>38</v>
      </c>
      <c r="P796" s="77" t="s">
        <v>39</v>
      </c>
      <c r="Q796" s="76">
        <v>45961</v>
      </c>
      <c r="R796" s="77"/>
      <c r="S796" s="77"/>
      <c r="T796" s="77"/>
      <c r="U796" s="77"/>
      <c r="V796" s="78"/>
      <c r="W796" s="79"/>
      <c r="X796" s="78"/>
      <c r="Y796" s="78"/>
      <c r="Z796" s="78"/>
      <c r="AA796">
        <f>IF(COUNTIF('Call Queue'!$H$6:$H$20,V796)&gt;0,0,IF(AND(ISNUMBER(N796),N796&gt;0),10000000+N796,IF(ISNUMBER(N796*1),IF(N796*1&gt;0,10000000+N796*1,0),0))+IF(ISNUMBER(SEARCH("(",L796)),1000000+IFERROR(VALUE(SUBSTITUTE(SUBSTITUTE(SUBSTITUTE(MID(L796,SEARCH("(",L796)+1,SEARCH(")",L796)-SEARCH("(",L796)-1),"$",""),",","")," ","")),0),0))</f>
        <v>0</v>
      </c>
    </row>
    <row r="797" spans="1:27">
      <c r="A797" s="76">
        <v>45910</v>
      </c>
      <c r="B797" s="77" t="s">
        <v>2416</v>
      </c>
      <c r="C797" s="77" t="s">
        <v>717</v>
      </c>
      <c r="D797" s="77" t="s">
        <v>63</v>
      </c>
      <c r="E797" s="77">
        <v>85028</v>
      </c>
      <c r="F797" s="77" t="s">
        <v>31</v>
      </c>
      <c r="G797" s="77" t="s">
        <v>2933</v>
      </c>
      <c r="H797" s="77">
        <v>9414462931</v>
      </c>
      <c r="I797" s="77" t="s">
        <v>126</v>
      </c>
      <c r="J797" s="77" t="s">
        <v>37</v>
      </c>
      <c r="K797" s="77" t="s">
        <v>37</v>
      </c>
      <c r="L797" s="77" t="s">
        <v>2935</v>
      </c>
      <c r="M797" s="77" t="s">
        <v>37</v>
      </c>
      <c r="N797" s="77" t="s">
        <v>37</v>
      </c>
      <c r="O797" s="77" t="s">
        <v>38</v>
      </c>
      <c r="P797" s="77" t="s">
        <v>39</v>
      </c>
      <c r="Q797" s="76">
        <v>45961</v>
      </c>
      <c r="R797" s="77"/>
      <c r="S797" s="77"/>
      <c r="T797" s="77"/>
      <c r="U797" s="77"/>
      <c r="V797" s="78"/>
      <c r="W797" s="79"/>
      <c r="X797" s="78"/>
      <c r="Y797" s="78"/>
      <c r="Z797" s="78"/>
      <c r="AA797">
        <f>IF(COUNTIF('Call Queue'!$H$6:$H$20,V797)&gt;0,0,IF(AND(ISNUMBER(N797),N797&gt;0),10000000+N797,IF(ISNUMBER(N797*1),IF(N797*1&gt;0,10000000+N797*1,0),0))+IF(ISNUMBER(SEARCH("(",L797)),1000000+IFERROR(VALUE(SUBSTITUTE(SUBSTITUTE(SUBSTITUTE(MID(L797,SEARCH("(",L797)+1,SEARCH(")",L797)-SEARCH("(",L797)-1),"$",""),",","")," ","")),0),0))</f>
        <v>1000035.3</v>
      </c>
    </row>
    <row r="798" spans="1:27">
      <c r="A798" s="76">
        <v>45910</v>
      </c>
      <c r="B798" s="77" t="s">
        <v>2936</v>
      </c>
      <c r="C798" s="77" t="s">
        <v>359</v>
      </c>
      <c r="D798" s="77" t="s">
        <v>174</v>
      </c>
      <c r="E798" s="77">
        <v>85326</v>
      </c>
      <c r="F798" s="77" t="s">
        <v>31</v>
      </c>
      <c r="G798" s="77" t="s">
        <v>2933</v>
      </c>
      <c r="H798" s="77">
        <v>8805404344</v>
      </c>
      <c r="I798" s="77" t="s">
        <v>46</v>
      </c>
      <c r="J798" s="77" t="s">
        <v>37</v>
      </c>
      <c r="K798" s="77" t="s">
        <v>37</v>
      </c>
      <c r="L798" s="77" t="s">
        <v>1586</v>
      </c>
      <c r="M798" s="77" t="s">
        <v>37</v>
      </c>
      <c r="N798" s="77" t="s">
        <v>37</v>
      </c>
      <c r="O798" s="77" t="s">
        <v>38</v>
      </c>
      <c r="P798" s="77" t="s">
        <v>39</v>
      </c>
      <c r="Q798" s="76">
        <v>45961</v>
      </c>
      <c r="R798" s="77"/>
      <c r="S798" s="77"/>
      <c r="T798" s="77"/>
      <c r="U798" s="77"/>
      <c r="V798" s="78" t="s">
        <v>5432</v>
      </c>
      <c r="W798" s="79">
        <v>46081</v>
      </c>
      <c r="X798" s="78" t="s">
        <v>37</v>
      </c>
      <c r="Y798" s="78" t="s">
        <v>5442</v>
      </c>
      <c r="Z798" s="78"/>
      <c r="AA798">
        <f>IF(COUNTIF('Call Queue'!$H$6:$H$20,V798)&gt;0,0,IF(AND(ISNUMBER(N798),N798&gt;0),10000000+N798,IF(ISNUMBER(N798*1),IF(N798*1&gt;0,10000000+N798*1,0),0))+IF(ISNUMBER(SEARCH("(",L798)),1000000+IFERROR(VALUE(SUBSTITUTE(SUBSTITUTE(SUBSTITUTE(MID(L798,SEARCH("(",L798)+1,SEARCH(")",L798)-SEARCH("(",L798)-1),"$",""),",","")," ","")),0),0))</f>
        <v>0</v>
      </c>
    </row>
    <row r="799" spans="1:27">
      <c r="A799" s="76">
        <v>45910</v>
      </c>
      <c r="B799" s="77" t="s">
        <v>2938</v>
      </c>
      <c r="C799" s="77" t="s">
        <v>363</v>
      </c>
      <c r="D799" s="77" t="s">
        <v>169</v>
      </c>
      <c r="E799" s="77">
        <v>85395</v>
      </c>
      <c r="F799" s="77" t="s">
        <v>31</v>
      </c>
      <c r="G799" s="77" t="s">
        <v>2933</v>
      </c>
      <c r="H799" s="77">
        <v>4344550000</v>
      </c>
      <c r="I799" s="77" t="s">
        <v>1488</v>
      </c>
      <c r="J799" s="77" t="s">
        <v>37</v>
      </c>
      <c r="K799" s="77" t="s">
        <v>37</v>
      </c>
      <c r="L799" s="77" t="s">
        <v>389</v>
      </c>
      <c r="M799" s="77" t="s">
        <v>37</v>
      </c>
      <c r="N799" s="77" t="s">
        <v>37</v>
      </c>
      <c r="O799" s="77" t="s">
        <v>38</v>
      </c>
      <c r="P799" s="77" t="s">
        <v>39</v>
      </c>
      <c r="Q799" s="76">
        <v>45961</v>
      </c>
      <c r="R799" s="77" t="s">
        <v>2940</v>
      </c>
      <c r="S799" s="77"/>
      <c r="T799" s="77"/>
      <c r="U799" s="77"/>
      <c r="V799" s="78"/>
      <c r="W799" s="79"/>
      <c r="X799" s="78"/>
      <c r="Y799" s="78"/>
      <c r="Z799" s="78"/>
      <c r="AA799">
        <f>IF(COUNTIF('Call Queue'!$H$6:$H$20,V799)&gt;0,0,IF(AND(ISNUMBER(N799),N799&gt;0),10000000+N799,IF(ISNUMBER(N799*1),IF(N799*1&gt;0,10000000+N799*1,0),0))+IF(ISNUMBER(SEARCH("(",L799)),1000000+IFERROR(VALUE(SUBSTITUTE(SUBSTITUTE(SUBSTITUTE(MID(L799,SEARCH("(",L799)+1,SEARCH(")",L799)-SEARCH("(",L799)-1),"$",""),",","")," ","")),0),0))</f>
        <v>0</v>
      </c>
    </row>
    <row r="800" spans="1:27">
      <c r="A800" s="76">
        <v>45910</v>
      </c>
      <c r="B800" s="77" t="s">
        <v>2941</v>
      </c>
      <c r="C800" s="77" t="s">
        <v>2942</v>
      </c>
      <c r="D800" s="77" t="s">
        <v>63</v>
      </c>
      <c r="E800" s="77">
        <v>85004</v>
      </c>
      <c r="F800" s="77" t="s">
        <v>31</v>
      </c>
      <c r="G800" s="77" t="s">
        <v>2933</v>
      </c>
      <c r="H800" s="77">
        <v>3161149182</v>
      </c>
      <c r="I800" s="77" t="s">
        <v>196</v>
      </c>
      <c r="J800" s="77" t="s">
        <v>37</v>
      </c>
      <c r="K800" s="77" t="s">
        <v>37</v>
      </c>
      <c r="L800" s="77" t="s">
        <v>2944</v>
      </c>
      <c r="M800" s="77" t="s">
        <v>37</v>
      </c>
      <c r="N800" s="77" t="s">
        <v>37</v>
      </c>
      <c r="O800" s="77" t="s">
        <v>38</v>
      </c>
      <c r="P800" s="77" t="s">
        <v>39</v>
      </c>
      <c r="Q800" s="76">
        <v>45961</v>
      </c>
      <c r="R800" s="77" t="s">
        <v>2945</v>
      </c>
      <c r="S800" s="77"/>
      <c r="T800" s="77"/>
      <c r="U800" s="77"/>
      <c r="V800" s="78" t="s">
        <v>5432</v>
      </c>
      <c r="W800" s="79">
        <v>46025</v>
      </c>
      <c r="X800" s="78" t="s">
        <v>38</v>
      </c>
      <c r="Y800" s="78"/>
      <c r="Z800" s="78" t="s">
        <v>5458</v>
      </c>
      <c r="AA800">
        <f>IF(COUNTIF('Call Queue'!$H$6:$H$20,V800)&gt;0,0,IF(AND(ISNUMBER(N800),N800&gt;0),10000000+N800,IF(ISNUMBER(N800*1),IF(N800*1&gt;0,10000000+N800*1,0),0))+IF(ISNUMBER(SEARCH("(",L800)),1000000+IFERROR(VALUE(SUBSTITUTE(SUBSTITUTE(SUBSTITUTE(MID(L800,SEARCH("(",L800)+1,SEARCH(")",L800)-SEARCH("(",L800)-1),"$",""),",","")," ","")),0),0))</f>
        <v>0</v>
      </c>
    </row>
    <row r="801" spans="1:27">
      <c r="A801" s="76">
        <v>45910</v>
      </c>
      <c r="B801" s="77" t="s">
        <v>2860</v>
      </c>
      <c r="C801" s="77" t="s">
        <v>2861</v>
      </c>
      <c r="D801" s="77" t="s">
        <v>85</v>
      </c>
      <c r="E801" s="77">
        <v>86323</v>
      </c>
      <c r="F801" s="77" t="s">
        <v>31</v>
      </c>
      <c r="G801" s="77" t="s">
        <v>2933</v>
      </c>
      <c r="H801" s="77">
        <v>3459240757</v>
      </c>
      <c r="I801" s="77" t="s">
        <v>196</v>
      </c>
      <c r="J801" s="77" t="s">
        <v>37</v>
      </c>
      <c r="K801" s="77" t="s">
        <v>37</v>
      </c>
      <c r="L801" s="77" t="s">
        <v>2946</v>
      </c>
      <c r="M801" s="77" t="s">
        <v>37</v>
      </c>
      <c r="N801" s="77" t="s">
        <v>37</v>
      </c>
      <c r="O801" s="77" t="s">
        <v>38</v>
      </c>
      <c r="P801" s="77" t="s">
        <v>39</v>
      </c>
      <c r="Q801" s="76">
        <v>45961</v>
      </c>
      <c r="R801" s="77"/>
      <c r="S801" s="77"/>
      <c r="T801" s="77"/>
      <c r="U801" s="77"/>
      <c r="V801" s="78"/>
      <c r="W801" s="79"/>
      <c r="X801" s="78"/>
      <c r="Y801" s="78"/>
      <c r="Z801" s="78"/>
      <c r="AA801">
        <f>IF(COUNTIF('Call Queue'!$H$6:$H$20,V801)&gt;0,0,IF(AND(ISNUMBER(N801),N801&gt;0),10000000+N801,IF(ISNUMBER(N801*1),IF(N801*1&gt;0,10000000+N801*1,0),0))+IF(ISNUMBER(SEARCH("(",L801)),1000000+IFERROR(VALUE(SUBSTITUTE(SUBSTITUTE(SUBSTITUTE(MID(L801,SEARCH("(",L801)+1,SEARCH(")",L801)-SEARCH("(",L801)-1),"$",""),",","")," ","")),0),0))</f>
        <v>1000078.14</v>
      </c>
    </row>
    <row r="802" spans="1:27">
      <c r="A802" s="76">
        <v>45910</v>
      </c>
      <c r="B802" s="77" t="s">
        <v>262</v>
      </c>
      <c r="C802" s="77" t="s">
        <v>215</v>
      </c>
      <c r="D802" s="77" t="s">
        <v>202</v>
      </c>
      <c r="E802" s="77">
        <v>85345</v>
      </c>
      <c r="F802" s="77" t="s">
        <v>31</v>
      </c>
      <c r="G802" s="77" t="s">
        <v>2933</v>
      </c>
      <c r="H802" s="77">
        <v>5862540000</v>
      </c>
      <c r="I802" s="77" t="s">
        <v>196</v>
      </c>
      <c r="J802" s="77" t="s">
        <v>37</v>
      </c>
      <c r="K802" s="77" t="s">
        <v>37</v>
      </c>
      <c r="L802" s="77" t="s">
        <v>1586</v>
      </c>
      <c r="M802" s="77" t="s">
        <v>37</v>
      </c>
      <c r="N802" s="77" t="s">
        <v>37</v>
      </c>
      <c r="O802" s="77" t="s">
        <v>38</v>
      </c>
      <c r="P802" s="77" t="s">
        <v>39</v>
      </c>
      <c r="Q802" s="76">
        <v>45961</v>
      </c>
      <c r="R802" s="77"/>
      <c r="S802" s="77"/>
      <c r="T802" s="77"/>
      <c r="U802" s="77"/>
      <c r="V802" s="78" t="s">
        <v>5432</v>
      </c>
      <c r="W802" s="79">
        <v>46081</v>
      </c>
      <c r="X802" s="78" t="s">
        <v>38</v>
      </c>
      <c r="Y802" s="78"/>
      <c r="Z802" s="78" t="s">
        <v>5458</v>
      </c>
      <c r="AA802">
        <f>IF(COUNTIF('Call Queue'!$H$6:$H$20,V802)&gt;0,0,IF(AND(ISNUMBER(N802),N802&gt;0),10000000+N802,IF(ISNUMBER(N802*1),IF(N802*1&gt;0,10000000+N802*1,0),0))+IF(ISNUMBER(SEARCH("(",L802)),1000000+IFERROR(VALUE(SUBSTITUTE(SUBSTITUTE(SUBSTITUTE(MID(L802,SEARCH("(",L802)+1,SEARCH(")",L802)-SEARCH("(",L802)-1),"$",""),",","")," ","")),0),0))</f>
        <v>0</v>
      </c>
    </row>
    <row r="803" spans="1:27">
      <c r="A803" s="76">
        <v>45910</v>
      </c>
      <c r="B803" s="77" t="s">
        <v>2682</v>
      </c>
      <c r="C803" s="77" t="s">
        <v>2019</v>
      </c>
      <c r="D803" s="77" t="s">
        <v>112</v>
      </c>
      <c r="E803" s="77">
        <v>85388</v>
      </c>
      <c r="F803" s="77" t="s">
        <v>310</v>
      </c>
      <c r="G803" s="77" t="s">
        <v>2949</v>
      </c>
      <c r="H803" s="77">
        <v>7228908122</v>
      </c>
      <c r="I803" s="77" t="s">
        <v>46</v>
      </c>
      <c r="J803" s="77" t="s">
        <v>37</v>
      </c>
      <c r="K803" s="77" t="s">
        <v>37</v>
      </c>
      <c r="L803" s="77" t="s">
        <v>1586</v>
      </c>
      <c r="M803" s="77" t="s">
        <v>37</v>
      </c>
      <c r="N803" s="77" t="s">
        <v>37</v>
      </c>
      <c r="O803" s="77" t="s">
        <v>38</v>
      </c>
      <c r="P803" s="77" t="s">
        <v>39</v>
      </c>
      <c r="Q803" s="76">
        <v>45961</v>
      </c>
      <c r="R803" s="77"/>
      <c r="S803" s="77"/>
      <c r="T803" s="77"/>
      <c r="U803" s="77"/>
      <c r="V803" s="78"/>
      <c r="W803" s="79"/>
      <c r="X803" s="78"/>
      <c r="Y803" s="78"/>
      <c r="Z803" s="78"/>
      <c r="AA803">
        <f>IF(COUNTIF('Call Queue'!$H$6:$H$20,V803)&gt;0,0,IF(AND(ISNUMBER(N803),N803&gt;0),10000000+N803,IF(ISNUMBER(N803*1),IF(N803*1&gt;0,10000000+N803*1,0),0))+IF(ISNUMBER(SEARCH("(",L803)),1000000+IFERROR(VALUE(SUBSTITUTE(SUBSTITUTE(SUBSTITUTE(MID(L803,SEARCH("(",L803)+1,SEARCH(")",L803)-SEARCH("(",L803)-1),"$",""),",","")," ","")),0),0))</f>
        <v>0</v>
      </c>
    </row>
    <row r="804" spans="1:27">
      <c r="A804" s="76">
        <v>45911</v>
      </c>
      <c r="B804" s="77" t="s">
        <v>2951</v>
      </c>
      <c r="C804" s="77" t="s">
        <v>2952</v>
      </c>
      <c r="D804" s="77" t="s">
        <v>125</v>
      </c>
      <c r="E804" s="77">
        <v>85259</v>
      </c>
      <c r="F804" s="77" t="s">
        <v>2953</v>
      </c>
      <c r="G804" s="77" t="s">
        <v>2949</v>
      </c>
      <c r="H804" s="77">
        <v>8092710000</v>
      </c>
      <c r="I804" s="77" t="s">
        <v>36</v>
      </c>
      <c r="J804" s="77" t="s">
        <v>37</v>
      </c>
      <c r="K804" s="77" t="s">
        <v>37</v>
      </c>
      <c r="L804" s="77" t="s">
        <v>1586</v>
      </c>
      <c r="M804" s="77" t="s">
        <v>37</v>
      </c>
      <c r="N804" s="77" t="s">
        <v>37</v>
      </c>
      <c r="O804" s="77" t="s">
        <v>38</v>
      </c>
      <c r="P804" s="77" t="s">
        <v>39</v>
      </c>
      <c r="Q804" s="76">
        <v>45961</v>
      </c>
      <c r="R804" s="77"/>
      <c r="S804" s="77"/>
      <c r="T804" s="77"/>
      <c r="U804" s="77"/>
      <c r="V804" s="78" t="s">
        <v>5432</v>
      </c>
      <c r="W804" s="79">
        <v>46081</v>
      </c>
      <c r="X804" s="78" t="s">
        <v>37</v>
      </c>
      <c r="Y804" s="78" t="s">
        <v>5442</v>
      </c>
      <c r="Z804" s="78"/>
      <c r="AA804">
        <f>IF(COUNTIF('Call Queue'!$H$6:$H$20,V804)&gt;0,0,IF(AND(ISNUMBER(N804),N804&gt;0),10000000+N804,IF(ISNUMBER(N804*1),IF(N804*1&gt;0,10000000+N804*1,0),0))+IF(ISNUMBER(SEARCH("(",L804)),1000000+IFERROR(VALUE(SUBSTITUTE(SUBSTITUTE(SUBSTITUTE(MID(L804,SEARCH("(",L804)+1,SEARCH(")",L804)-SEARCH("(",L804)-1),"$",""),",","")," ","")),0),0))</f>
        <v>0</v>
      </c>
    </row>
    <row r="805" spans="1:27">
      <c r="A805" s="76">
        <v>45911</v>
      </c>
      <c r="B805" s="77" t="s">
        <v>2368</v>
      </c>
      <c r="C805" s="77" t="s">
        <v>2135</v>
      </c>
      <c r="D805" s="77" t="s">
        <v>202</v>
      </c>
      <c r="E805" s="77">
        <v>85345</v>
      </c>
      <c r="F805" s="77" t="s">
        <v>310</v>
      </c>
      <c r="G805" s="77" t="s">
        <v>2949</v>
      </c>
      <c r="H805" s="77">
        <v>2482408877</v>
      </c>
      <c r="I805" s="77" t="s">
        <v>46</v>
      </c>
      <c r="J805" s="77" t="s">
        <v>37</v>
      </c>
      <c r="K805" s="77" t="s">
        <v>37</v>
      </c>
      <c r="L805" s="77" t="s">
        <v>2959</v>
      </c>
      <c r="M805" s="77" t="s">
        <v>37</v>
      </c>
      <c r="N805" s="77" t="s">
        <v>37</v>
      </c>
      <c r="O805" s="77" t="s">
        <v>38</v>
      </c>
      <c r="P805" s="77" t="s">
        <v>39</v>
      </c>
      <c r="Q805" s="76">
        <v>45961</v>
      </c>
      <c r="R805" s="77"/>
      <c r="S805" s="77"/>
      <c r="T805" s="77"/>
      <c r="U805" s="77"/>
      <c r="V805" s="78" t="s">
        <v>5432</v>
      </c>
      <c r="W805" s="79">
        <v>45997</v>
      </c>
      <c r="X805" s="78" t="s">
        <v>38</v>
      </c>
      <c r="Y805" s="78"/>
      <c r="Z805" s="78" t="s">
        <v>5585</v>
      </c>
      <c r="AA805">
        <f>IF(COUNTIF('Call Queue'!$H$6:$H$20,V805)&gt;0,0,IF(AND(ISNUMBER(N805),N805&gt;0),10000000+N805,IF(ISNUMBER(N805*1),IF(N805*1&gt;0,10000000+N805*1,0),0))+IF(ISNUMBER(SEARCH("(",L805)),1000000+IFERROR(VALUE(SUBSTITUTE(SUBSTITUTE(SUBSTITUTE(MID(L805,SEARCH("(",L805)+1,SEARCH(")",L805)-SEARCH("(",L805)-1),"$",""),",","")," ","")),0),0))</f>
        <v>0</v>
      </c>
    </row>
    <row r="806" spans="1:27">
      <c r="A806" s="76">
        <v>45911</v>
      </c>
      <c r="B806" s="77" t="s">
        <v>224</v>
      </c>
      <c r="C806" s="77" t="s">
        <v>346</v>
      </c>
      <c r="D806" s="77" t="s">
        <v>85</v>
      </c>
      <c r="E806" s="77">
        <v>86323</v>
      </c>
      <c r="F806" s="77" t="s">
        <v>31</v>
      </c>
      <c r="G806" s="77" t="s">
        <v>2949</v>
      </c>
      <c r="H806" s="77" t="s">
        <v>2962</v>
      </c>
      <c r="I806" s="77" t="s">
        <v>196</v>
      </c>
      <c r="J806" s="77" t="s">
        <v>37</v>
      </c>
      <c r="K806" s="77" t="s">
        <v>37</v>
      </c>
      <c r="L806" s="77" t="s">
        <v>2863</v>
      </c>
      <c r="M806" s="77" t="s">
        <v>37</v>
      </c>
      <c r="N806" s="77" t="s">
        <v>37</v>
      </c>
      <c r="O806" s="77" t="s">
        <v>38</v>
      </c>
      <c r="P806" s="77" t="s">
        <v>39</v>
      </c>
      <c r="Q806" s="76">
        <v>45961</v>
      </c>
      <c r="R806" s="77"/>
      <c r="S806" s="77"/>
      <c r="T806" s="77"/>
      <c r="U806" s="77"/>
      <c r="V806" s="78" t="s">
        <v>5432</v>
      </c>
      <c r="W806" s="79">
        <v>46025</v>
      </c>
      <c r="X806" s="78"/>
      <c r="Y806" s="78" t="s">
        <v>5442</v>
      </c>
      <c r="Z806" s="78" t="s">
        <v>5586</v>
      </c>
      <c r="AA806">
        <f>IF(COUNTIF('Call Queue'!$H$6:$H$20,V806)&gt;0,0,IF(AND(ISNUMBER(N806),N806&gt;0),10000000+N806,IF(ISNUMBER(N806*1),IF(N806*1&gt;0,10000000+N806*1,0),0))+IF(ISNUMBER(SEARCH("(",L806)),1000000+IFERROR(VALUE(SUBSTITUTE(SUBSTITUTE(SUBSTITUTE(MID(L806,SEARCH("(",L806)+1,SEARCH(")",L806)-SEARCH("(",L806)-1),"$",""),",","")," ","")),0),0))</f>
        <v>0</v>
      </c>
    </row>
    <row r="807" spans="1:27">
      <c r="A807" s="76">
        <v>45912</v>
      </c>
      <c r="B807" s="77" t="s">
        <v>2963</v>
      </c>
      <c r="C807" s="77" t="s">
        <v>2964</v>
      </c>
      <c r="D807" s="77" t="s">
        <v>169</v>
      </c>
      <c r="E807" s="77">
        <v>85395</v>
      </c>
      <c r="F807" s="77" t="s">
        <v>31</v>
      </c>
      <c r="G807" s="77" t="s">
        <v>2965</v>
      </c>
      <c r="H807" s="77">
        <v>4175541000</v>
      </c>
      <c r="I807" s="77" t="s">
        <v>36</v>
      </c>
      <c r="J807" s="77" t="s">
        <v>37</v>
      </c>
      <c r="K807" s="77" t="s">
        <v>37</v>
      </c>
      <c r="L807" s="77" t="s">
        <v>1586</v>
      </c>
      <c r="M807" s="77" t="s">
        <v>37</v>
      </c>
      <c r="N807" s="77" t="s">
        <v>37</v>
      </c>
      <c r="O807" s="77" t="s">
        <v>38</v>
      </c>
      <c r="P807" s="77" t="s">
        <v>39</v>
      </c>
      <c r="Q807" s="76">
        <v>45961</v>
      </c>
      <c r="R807" s="77"/>
      <c r="S807" s="77"/>
      <c r="T807" s="77"/>
      <c r="U807" s="77"/>
      <c r="V807" s="78"/>
      <c r="W807" s="79"/>
      <c r="X807" s="78"/>
      <c r="Y807" s="78"/>
      <c r="Z807" s="78"/>
      <c r="AA807">
        <f>IF(COUNTIF('Call Queue'!$H$6:$H$20,V807)&gt;0,0,IF(AND(ISNUMBER(N807),N807&gt;0),10000000+N807,IF(ISNUMBER(N807*1),IF(N807*1&gt;0,10000000+N807*1,0),0))+IF(ISNUMBER(SEARCH("(",L807)),1000000+IFERROR(VALUE(SUBSTITUTE(SUBSTITUTE(SUBSTITUTE(MID(L807,SEARCH("(",L807)+1,SEARCH(")",L807)-SEARCH("(",L807)-1),"$",""),",","")," ","")),0),0))</f>
        <v>0</v>
      </c>
    </row>
    <row r="808" spans="1:27">
      <c r="A808" s="76">
        <v>45912</v>
      </c>
      <c r="B808" s="77" t="s">
        <v>1344</v>
      </c>
      <c r="C808" s="77" t="s">
        <v>1198</v>
      </c>
      <c r="D808" s="77" t="s">
        <v>63</v>
      </c>
      <c r="E808" s="77">
        <v>85053</v>
      </c>
      <c r="F808" s="77" t="s">
        <v>310</v>
      </c>
      <c r="G808" s="77" t="s">
        <v>2967</v>
      </c>
      <c r="H808" s="77">
        <v>5790100875</v>
      </c>
      <c r="I808" s="77" t="s">
        <v>36</v>
      </c>
      <c r="J808" s="77" t="s">
        <v>37</v>
      </c>
      <c r="K808" s="77" t="s">
        <v>37</v>
      </c>
      <c r="L808" s="77" t="s">
        <v>1586</v>
      </c>
      <c r="M808" s="77" t="s">
        <v>37</v>
      </c>
      <c r="N808" s="77" t="s">
        <v>37</v>
      </c>
      <c r="O808" s="77" t="s">
        <v>38</v>
      </c>
      <c r="P808" s="77" t="s">
        <v>39</v>
      </c>
      <c r="Q808" s="76">
        <v>45961</v>
      </c>
      <c r="R808" s="77"/>
      <c r="S808" s="77"/>
      <c r="T808" s="77"/>
      <c r="U808" s="77"/>
      <c r="V808" s="78"/>
      <c r="W808" s="79"/>
      <c r="X808" s="78"/>
      <c r="Y808" s="78"/>
      <c r="Z808" s="78"/>
      <c r="AA808">
        <f>IF(COUNTIF('Call Queue'!$H$6:$H$20,V808)&gt;0,0,IF(AND(ISNUMBER(N808),N808&gt;0),10000000+N808,IF(ISNUMBER(N808*1),IF(N808*1&gt;0,10000000+N808*1,0),0))+IF(ISNUMBER(SEARCH("(",L808)),1000000+IFERROR(VALUE(SUBSTITUTE(SUBSTITUTE(SUBSTITUTE(MID(L808,SEARCH("(",L808)+1,SEARCH(")",L808)-SEARCH("(",L808)-1),"$",""),",","")," ","")),0),0))</f>
        <v>0</v>
      </c>
    </row>
    <row r="809" spans="1:27">
      <c r="A809" s="76">
        <v>45912</v>
      </c>
      <c r="B809" s="77" t="s">
        <v>2971</v>
      </c>
      <c r="C809" s="77" t="s">
        <v>1140</v>
      </c>
      <c r="D809" s="77" t="s">
        <v>63</v>
      </c>
      <c r="E809" s="77">
        <v>85027</v>
      </c>
      <c r="F809" s="77" t="s">
        <v>741</v>
      </c>
      <c r="G809" s="77" t="s">
        <v>2970</v>
      </c>
      <c r="H809" s="77">
        <v>2594531000</v>
      </c>
      <c r="I809" s="77" t="s">
        <v>196</v>
      </c>
      <c r="J809" s="77" t="s">
        <v>37</v>
      </c>
      <c r="K809" s="77" t="s">
        <v>37</v>
      </c>
      <c r="L809" s="77" t="s">
        <v>2973</v>
      </c>
      <c r="M809" s="77" t="s">
        <v>37</v>
      </c>
      <c r="N809" s="77" t="s">
        <v>37</v>
      </c>
      <c r="O809" s="77" t="s">
        <v>38</v>
      </c>
      <c r="P809" s="77" t="s">
        <v>39</v>
      </c>
      <c r="Q809" s="76">
        <v>45961</v>
      </c>
      <c r="R809" s="77"/>
      <c r="S809" s="77"/>
      <c r="T809" s="77"/>
      <c r="U809" s="77"/>
      <c r="V809" s="78" t="s">
        <v>5432</v>
      </c>
      <c r="W809" s="79">
        <v>46025</v>
      </c>
      <c r="X809" s="78" t="s">
        <v>38</v>
      </c>
      <c r="Y809" s="78"/>
      <c r="Z809" s="78" t="s">
        <v>5458</v>
      </c>
      <c r="AA809">
        <f>IF(COUNTIF('Call Queue'!$H$6:$H$20,V809)&gt;0,0,IF(AND(ISNUMBER(N809),N809&gt;0),10000000+N809,IF(ISNUMBER(N809*1),IF(N809*1&gt;0,10000000+N809*1,0),0))+IF(ISNUMBER(SEARCH("(",L809)),1000000+IFERROR(VALUE(SUBSTITUTE(SUBSTITUTE(SUBSTITUTE(MID(L809,SEARCH("(",L809)+1,SEARCH(")",L809)-SEARCH("(",L809)-1),"$",""),",","")," ","")),0),0))</f>
        <v>0</v>
      </c>
    </row>
    <row r="810" spans="1:27">
      <c r="A810" s="76">
        <v>45912</v>
      </c>
      <c r="B810" s="77" t="s">
        <v>2974</v>
      </c>
      <c r="C810" s="77" t="s">
        <v>2975</v>
      </c>
      <c r="D810" s="77" t="s">
        <v>523</v>
      </c>
      <c r="E810" s="77">
        <v>85392</v>
      </c>
      <c r="F810" s="77" t="s">
        <v>310</v>
      </c>
      <c r="G810" s="77" t="s">
        <v>2970</v>
      </c>
      <c r="H810" s="77">
        <v>2001860000</v>
      </c>
      <c r="I810" s="77" t="s">
        <v>196</v>
      </c>
      <c r="J810" s="77" t="s">
        <v>37</v>
      </c>
      <c r="K810" s="77" t="s">
        <v>37</v>
      </c>
      <c r="L810" s="77" t="s">
        <v>2977</v>
      </c>
      <c r="M810" s="77" t="s">
        <v>37</v>
      </c>
      <c r="N810" s="77" t="s">
        <v>37</v>
      </c>
      <c r="O810" s="77" t="s">
        <v>38</v>
      </c>
      <c r="P810" s="77">
        <v>45938</v>
      </c>
      <c r="Q810" s="76">
        <v>45961</v>
      </c>
      <c r="R810" s="77" t="s">
        <v>2978</v>
      </c>
      <c r="S810" s="77"/>
      <c r="T810" s="77"/>
      <c r="U810" s="77"/>
      <c r="V810" s="78" t="s">
        <v>5432</v>
      </c>
      <c r="W810" s="79">
        <v>46025</v>
      </c>
      <c r="X810" s="78" t="s">
        <v>38</v>
      </c>
      <c r="Y810" s="78"/>
      <c r="Z810" s="78"/>
      <c r="AA810">
        <f>IF(COUNTIF('Call Queue'!$H$6:$H$20,V810)&gt;0,0,IF(AND(ISNUMBER(N810),N810&gt;0),10000000+N810,IF(ISNUMBER(N810*1),IF(N810*1&gt;0,10000000+N810*1,0),0))+IF(ISNUMBER(SEARCH("(",L810)),1000000+IFERROR(VALUE(SUBSTITUTE(SUBSTITUTE(SUBSTITUTE(MID(L810,SEARCH("(",L810)+1,SEARCH(")",L810)-SEARCH("(",L810)-1),"$",""),",","")," ","")),0),0))</f>
        <v>0</v>
      </c>
    </row>
    <row r="811" spans="1:27">
      <c r="A811" s="76">
        <v>45912</v>
      </c>
      <c r="B811" s="77" t="s">
        <v>2979</v>
      </c>
      <c r="C811" s="77" t="s">
        <v>427</v>
      </c>
      <c r="D811" s="77" t="s">
        <v>24</v>
      </c>
      <c r="E811" s="77">
        <v>85308</v>
      </c>
      <c r="F811" s="77" t="s">
        <v>310</v>
      </c>
      <c r="G811" s="77" t="s">
        <v>2970</v>
      </c>
      <c r="H811" s="77">
        <v>417096787</v>
      </c>
      <c r="I811" s="77" t="s">
        <v>243</v>
      </c>
      <c r="J811" s="77" t="s">
        <v>37</v>
      </c>
      <c r="K811" s="77" t="s">
        <v>37</v>
      </c>
      <c r="L811" s="77" t="s">
        <v>389</v>
      </c>
      <c r="M811" s="77" t="s">
        <v>37</v>
      </c>
      <c r="N811" s="77" t="s">
        <v>37</v>
      </c>
      <c r="O811" s="77" t="s">
        <v>38</v>
      </c>
      <c r="P811" s="77" t="s">
        <v>39</v>
      </c>
      <c r="Q811" s="76">
        <v>45961</v>
      </c>
      <c r="R811" s="77"/>
      <c r="S811" s="77"/>
      <c r="T811" s="77"/>
      <c r="U811" s="77"/>
      <c r="V811" s="78"/>
      <c r="W811" s="79"/>
      <c r="X811" s="78"/>
      <c r="Y811" s="78"/>
      <c r="Z811" s="78"/>
      <c r="AA811">
        <f>IF(COUNTIF('Call Queue'!$H$6:$H$20,V811)&gt;0,0,IF(AND(ISNUMBER(N811),N811&gt;0),10000000+N811,IF(ISNUMBER(N811*1),IF(N811*1&gt;0,10000000+N811*1,0),0))+IF(ISNUMBER(SEARCH("(",L811)),1000000+IFERROR(VALUE(SUBSTITUTE(SUBSTITUTE(SUBSTITUTE(MID(L811,SEARCH("(",L811)+1,SEARCH(")",L811)-SEARCH("(",L811)-1),"$",""),",","")," ","")),0),0))</f>
        <v>0</v>
      </c>
    </row>
    <row r="812" spans="1:27">
      <c r="A812" s="76">
        <v>45912</v>
      </c>
      <c r="B812" s="77" t="s">
        <v>2981</v>
      </c>
      <c r="C812" s="77" t="s">
        <v>838</v>
      </c>
      <c r="D812" s="77" t="s">
        <v>125</v>
      </c>
      <c r="E812" s="77">
        <v>85255</v>
      </c>
      <c r="F812" s="77" t="s">
        <v>31</v>
      </c>
      <c r="G812" s="77" t="s">
        <v>2970</v>
      </c>
      <c r="H812" s="77">
        <v>1444600000</v>
      </c>
      <c r="I812" s="77" t="s">
        <v>541</v>
      </c>
      <c r="J812" s="77" t="s">
        <v>37</v>
      </c>
      <c r="K812" s="77" t="s">
        <v>37</v>
      </c>
      <c r="L812" s="77" t="s">
        <v>389</v>
      </c>
      <c r="M812" s="77" t="s">
        <v>37</v>
      </c>
      <c r="N812" s="77" t="s">
        <v>37</v>
      </c>
      <c r="O812" s="77" t="s">
        <v>38</v>
      </c>
      <c r="P812" s="77" t="s">
        <v>39</v>
      </c>
      <c r="Q812" s="76">
        <v>45961</v>
      </c>
      <c r="R812" s="77"/>
      <c r="S812" s="77"/>
      <c r="T812" s="77"/>
      <c r="U812" s="77"/>
      <c r="V812" s="78" t="s">
        <v>5432</v>
      </c>
      <c r="W812" s="79">
        <v>45997</v>
      </c>
      <c r="X812" s="78" t="s">
        <v>38</v>
      </c>
      <c r="Y812" s="78"/>
      <c r="Z812" s="78" t="s">
        <v>5587</v>
      </c>
      <c r="AA812">
        <f>IF(COUNTIF('Call Queue'!$H$6:$H$20,V812)&gt;0,0,IF(AND(ISNUMBER(N812),N812&gt;0),10000000+N812,IF(ISNUMBER(N812*1),IF(N812*1&gt;0,10000000+N812*1,0),0))+IF(ISNUMBER(SEARCH("(",L812)),1000000+IFERROR(VALUE(SUBSTITUTE(SUBSTITUTE(SUBSTITUTE(MID(L812,SEARCH("(",L812)+1,SEARCH(")",L812)-SEARCH("(",L812)-1),"$",""),",","")," ","")),0),0))</f>
        <v>0</v>
      </c>
    </row>
    <row r="813" spans="1:27">
      <c r="A813" s="76">
        <v>45912</v>
      </c>
      <c r="B813" s="77" t="s">
        <v>2986</v>
      </c>
      <c r="C813" s="77" t="s">
        <v>145</v>
      </c>
      <c r="D813" s="77" t="s">
        <v>816</v>
      </c>
      <c r="E813" s="77">
        <v>86303</v>
      </c>
      <c r="F813" s="77" t="s">
        <v>2987</v>
      </c>
      <c r="G813" s="77" t="s">
        <v>2985</v>
      </c>
      <c r="H813" s="77">
        <v>5304030000</v>
      </c>
      <c r="I813" s="77" t="s">
        <v>73</v>
      </c>
      <c r="J813" s="77" t="s">
        <v>37</v>
      </c>
      <c r="K813" s="77" t="s">
        <v>37</v>
      </c>
      <c r="L813" s="77" t="s">
        <v>1586</v>
      </c>
      <c r="M813" s="77" t="s">
        <v>37</v>
      </c>
      <c r="N813" s="77" t="s">
        <v>37</v>
      </c>
      <c r="O813" s="77" t="s">
        <v>38</v>
      </c>
      <c r="P813" s="77" t="s">
        <v>39</v>
      </c>
      <c r="Q813" s="76">
        <v>45961</v>
      </c>
      <c r="R813" s="77"/>
      <c r="S813" s="77"/>
      <c r="T813" s="77"/>
      <c r="U813" s="77"/>
      <c r="V813" s="78"/>
      <c r="W813" s="79"/>
      <c r="X813" s="78"/>
      <c r="Y813" s="78"/>
      <c r="Z813" s="78"/>
      <c r="AA813">
        <f>IF(COUNTIF('Call Queue'!$H$6:$H$20,V813)&gt;0,0,IF(AND(ISNUMBER(N813),N813&gt;0),10000000+N813,IF(ISNUMBER(N813*1),IF(N813*1&gt;0,10000000+N813*1,0),0))+IF(ISNUMBER(SEARCH("(",L813)),1000000+IFERROR(VALUE(SUBSTITUTE(SUBSTITUTE(SUBSTITUTE(MID(L813,SEARCH("(",L813)+1,SEARCH(")",L813)-SEARCH("(",L813)-1),"$",""),",","")," ","")),0),0))</f>
        <v>0</v>
      </c>
    </row>
    <row r="814" spans="1:27">
      <c r="A814" s="76">
        <v>45912</v>
      </c>
      <c r="B814" s="77" t="s">
        <v>2992</v>
      </c>
      <c r="C814" s="77" t="s">
        <v>42</v>
      </c>
      <c r="D814" s="77" t="s">
        <v>112</v>
      </c>
      <c r="E814" s="77">
        <v>85378</v>
      </c>
      <c r="F814" s="77" t="s">
        <v>660</v>
      </c>
      <c r="G814" s="77" t="s">
        <v>2985</v>
      </c>
      <c r="H814" s="77">
        <v>7224390000</v>
      </c>
      <c r="I814" s="77" t="s">
        <v>46</v>
      </c>
      <c r="J814" s="77" t="s">
        <v>37</v>
      </c>
      <c r="K814" s="77" t="s">
        <v>37</v>
      </c>
      <c r="L814" s="77" t="s">
        <v>2994</v>
      </c>
      <c r="M814" s="77" t="s">
        <v>37</v>
      </c>
      <c r="N814" s="77" t="s">
        <v>37</v>
      </c>
      <c r="O814" s="77" t="s">
        <v>38</v>
      </c>
      <c r="P814" s="77" t="s">
        <v>39</v>
      </c>
      <c r="Q814" s="76">
        <v>45961</v>
      </c>
      <c r="R814" s="77"/>
      <c r="S814" s="77"/>
      <c r="T814" s="77"/>
      <c r="U814" s="77"/>
      <c r="V814" s="78" t="s">
        <v>5432</v>
      </c>
      <c r="W814" s="79">
        <v>46025</v>
      </c>
      <c r="X814" s="78" t="s">
        <v>38</v>
      </c>
      <c r="Y814" s="78"/>
      <c r="Z814" s="78" t="s">
        <v>5458</v>
      </c>
      <c r="AA814">
        <f>IF(COUNTIF('Call Queue'!$H$6:$H$20,V814)&gt;0,0,IF(AND(ISNUMBER(N814),N814&gt;0),10000000+N814,IF(ISNUMBER(N814*1),IF(N814*1&gt;0,10000000+N814*1,0),0))+IF(ISNUMBER(SEARCH("(",L814)),1000000+IFERROR(VALUE(SUBSTITUTE(SUBSTITUTE(SUBSTITUTE(MID(L814,SEARCH("(",L814)+1,SEARCH(")",L814)-SEARCH("(",L814)-1),"$",""),",","")," ","")),0),0))</f>
        <v>0</v>
      </c>
    </row>
    <row r="815" spans="1:27">
      <c r="A815" s="76">
        <v>45912</v>
      </c>
      <c r="B815" s="77" t="s">
        <v>2995</v>
      </c>
      <c r="C815" s="77" t="s">
        <v>312</v>
      </c>
      <c r="D815" s="77" t="s">
        <v>24</v>
      </c>
      <c r="E815" s="77">
        <v>85308</v>
      </c>
      <c r="F815" s="77" t="s">
        <v>2996</v>
      </c>
      <c r="G815" s="77" t="s">
        <v>2985</v>
      </c>
      <c r="H815" s="77">
        <v>2139544986</v>
      </c>
      <c r="I815" s="77" t="s">
        <v>541</v>
      </c>
      <c r="J815" s="77" t="s">
        <v>37</v>
      </c>
      <c r="K815" s="77" t="s">
        <v>37</v>
      </c>
      <c r="L815" s="77" t="s">
        <v>389</v>
      </c>
      <c r="M815" s="77" t="s">
        <v>37</v>
      </c>
      <c r="N815" s="77" t="s">
        <v>37</v>
      </c>
      <c r="O815" s="77" t="s">
        <v>38</v>
      </c>
      <c r="P815" s="77" t="s">
        <v>39</v>
      </c>
      <c r="Q815" s="76">
        <v>45961</v>
      </c>
      <c r="R815" s="77"/>
      <c r="S815" s="77"/>
      <c r="T815" s="77"/>
      <c r="U815" s="77"/>
      <c r="V815" s="78" t="s">
        <v>5432</v>
      </c>
      <c r="W815" s="79">
        <v>45997</v>
      </c>
      <c r="X815" s="78" t="s">
        <v>38</v>
      </c>
      <c r="Y815" s="78"/>
      <c r="Z815" s="78" t="s">
        <v>5590</v>
      </c>
      <c r="AA815">
        <f>IF(COUNTIF('Call Queue'!$H$6:$H$20,V815)&gt;0,0,IF(AND(ISNUMBER(N815),N815&gt;0),10000000+N815,IF(ISNUMBER(N815*1),IF(N815*1&gt;0,10000000+N815*1,0),0))+IF(ISNUMBER(SEARCH("(",L815)),1000000+IFERROR(VALUE(SUBSTITUTE(SUBSTITUTE(SUBSTITUTE(MID(L815,SEARCH("(",L815)+1,SEARCH(")",L815)-SEARCH("(",L815)-1),"$",""),",","")," ","")),0),0))</f>
        <v>0</v>
      </c>
    </row>
    <row r="816" spans="1:27">
      <c r="A816" s="76">
        <v>45912</v>
      </c>
      <c r="B816" s="77" t="s">
        <v>2998</v>
      </c>
      <c r="C816" s="77" t="s">
        <v>252</v>
      </c>
      <c r="D816" s="77" t="s">
        <v>63</v>
      </c>
      <c r="E816" s="77">
        <v>85028</v>
      </c>
      <c r="F816" s="77" t="s">
        <v>31</v>
      </c>
      <c r="G816" s="77" t="s">
        <v>2985</v>
      </c>
      <c r="H816" s="77">
        <v>3066285596</v>
      </c>
      <c r="I816" s="77" t="s">
        <v>126</v>
      </c>
      <c r="J816" s="77" t="s">
        <v>37</v>
      </c>
      <c r="K816" s="77" t="s">
        <v>37</v>
      </c>
      <c r="L816" s="77" t="s">
        <v>3000</v>
      </c>
      <c r="M816" s="77" t="s">
        <v>37</v>
      </c>
      <c r="N816" s="77" t="s">
        <v>37</v>
      </c>
      <c r="O816" s="77" t="s">
        <v>38</v>
      </c>
      <c r="P816" s="77">
        <v>45938</v>
      </c>
      <c r="Q816" s="76">
        <v>45961</v>
      </c>
      <c r="R816" s="77" t="s">
        <v>3001</v>
      </c>
      <c r="S816" s="77"/>
      <c r="T816" s="77"/>
      <c r="U816" s="77"/>
      <c r="V816" s="78" t="s">
        <v>5432</v>
      </c>
      <c r="W816" s="79">
        <v>46025</v>
      </c>
      <c r="X816" s="78" t="s">
        <v>38</v>
      </c>
      <c r="Y816" s="78"/>
      <c r="Z816" s="78" t="s">
        <v>5458</v>
      </c>
      <c r="AA816">
        <f>IF(COUNTIF('Call Queue'!$H$6:$H$20,V816)&gt;0,0,IF(AND(ISNUMBER(N816),N816&gt;0),10000000+N816,IF(ISNUMBER(N816*1),IF(N816*1&gt;0,10000000+N816*1,0),0))+IF(ISNUMBER(SEARCH("(",L816)),1000000+IFERROR(VALUE(SUBSTITUTE(SUBSTITUTE(SUBSTITUTE(MID(L816,SEARCH("(",L816)+1,SEARCH(")",L816)-SEARCH("(",L816)-1),"$",""),",","")," ","")),0),0))</f>
        <v>0</v>
      </c>
    </row>
    <row r="817" spans="1:27">
      <c r="A817" s="76">
        <v>45912</v>
      </c>
      <c r="B817" s="77" t="s">
        <v>3002</v>
      </c>
      <c r="C817" s="77" t="s">
        <v>1533</v>
      </c>
      <c r="D817" s="77" t="s">
        <v>698</v>
      </c>
      <c r="E817" s="77">
        <v>85375</v>
      </c>
      <c r="F817" s="77" t="s">
        <v>31</v>
      </c>
      <c r="G817" s="77" t="s">
        <v>2985</v>
      </c>
      <c r="H817" s="77">
        <v>436289551</v>
      </c>
      <c r="I817" s="77" t="s">
        <v>57</v>
      </c>
      <c r="J817" s="77" t="s">
        <v>37</v>
      </c>
      <c r="K817" s="77" t="s">
        <v>37</v>
      </c>
      <c r="L817" s="77" t="s">
        <v>3004</v>
      </c>
      <c r="M817" s="77" t="s">
        <v>37</v>
      </c>
      <c r="N817" s="77" t="s">
        <v>37</v>
      </c>
      <c r="O817" s="77" t="s">
        <v>38</v>
      </c>
      <c r="P817" s="77">
        <v>45938</v>
      </c>
      <c r="Q817" s="76">
        <v>45961</v>
      </c>
      <c r="R817" s="77" t="s">
        <v>2978</v>
      </c>
      <c r="S817" s="77"/>
      <c r="T817" s="77"/>
      <c r="U817" s="77"/>
      <c r="V817" s="78" t="s">
        <v>5432</v>
      </c>
      <c r="W817" s="79">
        <v>46025</v>
      </c>
      <c r="X817" s="78" t="s">
        <v>38</v>
      </c>
      <c r="Y817" s="78"/>
      <c r="Z817" s="78" t="s">
        <v>5458</v>
      </c>
      <c r="AA817">
        <f>IF(COUNTIF('Call Queue'!$H$6:$H$20,V817)&gt;0,0,IF(AND(ISNUMBER(N817),N817&gt;0),10000000+N817,IF(ISNUMBER(N817*1),IF(N817*1&gt;0,10000000+N817*1,0),0))+IF(ISNUMBER(SEARCH("(",L817)),1000000+IFERROR(VALUE(SUBSTITUTE(SUBSTITUTE(SUBSTITUTE(MID(L817,SEARCH("(",L817)+1,SEARCH(")",L817)-SEARCH("(",L817)-1),"$",""),",","")," ","")),0),0))</f>
        <v>0</v>
      </c>
    </row>
    <row r="818" spans="1:27">
      <c r="A818" s="76">
        <v>45912</v>
      </c>
      <c r="B818" s="77" t="s">
        <v>3005</v>
      </c>
      <c r="C818" s="77" t="s">
        <v>3006</v>
      </c>
      <c r="D818" s="77" t="s">
        <v>125</v>
      </c>
      <c r="E818" s="77">
        <v>85255</v>
      </c>
      <c r="F818" s="77" t="s">
        <v>310</v>
      </c>
      <c r="G818" s="77" t="s">
        <v>2985</v>
      </c>
      <c r="H818" s="77">
        <v>3375784078</v>
      </c>
      <c r="I818" s="77" t="s">
        <v>57</v>
      </c>
      <c r="J818" s="77" t="s">
        <v>37</v>
      </c>
      <c r="K818" s="77" t="s">
        <v>37</v>
      </c>
      <c r="L818" s="77" t="s">
        <v>3008</v>
      </c>
      <c r="M818" s="77" t="s">
        <v>37</v>
      </c>
      <c r="N818" s="77" t="s">
        <v>37</v>
      </c>
      <c r="O818" s="77" t="s">
        <v>38</v>
      </c>
      <c r="P818" s="77">
        <v>45938</v>
      </c>
      <c r="Q818" s="76">
        <v>45961</v>
      </c>
      <c r="R818" s="77" t="s">
        <v>2978</v>
      </c>
      <c r="S818" s="77"/>
      <c r="T818" s="77"/>
      <c r="U818" s="77"/>
      <c r="V818" s="78" t="s">
        <v>5432</v>
      </c>
      <c r="W818" s="79">
        <v>46025</v>
      </c>
      <c r="X818" s="78" t="s">
        <v>38</v>
      </c>
      <c r="Y818" s="78"/>
      <c r="Z818" s="78" t="s">
        <v>5588</v>
      </c>
      <c r="AA818">
        <f>IF(COUNTIF('Call Queue'!$H$6:$H$20,V818)&gt;0,0,IF(AND(ISNUMBER(N818),N818&gt;0),10000000+N818,IF(ISNUMBER(N818*1),IF(N818*1&gt;0,10000000+N818*1,0),0))+IF(ISNUMBER(SEARCH("(",L818)),1000000+IFERROR(VALUE(SUBSTITUTE(SUBSTITUTE(SUBSTITUTE(MID(L818,SEARCH("(",L818)+1,SEARCH(")",L818)-SEARCH("(",L818)-1),"$",""),",","")," ","")),0),0))</f>
        <v>0</v>
      </c>
    </row>
    <row r="819" spans="1:27">
      <c r="A819" s="76">
        <v>45912</v>
      </c>
      <c r="B819" s="77" t="s">
        <v>3009</v>
      </c>
      <c r="C819" s="77" t="s">
        <v>312</v>
      </c>
      <c r="D819" s="77" t="s">
        <v>619</v>
      </c>
      <c r="E819" s="77">
        <v>85365</v>
      </c>
      <c r="F819" s="77" t="s">
        <v>3010</v>
      </c>
      <c r="G819" s="77" t="s">
        <v>2985</v>
      </c>
      <c r="H819" s="77">
        <v>4155800832</v>
      </c>
      <c r="I819" s="77" t="s">
        <v>73</v>
      </c>
      <c r="J819" s="77" t="s">
        <v>37</v>
      </c>
      <c r="K819" s="77" t="s">
        <v>37</v>
      </c>
      <c r="L819" s="77" t="s">
        <v>1586</v>
      </c>
      <c r="M819" s="77" t="s">
        <v>37</v>
      </c>
      <c r="N819" s="77" t="s">
        <v>37</v>
      </c>
      <c r="O819" s="77" t="s">
        <v>38</v>
      </c>
      <c r="P819" s="77" t="s">
        <v>39</v>
      </c>
      <c r="Q819" s="76">
        <v>45961</v>
      </c>
      <c r="R819" s="77"/>
      <c r="S819" s="77"/>
      <c r="T819" s="77"/>
      <c r="U819" s="77"/>
      <c r="V819" s="78"/>
      <c r="W819" s="79"/>
      <c r="X819" s="78"/>
      <c r="Y819" s="78"/>
      <c r="Z819" s="78"/>
      <c r="AA819">
        <f>IF(COUNTIF('Call Queue'!$H$6:$H$20,V819)&gt;0,0,IF(AND(ISNUMBER(N819),N819&gt;0),10000000+N819,IF(ISNUMBER(N819*1),IF(N819*1&gt;0,10000000+N819*1,0),0))+IF(ISNUMBER(SEARCH("(",L819)),1000000+IFERROR(VALUE(SUBSTITUTE(SUBSTITUTE(SUBSTITUTE(MID(L819,SEARCH("(",L819)+1,SEARCH(")",L819)-SEARCH("(",L819)-1),"$",""),",","")," ","")),0),0))</f>
        <v>0</v>
      </c>
    </row>
    <row r="820" spans="1:27">
      <c r="A820" s="76">
        <v>45912</v>
      </c>
      <c r="B820" s="77" t="s">
        <v>3012</v>
      </c>
      <c r="C820" s="77" t="s">
        <v>479</v>
      </c>
      <c r="D820" s="77" t="s">
        <v>24</v>
      </c>
      <c r="E820" s="77">
        <v>85308</v>
      </c>
      <c r="F820" s="77" t="s">
        <v>310</v>
      </c>
      <c r="G820" s="77" t="s">
        <v>2985</v>
      </c>
      <c r="H820" s="77">
        <v>5288821061</v>
      </c>
      <c r="I820" s="77" t="s">
        <v>36</v>
      </c>
      <c r="J820" s="77" t="s">
        <v>37</v>
      </c>
      <c r="K820" s="77" t="s">
        <v>37</v>
      </c>
      <c r="L820" s="77" t="s">
        <v>1586</v>
      </c>
      <c r="M820" s="77" t="s">
        <v>37</v>
      </c>
      <c r="N820" s="77" t="s">
        <v>37</v>
      </c>
      <c r="O820" s="77" t="s">
        <v>38</v>
      </c>
      <c r="P820" s="77" t="s">
        <v>39</v>
      </c>
      <c r="Q820" s="76">
        <v>45961</v>
      </c>
      <c r="R820" s="77" t="s">
        <v>3014</v>
      </c>
      <c r="S820" s="77"/>
      <c r="T820" s="77"/>
      <c r="U820" s="77"/>
      <c r="V820" s="78" t="s">
        <v>5432</v>
      </c>
      <c r="W820" s="79">
        <v>46081</v>
      </c>
      <c r="X820" s="78" t="s">
        <v>37</v>
      </c>
      <c r="Y820" s="78" t="s">
        <v>5527</v>
      </c>
      <c r="Z820" s="78" t="s">
        <v>5589</v>
      </c>
      <c r="AA820">
        <f>IF(COUNTIF('Call Queue'!$H$6:$H$20,V820)&gt;0,0,IF(AND(ISNUMBER(N820),N820&gt;0),10000000+N820,IF(ISNUMBER(N820*1),IF(N820*1&gt;0,10000000+N820*1,0),0))+IF(ISNUMBER(SEARCH("(",L820)),1000000+IFERROR(VALUE(SUBSTITUTE(SUBSTITUTE(SUBSTITUTE(MID(L820,SEARCH("(",L820)+1,SEARCH(")",L820)-SEARCH("(",L820)-1),"$",""),",","")," ","")),0),0))</f>
        <v>0</v>
      </c>
    </row>
    <row r="821" spans="1:27">
      <c r="A821" s="76">
        <v>45912</v>
      </c>
      <c r="B821" s="77" t="s">
        <v>1136</v>
      </c>
      <c r="C821" s="77" t="s">
        <v>3015</v>
      </c>
      <c r="D821" s="77" t="s">
        <v>63</v>
      </c>
      <c r="E821" s="77">
        <v>85032</v>
      </c>
      <c r="F821" s="77" t="s">
        <v>3016</v>
      </c>
      <c r="G821" s="77" t="s">
        <v>2985</v>
      </c>
      <c r="H821" s="77">
        <v>5531290000</v>
      </c>
      <c r="I821" s="77" t="s">
        <v>57</v>
      </c>
      <c r="J821" s="77" t="s">
        <v>37</v>
      </c>
      <c r="K821" s="77" t="s">
        <v>37</v>
      </c>
      <c r="L821" s="77" t="s">
        <v>3018</v>
      </c>
      <c r="M821" s="77" t="s">
        <v>37</v>
      </c>
      <c r="N821" s="77" t="s">
        <v>37</v>
      </c>
      <c r="O821" s="77" t="s">
        <v>38</v>
      </c>
      <c r="P821" s="77"/>
      <c r="Q821" s="76">
        <v>45961</v>
      </c>
      <c r="R821" s="77" t="s">
        <v>3019</v>
      </c>
      <c r="S821" s="77"/>
      <c r="T821" s="77"/>
      <c r="U821" s="77"/>
      <c r="V821" s="78" t="s">
        <v>5432</v>
      </c>
      <c r="W821" s="79">
        <v>46025</v>
      </c>
      <c r="X821" s="78"/>
      <c r="Y821" s="78" t="s">
        <v>5442</v>
      </c>
      <c r="Z821" s="78" t="s">
        <v>5471</v>
      </c>
      <c r="AA821">
        <f>IF(COUNTIF('Call Queue'!$H$6:$H$20,V821)&gt;0,0,IF(AND(ISNUMBER(N821),N821&gt;0),10000000+N821,IF(ISNUMBER(N821*1),IF(N821*1&gt;0,10000000+N821*1,0),0))+IF(ISNUMBER(SEARCH("(",L821)),1000000+IFERROR(VALUE(SUBSTITUTE(SUBSTITUTE(SUBSTITUTE(MID(L821,SEARCH("(",L821)+1,SEARCH(")",L821)-SEARCH("(",L821)-1),"$",""),",","")," ","")),0),0))</f>
        <v>0</v>
      </c>
    </row>
    <row r="822" spans="1:27">
      <c r="A822" s="76">
        <v>45912</v>
      </c>
      <c r="B822" s="77" t="s">
        <v>3020</v>
      </c>
      <c r="C822" s="77" t="s">
        <v>3021</v>
      </c>
      <c r="D822" s="77" t="s">
        <v>63</v>
      </c>
      <c r="E822" s="77">
        <v>85034</v>
      </c>
      <c r="F822" s="77" t="s">
        <v>310</v>
      </c>
      <c r="G822" s="77" t="s">
        <v>2985</v>
      </c>
      <c r="H822" s="77" t="s">
        <v>209</v>
      </c>
      <c r="I822" s="77"/>
      <c r="J822" s="77"/>
      <c r="K822" s="77"/>
      <c r="L822" s="77"/>
      <c r="M822" s="77"/>
      <c r="N822" s="77"/>
      <c r="O822" s="77"/>
      <c r="P822" s="77"/>
      <c r="Q822" s="76"/>
      <c r="R822" s="77"/>
      <c r="S822" s="77"/>
      <c r="T822" s="77"/>
      <c r="U822" s="77"/>
      <c r="V822" s="78"/>
      <c r="W822" s="79"/>
      <c r="X822" s="78"/>
      <c r="Y822" s="78"/>
      <c r="Z822" s="78"/>
      <c r="AA822">
        <f>IF(COUNTIF('Call Queue'!$H$6:$H$20,V822)&gt;0,0,IF(AND(ISNUMBER(N822),N822&gt;0),10000000+N822,IF(ISNUMBER(N822*1),IF(N822*1&gt;0,10000000+N822*1,0),0))+IF(ISNUMBER(SEARCH("(",L822)),1000000+IFERROR(VALUE(SUBSTITUTE(SUBSTITUTE(SUBSTITUTE(MID(L822,SEARCH("(",L822)+1,SEARCH(")",L822)-SEARCH("(",L822)-1),"$",""),",","")," ","")),0),0))</f>
        <v>0</v>
      </c>
    </row>
    <row r="823" spans="1:27">
      <c r="A823" s="76">
        <v>45913</v>
      </c>
      <c r="B823" s="77" t="s">
        <v>3022</v>
      </c>
      <c r="C823" s="77" t="s">
        <v>3023</v>
      </c>
      <c r="D823" s="77" t="s">
        <v>523</v>
      </c>
      <c r="E823" s="77">
        <v>85392</v>
      </c>
      <c r="F823" s="77" t="s">
        <v>31</v>
      </c>
      <c r="G823" s="77" t="s">
        <v>2985</v>
      </c>
      <c r="H823" s="77">
        <v>4456121000</v>
      </c>
      <c r="I823" s="77" t="s">
        <v>250</v>
      </c>
      <c r="J823" s="77" t="s">
        <v>37</v>
      </c>
      <c r="K823" s="77" t="s">
        <v>37</v>
      </c>
      <c r="L823" s="77" t="s">
        <v>1586</v>
      </c>
      <c r="M823" s="77" t="s">
        <v>37</v>
      </c>
      <c r="N823" s="77" t="s">
        <v>37</v>
      </c>
      <c r="O823" s="77" t="s">
        <v>38</v>
      </c>
      <c r="P823" s="77" t="s">
        <v>39</v>
      </c>
      <c r="Q823" s="76">
        <v>45961</v>
      </c>
      <c r="R823" s="77"/>
      <c r="S823" s="77"/>
      <c r="T823" s="77"/>
      <c r="U823" s="77"/>
      <c r="V823" s="78" t="s">
        <v>5432</v>
      </c>
      <c r="W823" s="79">
        <v>46081</v>
      </c>
      <c r="X823" s="78" t="s">
        <v>38</v>
      </c>
      <c r="Y823" s="78"/>
      <c r="Z823" s="78" t="s">
        <v>5458</v>
      </c>
      <c r="AA823">
        <f>IF(COUNTIF('Call Queue'!$H$6:$H$20,V823)&gt;0,0,IF(AND(ISNUMBER(N823),N823&gt;0),10000000+N823,IF(ISNUMBER(N823*1),IF(N823*1&gt;0,10000000+N823*1,0),0))+IF(ISNUMBER(SEARCH("(",L823)),1000000+IFERROR(VALUE(SUBSTITUTE(SUBSTITUTE(SUBSTITUTE(MID(L823,SEARCH("(",L823)+1,SEARCH(")",L823)-SEARCH("(",L823)-1),"$",""),",","")," ","")),0),0))</f>
        <v>0</v>
      </c>
    </row>
    <row r="824" spans="1:27">
      <c r="A824" s="76">
        <v>45913</v>
      </c>
      <c r="B824" s="77" t="s">
        <v>2046</v>
      </c>
      <c r="C824" s="77" t="s">
        <v>597</v>
      </c>
      <c r="D824" s="77" t="s">
        <v>169</v>
      </c>
      <c r="E824" s="77">
        <v>85338</v>
      </c>
      <c r="F824" s="77" t="s">
        <v>31</v>
      </c>
      <c r="G824" s="77" t="s">
        <v>2985</v>
      </c>
      <c r="H824" s="77" t="s">
        <v>209</v>
      </c>
      <c r="I824" s="77"/>
      <c r="J824" s="77"/>
      <c r="K824" s="77"/>
      <c r="L824" s="77"/>
      <c r="M824" s="77"/>
      <c r="N824" s="77"/>
      <c r="O824" s="77"/>
      <c r="P824" s="77"/>
      <c r="Q824" s="76"/>
      <c r="R824" s="77"/>
      <c r="S824" s="77"/>
      <c r="T824" s="77"/>
      <c r="U824" s="77"/>
      <c r="V824" s="78"/>
      <c r="W824" s="79"/>
      <c r="X824" s="78"/>
      <c r="Y824" s="78"/>
      <c r="Z824" s="78"/>
      <c r="AA824">
        <f>IF(COUNTIF('Call Queue'!$H$6:$H$20,V824)&gt;0,0,IF(AND(ISNUMBER(N824),N824&gt;0),10000000+N824,IF(ISNUMBER(N824*1),IF(N824*1&gt;0,10000000+N824*1,0),0))+IF(ISNUMBER(SEARCH("(",L824)),1000000+IFERROR(VALUE(SUBSTITUTE(SUBSTITUTE(SUBSTITUTE(MID(L824,SEARCH("(",L824)+1,SEARCH(")",L824)-SEARCH("(",L824)-1),"$",""),",","")," ","")),0),0))</f>
        <v>0</v>
      </c>
    </row>
    <row r="825" spans="1:27">
      <c r="A825" s="76">
        <v>45913</v>
      </c>
      <c r="B825" s="77" t="s">
        <v>3029</v>
      </c>
      <c r="C825" s="77" t="s">
        <v>3030</v>
      </c>
      <c r="D825" s="77" t="s">
        <v>63</v>
      </c>
      <c r="E825" s="77">
        <v>85022</v>
      </c>
      <c r="F825" s="77" t="s">
        <v>31</v>
      </c>
      <c r="G825" s="77" t="s">
        <v>2985</v>
      </c>
      <c r="H825" s="77">
        <v>9854457444</v>
      </c>
      <c r="I825" s="77" t="s">
        <v>73</v>
      </c>
      <c r="J825" s="77" t="s">
        <v>37</v>
      </c>
      <c r="K825" s="77" t="s">
        <v>37</v>
      </c>
      <c r="L825" s="77" t="s">
        <v>1586</v>
      </c>
      <c r="M825" s="77" t="s">
        <v>37</v>
      </c>
      <c r="N825" s="77" t="s">
        <v>37</v>
      </c>
      <c r="O825" s="77" t="s">
        <v>38</v>
      </c>
      <c r="P825" s="77" t="s">
        <v>39</v>
      </c>
      <c r="Q825" s="76">
        <v>45961</v>
      </c>
      <c r="R825" s="77"/>
      <c r="S825" s="77"/>
      <c r="T825" s="77"/>
      <c r="U825" s="77"/>
      <c r="V825" s="78"/>
      <c r="W825" s="79"/>
      <c r="X825" s="78"/>
      <c r="Y825" s="78"/>
      <c r="Z825" s="78"/>
      <c r="AA825">
        <f>IF(COUNTIF('Call Queue'!$H$6:$H$20,V825)&gt;0,0,IF(AND(ISNUMBER(N825),N825&gt;0),10000000+N825,IF(ISNUMBER(N825*1),IF(N825*1&gt;0,10000000+N825*1,0),0))+IF(ISNUMBER(SEARCH("(",L825)),1000000+IFERROR(VALUE(SUBSTITUTE(SUBSTITUTE(SUBSTITUTE(MID(L825,SEARCH("(",L825)+1,SEARCH(")",L825)-SEARCH("(",L825)-1),"$",""),",","")," ","")),0),0))</f>
        <v>0</v>
      </c>
    </row>
    <row r="826" spans="1:27">
      <c r="A826" s="76">
        <v>45913</v>
      </c>
      <c r="B826" s="77" t="s">
        <v>2995</v>
      </c>
      <c r="C826" s="77" t="s">
        <v>312</v>
      </c>
      <c r="D826" s="77" t="s">
        <v>24</v>
      </c>
      <c r="E826" s="77">
        <v>85308</v>
      </c>
      <c r="F826" s="77" t="s">
        <v>31</v>
      </c>
      <c r="G826" s="77" t="s">
        <v>2985</v>
      </c>
      <c r="H826" s="77">
        <v>2139544986</v>
      </c>
      <c r="I826" s="77" t="s">
        <v>541</v>
      </c>
      <c r="J826" s="77" t="s">
        <v>37</v>
      </c>
      <c r="K826" s="77" t="s">
        <v>37</v>
      </c>
      <c r="L826" s="77" t="s">
        <v>389</v>
      </c>
      <c r="M826" s="77" t="s">
        <v>37</v>
      </c>
      <c r="N826" s="77" t="s">
        <v>37</v>
      </c>
      <c r="O826" s="77" t="s">
        <v>38</v>
      </c>
      <c r="P826" s="77" t="s">
        <v>39</v>
      </c>
      <c r="Q826" s="76">
        <v>45961</v>
      </c>
      <c r="R826" s="77"/>
      <c r="S826" s="77"/>
      <c r="T826" s="77"/>
      <c r="U826" s="77"/>
      <c r="V826" s="78"/>
      <c r="W826" s="79"/>
      <c r="X826" s="78"/>
      <c r="Y826" s="78"/>
      <c r="Z826" s="78"/>
      <c r="AA826">
        <f>IF(COUNTIF('Call Queue'!$H$6:$H$20,V826)&gt;0,0,IF(AND(ISNUMBER(N826),N826&gt;0),10000000+N826,IF(ISNUMBER(N826*1),IF(N826*1&gt;0,10000000+N826*1,0),0))+IF(ISNUMBER(SEARCH("(",L826)),1000000+IFERROR(VALUE(SUBSTITUTE(SUBSTITUTE(SUBSTITUTE(MID(L826,SEARCH("(",L826)+1,SEARCH(")",L826)-SEARCH("(",L826)-1),"$",""),",","")," ","")),0),0))</f>
        <v>0</v>
      </c>
    </row>
    <row r="827" spans="1:27">
      <c r="A827" s="76">
        <v>45914</v>
      </c>
      <c r="B827" s="77" t="s">
        <v>3032</v>
      </c>
      <c r="C827" s="77" t="s">
        <v>3033</v>
      </c>
      <c r="D827" s="77" t="s">
        <v>370</v>
      </c>
      <c r="E827" s="77">
        <v>85225</v>
      </c>
      <c r="F827" s="77" t="s">
        <v>310</v>
      </c>
      <c r="G827" s="77" t="s">
        <v>2985</v>
      </c>
      <c r="H827" s="77">
        <v>406230633</v>
      </c>
      <c r="I827" s="77" t="s">
        <v>3035</v>
      </c>
      <c r="J827" s="77" t="s">
        <v>37</v>
      </c>
      <c r="K827" s="77" t="s">
        <v>37</v>
      </c>
      <c r="L827" s="77" t="s">
        <v>3036</v>
      </c>
      <c r="M827" s="77" t="s">
        <v>37</v>
      </c>
      <c r="N827" s="77" t="s">
        <v>37</v>
      </c>
      <c r="O827" s="77" t="s">
        <v>38</v>
      </c>
      <c r="P827" s="77" t="s">
        <v>39</v>
      </c>
      <c r="Q827" s="76">
        <v>45961</v>
      </c>
      <c r="R827" s="77"/>
      <c r="S827" s="77"/>
      <c r="T827" s="77"/>
      <c r="U827" s="77"/>
      <c r="V827" s="78" t="s">
        <v>5432</v>
      </c>
      <c r="W827" s="79">
        <v>46025</v>
      </c>
      <c r="X827" s="78" t="s">
        <v>38</v>
      </c>
      <c r="Y827" s="78"/>
      <c r="Z827" s="78" t="s">
        <v>5472</v>
      </c>
      <c r="AA827">
        <f>IF(COUNTIF('Call Queue'!$H$6:$H$20,V827)&gt;0,0,IF(AND(ISNUMBER(N827),N827&gt;0),10000000+N827,IF(ISNUMBER(N827*1),IF(N827*1&gt;0,10000000+N827*1,0),0))+IF(ISNUMBER(SEARCH("(",L827)),1000000+IFERROR(VALUE(SUBSTITUTE(SUBSTITUTE(SUBSTITUTE(MID(L827,SEARCH("(",L827)+1,SEARCH(")",L827)-SEARCH("(",L827)-1),"$",""),",","")," ","")),0),0))</f>
        <v>0</v>
      </c>
    </row>
    <row r="828" spans="1:27">
      <c r="A828" s="76">
        <v>45914</v>
      </c>
      <c r="B828" s="77" t="s">
        <v>3037</v>
      </c>
      <c r="C828" s="77" t="s">
        <v>611</v>
      </c>
      <c r="D828" s="77" t="s">
        <v>63</v>
      </c>
      <c r="E828" s="77">
        <v>85020</v>
      </c>
      <c r="F828" s="77" t="s">
        <v>31</v>
      </c>
      <c r="G828" s="77" t="s">
        <v>2985</v>
      </c>
      <c r="H828" s="77">
        <v>5672030668</v>
      </c>
      <c r="I828" s="77" t="s">
        <v>418</v>
      </c>
      <c r="J828" s="77" t="s">
        <v>37</v>
      </c>
      <c r="K828" s="77" t="s">
        <v>37</v>
      </c>
      <c r="L828" s="77" t="s">
        <v>389</v>
      </c>
      <c r="M828" s="77" t="s">
        <v>37</v>
      </c>
      <c r="N828" s="77" t="s">
        <v>37</v>
      </c>
      <c r="O828" s="77" t="s">
        <v>38</v>
      </c>
      <c r="P828" s="77" t="s">
        <v>39</v>
      </c>
      <c r="Q828" s="76">
        <v>45961</v>
      </c>
      <c r="R828" s="77"/>
      <c r="S828" s="77"/>
      <c r="T828" s="77"/>
      <c r="U828" s="77"/>
      <c r="V828" s="78" t="s">
        <v>5432</v>
      </c>
      <c r="W828" s="79">
        <v>46081</v>
      </c>
      <c r="X828" s="78" t="s">
        <v>38</v>
      </c>
      <c r="Y828" s="78"/>
      <c r="Z828" s="78" t="s">
        <v>5458</v>
      </c>
      <c r="AA828">
        <f>IF(COUNTIF('Call Queue'!$H$6:$H$20,V828)&gt;0,0,IF(AND(ISNUMBER(N828),N828&gt;0),10000000+N828,IF(ISNUMBER(N828*1),IF(N828*1&gt;0,10000000+N828*1,0),0))+IF(ISNUMBER(SEARCH("(",L828)),1000000+IFERROR(VALUE(SUBSTITUTE(SUBSTITUTE(SUBSTITUTE(MID(L828,SEARCH("(",L828)+1,SEARCH(")",L828)-SEARCH("(",L828)-1),"$",""),",","")," ","")),0),0))</f>
        <v>0</v>
      </c>
    </row>
    <row r="829" spans="1:27">
      <c r="A829" s="76">
        <v>45914</v>
      </c>
      <c r="B829" s="77" t="s">
        <v>926</v>
      </c>
      <c r="C829" s="77" t="s">
        <v>1079</v>
      </c>
      <c r="D829" s="77" t="s">
        <v>619</v>
      </c>
      <c r="E829" s="77">
        <v>85365</v>
      </c>
      <c r="F829" s="77" t="s">
        <v>3039</v>
      </c>
      <c r="G829" s="77" t="s">
        <v>2985</v>
      </c>
      <c r="H829" s="77" t="s">
        <v>209</v>
      </c>
      <c r="I829" s="77"/>
      <c r="J829" s="77"/>
      <c r="K829" s="77"/>
      <c r="L829" s="77"/>
      <c r="M829" s="77"/>
      <c r="N829" s="77"/>
      <c r="O829" s="77"/>
      <c r="P829" s="77"/>
      <c r="Q829" s="76"/>
      <c r="R829" s="77"/>
      <c r="S829" s="77"/>
      <c r="T829" s="77"/>
      <c r="U829" s="77"/>
      <c r="V829" s="78"/>
      <c r="W829" s="79"/>
      <c r="X829" s="78"/>
      <c r="Y829" s="78"/>
      <c r="Z829" s="78"/>
      <c r="AA829">
        <f>IF(COUNTIF('Call Queue'!$H$6:$H$20,V829)&gt;0,0,IF(AND(ISNUMBER(N829),N829&gt;0),10000000+N829,IF(ISNUMBER(N829*1),IF(N829*1&gt;0,10000000+N829*1,0),0))+IF(ISNUMBER(SEARCH("(",L829)),1000000+IFERROR(VALUE(SUBSTITUTE(SUBSTITUTE(SUBSTITUTE(MID(L829,SEARCH("(",L829)+1,SEARCH(")",L829)-SEARCH("(",L829)-1),"$",""),",","")," ","")),0),0))</f>
        <v>0</v>
      </c>
    </row>
    <row r="830" spans="1:27">
      <c r="A830" s="76">
        <v>45914</v>
      </c>
      <c r="B830" s="77" t="s">
        <v>1884</v>
      </c>
      <c r="C830" s="77" t="s">
        <v>3040</v>
      </c>
      <c r="D830" s="77" t="s">
        <v>619</v>
      </c>
      <c r="E830" s="77">
        <v>85364</v>
      </c>
      <c r="F830" s="77" t="s">
        <v>3041</v>
      </c>
      <c r="G830" s="77" t="s">
        <v>2985</v>
      </c>
      <c r="H830" s="77">
        <v>2060349043</v>
      </c>
      <c r="I830" s="77" t="s">
        <v>250</v>
      </c>
      <c r="J830" s="77" t="s">
        <v>37</v>
      </c>
      <c r="K830" s="77" t="s">
        <v>37</v>
      </c>
      <c r="L830" s="77" t="s">
        <v>3043</v>
      </c>
      <c r="M830" s="77" t="s">
        <v>38</v>
      </c>
      <c r="N830" s="77">
        <v>722.34</v>
      </c>
      <c r="O830" s="77" t="s">
        <v>38</v>
      </c>
      <c r="P830" s="77"/>
      <c r="Q830" s="76">
        <v>45961</v>
      </c>
      <c r="R830" s="77" t="s">
        <v>3044</v>
      </c>
      <c r="S830" s="77"/>
      <c r="T830" s="77"/>
      <c r="U830" s="77" t="s">
        <v>3045</v>
      </c>
      <c r="V830" s="78" t="s">
        <v>5432</v>
      </c>
      <c r="W830" s="79">
        <v>46025</v>
      </c>
      <c r="X830" s="78" t="s">
        <v>37</v>
      </c>
      <c r="Y830" s="78"/>
      <c r="Z830" s="78" t="s">
        <v>5545</v>
      </c>
      <c r="AA830">
        <f>IF(COUNTIF('Call Queue'!$H$6:$H$20,V830)&gt;0,0,IF(AND(ISNUMBER(N830),N830&gt;0),10000000+N830,IF(ISNUMBER(N830*1),IF(N830*1&gt;0,10000000+N830*1,0),0))+IF(ISNUMBER(SEARCH("(",L830)),1000000+IFERROR(VALUE(SUBSTITUTE(SUBSTITUTE(SUBSTITUTE(MID(L830,SEARCH("(",L830)+1,SEARCH(")",L830)-SEARCH("(",L830)-1),"$",""),",","")," ","")),0),0))</f>
        <v>0</v>
      </c>
    </row>
    <row r="831" spans="1:27">
      <c r="A831" s="76">
        <v>45914</v>
      </c>
      <c r="B831" s="77" t="s">
        <v>3046</v>
      </c>
      <c r="C831" s="77" t="s">
        <v>333</v>
      </c>
      <c r="D831" s="77" t="s">
        <v>63</v>
      </c>
      <c r="E831" s="77">
        <v>85281</v>
      </c>
      <c r="F831" s="77" t="s">
        <v>310</v>
      </c>
      <c r="G831" s="77" t="s">
        <v>2985</v>
      </c>
      <c r="H831" s="77">
        <v>3985295602</v>
      </c>
      <c r="I831" s="77" t="s">
        <v>73</v>
      </c>
      <c r="J831" s="77" t="s">
        <v>38</v>
      </c>
      <c r="K831" s="77" t="s">
        <v>37</v>
      </c>
      <c r="L831" s="77" t="s">
        <v>38</v>
      </c>
      <c r="M831" s="77" t="s">
        <v>37</v>
      </c>
      <c r="N831" s="77" t="s">
        <v>37</v>
      </c>
      <c r="O831" s="77" t="s">
        <v>38</v>
      </c>
      <c r="P831" s="77" t="s">
        <v>39</v>
      </c>
      <c r="Q831" s="76">
        <v>45961</v>
      </c>
      <c r="R831" s="77"/>
      <c r="S831" s="77"/>
      <c r="T831" s="77"/>
      <c r="U831" s="77"/>
      <c r="V831" s="78" t="s">
        <v>5432</v>
      </c>
      <c r="W831" s="79">
        <v>46081</v>
      </c>
      <c r="X831" s="78" t="s">
        <v>37</v>
      </c>
      <c r="Y831" s="78" t="s">
        <v>5442</v>
      </c>
      <c r="Z831" s="78" t="s">
        <v>5577</v>
      </c>
      <c r="AA831">
        <f>IF(COUNTIF('Call Queue'!$H$6:$H$20,V831)&gt;0,0,IF(AND(ISNUMBER(N831),N831&gt;0),10000000+N831,IF(ISNUMBER(N831*1),IF(N831*1&gt;0,10000000+N831*1,0),0))+IF(ISNUMBER(SEARCH("(",L831)),1000000+IFERROR(VALUE(SUBSTITUTE(SUBSTITUTE(SUBSTITUTE(MID(L831,SEARCH("(",L831)+1,SEARCH(")",L831)-SEARCH("(",L831)-1),"$",""),",","")," ","")),0),0))</f>
        <v>0</v>
      </c>
    </row>
    <row r="832" spans="1:27">
      <c r="A832" s="76">
        <v>45914</v>
      </c>
      <c r="B832" s="77" t="s">
        <v>2951</v>
      </c>
      <c r="C832" s="77" t="s">
        <v>3006</v>
      </c>
      <c r="D832" s="77" t="s">
        <v>125</v>
      </c>
      <c r="E832" s="77">
        <v>85260</v>
      </c>
      <c r="F832" s="77" t="s">
        <v>3050</v>
      </c>
      <c r="G832" s="77" t="s">
        <v>2985</v>
      </c>
      <c r="H832" s="77">
        <v>3081131103</v>
      </c>
      <c r="I832" s="77" t="s">
        <v>196</v>
      </c>
      <c r="J832" s="77" t="s">
        <v>37</v>
      </c>
      <c r="K832" s="77" t="s">
        <v>37</v>
      </c>
      <c r="L832" s="77" t="s">
        <v>3052</v>
      </c>
      <c r="M832" s="77" t="s">
        <v>37</v>
      </c>
      <c r="N832" s="77" t="s">
        <v>37</v>
      </c>
      <c r="O832" s="77" t="s">
        <v>38</v>
      </c>
      <c r="P832" s="77" t="s">
        <v>39</v>
      </c>
      <c r="Q832" s="76">
        <v>45961</v>
      </c>
      <c r="R832" s="77"/>
      <c r="S832" s="77"/>
      <c r="T832" s="77"/>
      <c r="U832" s="77"/>
      <c r="V832" s="78" t="s">
        <v>5432</v>
      </c>
      <c r="W832" s="79">
        <v>45997</v>
      </c>
      <c r="X832" s="78" t="s">
        <v>38</v>
      </c>
      <c r="Y832" s="78"/>
      <c r="Z832" s="78" t="s">
        <v>5585</v>
      </c>
      <c r="AA832">
        <f>IF(COUNTIF('Call Queue'!$H$6:$H$20,V832)&gt;0,0,IF(AND(ISNUMBER(N832),N832&gt;0),10000000+N832,IF(ISNUMBER(N832*1),IF(N832*1&gt;0,10000000+N832*1,0),0))+IF(ISNUMBER(SEARCH("(",L832)),1000000+IFERROR(VALUE(SUBSTITUTE(SUBSTITUTE(SUBSTITUTE(MID(L832,SEARCH("(",L832)+1,SEARCH(")",L832)-SEARCH("(",L832)-1),"$",""),",","")," ","")),0),0))</f>
        <v>0</v>
      </c>
    </row>
    <row r="833" spans="1:27">
      <c r="A833" s="76">
        <v>45917</v>
      </c>
      <c r="B833" s="77" t="s">
        <v>3053</v>
      </c>
      <c r="C833" s="77" t="s">
        <v>184</v>
      </c>
      <c r="D833" s="77" t="s">
        <v>63</v>
      </c>
      <c r="E833" s="77">
        <v>85023</v>
      </c>
      <c r="F833" s="77" t="s">
        <v>3054</v>
      </c>
      <c r="G833" s="77" t="s">
        <v>3055</v>
      </c>
      <c r="H833" s="77">
        <v>5447681797</v>
      </c>
      <c r="I833" s="77" t="s">
        <v>196</v>
      </c>
      <c r="J833" s="77" t="s">
        <v>37</v>
      </c>
      <c r="K833" s="77" t="s">
        <v>37</v>
      </c>
      <c r="L833" s="77" t="s">
        <v>3057</v>
      </c>
      <c r="M833" s="77" t="s">
        <v>37</v>
      </c>
      <c r="N833" s="77" t="s">
        <v>37</v>
      </c>
      <c r="O833" s="77" t="s">
        <v>38</v>
      </c>
      <c r="P833" s="77">
        <v>45939</v>
      </c>
      <c r="Q833" s="76">
        <v>45961</v>
      </c>
      <c r="R833" s="77" t="s">
        <v>2474</v>
      </c>
      <c r="S833" s="77"/>
      <c r="T833" s="77"/>
      <c r="U833" s="77"/>
      <c r="V833" s="78" t="s">
        <v>5432</v>
      </c>
      <c r="W833" s="79">
        <v>46053</v>
      </c>
      <c r="X833" s="78" t="s">
        <v>37</v>
      </c>
      <c r="Y833" s="78" t="s">
        <v>5438</v>
      </c>
      <c r="Z833" s="78" t="s">
        <v>5591</v>
      </c>
      <c r="AA833">
        <f>IF(COUNTIF('Call Queue'!$H$6:$H$20,V833)&gt;0,0,IF(AND(ISNUMBER(N833),N833&gt;0),10000000+N833,IF(ISNUMBER(N833*1),IF(N833*1&gt;0,10000000+N833*1,0),0))+IF(ISNUMBER(SEARCH("(",L833)),1000000+IFERROR(VALUE(SUBSTITUTE(SUBSTITUTE(SUBSTITUTE(MID(L833,SEARCH("(",L833)+1,SEARCH(")",L833)-SEARCH("(",L833)-1),"$",""),",","")," ","")),0),0))</f>
        <v>0</v>
      </c>
    </row>
    <row r="834" spans="1:27">
      <c r="A834" s="76">
        <v>45917</v>
      </c>
      <c r="B834" s="77" t="s">
        <v>3058</v>
      </c>
      <c r="C834" s="77" t="s">
        <v>225</v>
      </c>
      <c r="D834" s="77" t="s">
        <v>737</v>
      </c>
      <c r="E834" s="77">
        <v>86326</v>
      </c>
      <c r="F834" s="77" t="s">
        <v>3059</v>
      </c>
      <c r="G834" s="77" t="s">
        <v>3060</v>
      </c>
      <c r="H834" s="77">
        <v>1353321000</v>
      </c>
      <c r="I834" s="77" t="s">
        <v>36</v>
      </c>
      <c r="J834" s="77" t="s">
        <v>37</v>
      </c>
      <c r="K834" s="77" t="s">
        <v>37</v>
      </c>
      <c r="L834" s="77" t="s">
        <v>38</v>
      </c>
      <c r="M834" s="77" t="s">
        <v>37</v>
      </c>
      <c r="N834" s="77" t="s">
        <v>37</v>
      </c>
      <c r="O834" s="77" t="s">
        <v>38</v>
      </c>
      <c r="P834" s="77" t="s">
        <v>39</v>
      </c>
      <c r="Q834" s="76">
        <v>45961</v>
      </c>
      <c r="R834" s="77"/>
      <c r="S834" s="77"/>
      <c r="T834" s="77"/>
      <c r="U834" s="77"/>
      <c r="V834" s="78"/>
      <c r="W834" s="79"/>
      <c r="X834" s="78"/>
      <c r="Y834" s="78"/>
      <c r="Z834" s="78"/>
      <c r="AA834">
        <f>IF(COUNTIF('Call Queue'!$H$6:$H$20,V834)&gt;0,0,IF(AND(ISNUMBER(N834),N834&gt;0),10000000+N834,IF(ISNUMBER(N834*1),IF(N834*1&gt;0,10000000+N834*1,0),0))+IF(ISNUMBER(SEARCH("(",L834)),1000000+IFERROR(VALUE(SUBSTITUTE(SUBSTITUTE(SUBSTITUTE(MID(L834,SEARCH("(",L834)+1,SEARCH(")",L834)-SEARCH("(",L834)-1),"$",""),",","")," ","")),0),0))</f>
        <v>0</v>
      </c>
    </row>
    <row r="835" spans="1:27">
      <c r="A835" s="76">
        <v>45917</v>
      </c>
      <c r="B835" s="77" t="s">
        <v>3062</v>
      </c>
      <c r="C835" s="77" t="s">
        <v>879</v>
      </c>
      <c r="D835" s="77" t="s">
        <v>737</v>
      </c>
      <c r="E835" s="77">
        <v>86326</v>
      </c>
      <c r="F835" s="77" t="s">
        <v>31</v>
      </c>
      <c r="G835" s="77" t="s">
        <v>3060</v>
      </c>
      <c r="H835" s="77">
        <v>1694440000</v>
      </c>
      <c r="I835" s="77" t="s">
        <v>46</v>
      </c>
      <c r="J835" s="77" t="s">
        <v>37</v>
      </c>
      <c r="K835" s="77" t="s">
        <v>37</v>
      </c>
      <c r="L835" s="77" t="s">
        <v>38</v>
      </c>
      <c r="M835" s="77" t="s">
        <v>37</v>
      </c>
      <c r="N835" s="77" t="s">
        <v>37</v>
      </c>
      <c r="O835" s="77" t="s">
        <v>38</v>
      </c>
      <c r="P835" s="77" t="s">
        <v>39</v>
      </c>
      <c r="Q835" s="76">
        <v>45961</v>
      </c>
      <c r="R835" s="77"/>
      <c r="S835" s="77"/>
      <c r="T835" s="77"/>
      <c r="U835" s="77"/>
      <c r="V835" s="78" t="s">
        <v>5432</v>
      </c>
      <c r="W835" s="79">
        <v>46081</v>
      </c>
      <c r="X835" s="78" t="s">
        <v>37</v>
      </c>
      <c r="Y835" s="78" t="s">
        <v>5442</v>
      </c>
      <c r="Z835" s="78" t="s">
        <v>5577</v>
      </c>
      <c r="AA835">
        <f>IF(COUNTIF('Call Queue'!$H$6:$H$20,V835)&gt;0,0,IF(AND(ISNUMBER(N835),N835&gt;0),10000000+N835,IF(ISNUMBER(N835*1),IF(N835*1&gt;0,10000000+N835*1,0),0))+IF(ISNUMBER(SEARCH("(",L835)),1000000+IFERROR(VALUE(SUBSTITUTE(SUBSTITUTE(SUBSTITUTE(MID(L835,SEARCH("(",L835)+1,SEARCH(")",L835)-SEARCH("(",L835)-1),"$",""),",","")," ","")),0),0))</f>
        <v>0</v>
      </c>
    </row>
    <row r="836" spans="1:27">
      <c r="A836" s="76">
        <v>45917</v>
      </c>
      <c r="B836" s="77" t="s">
        <v>3064</v>
      </c>
      <c r="C836" s="77" t="s">
        <v>284</v>
      </c>
      <c r="D836" s="77" t="s">
        <v>63</v>
      </c>
      <c r="E836" s="77">
        <v>85050</v>
      </c>
      <c r="F836" s="77" t="s">
        <v>3065</v>
      </c>
      <c r="G836" s="77" t="s">
        <v>3060</v>
      </c>
      <c r="H836" s="77">
        <v>5831790000</v>
      </c>
      <c r="I836" s="77" t="s">
        <v>36</v>
      </c>
      <c r="J836" s="77" t="s">
        <v>37</v>
      </c>
      <c r="K836" s="77" t="s">
        <v>37</v>
      </c>
      <c r="L836" s="77" t="s">
        <v>38</v>
      </c>
      <c r="M836" s="77" t="s">
        <v>37</v>
      </c>
      <c r="N836" s="77" t="s">
        <v>37</v>
      </c>
      <c r="O836" s="77" t="s">
        <v>38</v>
      </c>
      <c r="P836" s="77" t="s">
        <v>39</v>
      </c>
      <c r="Q836" s="76">
        <v>45961</v>
      </c>
      <c r="R836" s="77"/>
      <c r="S836" s="77"/>
      <c r="T836" s="77"/>
      <c r="U836" s="77"/>
      <c r="V836" s="78" t="s">
        <v>5432</v>
      </c>
      <c r="W836" s="79">
        <v>45997</v>
      </c>
      <c r="X836" s="78"/>
      <c r="Y836" s="78"/>
      <c r="Z836" s="78" t="s">
        <v>5592</v>
      </c>
      <c r="AA836">
        <f>IF(COUNTIF('Call Queue'!$H$6:$H$20,V836)&gt;0,0,IF(AND(ISNUMBER(N836),N836&gt;0),10000000+N836,IF(ISNUMBER(N836*1),IF(N836*1&gt;0,10000000+N836*1,0),0))+IF(ISNUMBER(SEARCH("(",L836)),1000000+IFERROR(VALUE(SUBSTITUTE(SUBSTITUTE(SUBSTITUTE(MID(L836,SEARCH("(",L836)+1,SEARCH(")",L836)-SEARCH("(",L836)-1),"$",""),",","")," ","")),0),0))</f>
        <v>0</v>
      </c>
    </row>
    <row r="837" spans="1:27">
      <c r="A837" s="76">
        <v>45917</v>
      </c>
      <c r="B837" s="77" t="s">
        <v>1776</v>
      </c>
      <c r="C837" s="77" t="s">
        <v>312</v>
      </c>
      <c r="D837" s="77" t="s">
        <v>63</v>
      </c>
      <c r="E837" s="77">
        <v>85023</v>
      </c>
      <c r="F837" s="77" t="s">
        <v>310</v>
      </c>
      <c r="G837" s="77" t="s">
        <v>3055</v>
      </c>
      <c r="H837" s="77">
        <v>4572687906</v>
      </c>
      <c r="I837" s="77" t="s">
        <v>250</v>
      </c>
      <c r="J837" s="77" t="s">
        <v>37</v>
      </c>
      <c r="K837" s="77" t="s">
        <v>37</v>
      </c>
      <c r="L837" s="77" t="s">
        <v>38</v>
      </c>
      <c r="M837" s="77" t="s">
        <v>37</v>
      </c>
      <c r="N837" s="77" t="s">
        <v>37</v>
      </c>
      <c r="O837" s="77" t="s">
        <v>38</v>
      </c>
      <c r="P837" s="77" t="s">
        <v>39</v>
      </c>
      <c r="Q837" s="76">
        <v>45961</v>
      </c>
      <c r="R837" s="77"/>
      <c r="S837" s="77"/>
      <c r="T837" s="77"/>
      <c r="U837" s="77"/>
      <c r="V837" s="78" t="s">
        <v>5432</v>
      </c>
      <c r="W837" s="79">
        <v>46081</v>
      </c>
      <c r="X837" s="78" t="s">
        <v>37</v>
      </c>
      <c r="Y837" s="78" t="s">
        <v>5442</v>
      </c>
      <c r="Z837" s="78" t="s">
        <v>5470</v>
      </c>
      <c r="AA837">
        <f>IF(COUNTIF('Call Queue'!$H$6:$H$20,V837)&gt;0,0,IF(AND(ISNUMBER(N837),N837&gt;0),10000000+N837,IF(ISNUMBER(N837*1),IF(N837*1&gt;0,10000000+N837*1,0),0))+IF(ISNUMBER(SEARCH("(",L837)),1000000+IFERROR(VALUE(SUBSTITUTE(SUBSTITUTE(SUBSTITUTE(MID(L837,SEARCH("(",L837)+1,SEARCH(")",L837)-SEARCH("(",L837)-1),"$",""),",","")," ","")),0),0))</f>
        <v>0</v>
      </c>
    </row>
    <row r="838" spans="1:27">
      <c r="A838" s="76">
        <v>45917</v>
      </c>
      <c r="B838" s="77" t="s">
        <v>3068</v>
      </c>
      <c r="C838" s="77" t="s">
        <v>3069</v>
      </c>
      <c r="D838" s="77" t="s">
        <v>370</v>
      </c>
      <c r="E838" s="77">
        <v>85225</v>
      </c>
      <c r="F838" s="77" t="s">
        <v>3070</v>
      </c>
      <c r="G838" s="77" t="s">
        <v>3071</v>
      </c>
      <c r="H838" s="77">
        <v>6651244518</v>
      </c>
      <c r="I838" s="77" t="s">
        <v>196</v>
      </c>
      <c r="J838" s="77" t="s">
        <v>37</v>
      </c>
      <c r="K838" s="77" t="s">
        <v>37</v>
      </c>
      <c r="L838" s="77" t="s">
        <v>3073</v>
      </c>
      <c r="M838" s="77" t="s">
        <v>37</v>
      </c>
      <c r="N838" s="77" t="s">
        <v>37</v>
      </c>
      <c r="O838" s="77" t="s">
        <v>38</v>
      </c>
      <c r="P838" s="77"/>
      <c r="Q838" s="76">
        <v>45961</v>
      </c>
      <c r="R838" s="77" t="s">
        <v>3074</v>
      </c>
      <c r="S838" s="77"/>
      <c r="T838" s="77"/>
      <c r="U838" s="77"/>
      <c r="V838" s="78" t="s">
        <v>5432</v>
      </c>
      <c r="W838" s="79">
        <v>46053</v>
      </c>
      <c r="X838" s="78" t="s">
        <v>38</v>
      </c>
      <c r="Y838" s="78"/>
      <c r="Z838" s="78" t="s">
        <v>5555</v>
      </c>
      <c r="AA838">
        <f>IF(COUNTIF('Call Queue'!$H$6:$H$20,V838)&gt;0,0,IF(AND(ISNUMBER(N838),N838&gt;0),10000000+N838,IF(ISNUMBER(N838*1),IF(N838*1&gt;0,10000000+N838*1,0),0))+IF(ISNUMBER(SEARCH("(",L838)),1000000+IFERROR(VALUE(SUBSTITUTE(SUBSTITUTE(SUBSTITUTE(MID(L838,SEARCH("(",L838)+1,SEARCH(")",L838)-SEARCH("(",L838)-1),"$",""),",","")," ","")),0),0))</f>
        <v>0</v>
      </c>
    </row>
    <row r="839" spans="1:27">
      <c r="A839" s="76">
        <v>45917</v>
      </c>
      <c r="B839" s="77" t="s">
        <v>3075</v>
      </c>
      <c r="C839" s="77" t="s">
        <v>1815</v>
      </c>
      <c r="D839" s="77" t="s">
        <v>125</v>
      </c>
      <c r="E839" s="77">
        <v>85257</v>
      </c>
      <c r="F839" s="77" t="s">
        <v>3076</v>
      </c>
      <c r="G839" s="77" t="s">
        <v>3071</v>
      </c>
      <c r="H839" s="77">
        <v>3547350000</v>
      </c>
      <c r="I839" s="77" t="s">
        <v>36</v>
      </c>
      <c r="J839" s="77" t="s">
        <v>37</v>
      </c>
      <c r="K839" s="77" t="s">
        <v>37</v>
      </c>
      <c r="L839" s="77" t="s">
        <v>38</v>
      </c>
      <c r="M839" s="77" t="s">
        <v>37</v>
      </c>
      <c r="N839" s="77" t="s">
        <v>37</v>
      </c>
      <c r="O839" s="77" t="s">
        <v>38</v>
      </c>
      <c r="P839" s="77" t="s">
        <v>39</v>
      </c>
      <c r="Q839" s="76">
        <v>45961</v>
      </c>
      <c r="R839" s="77"/>
      <c r="S839" s="77"/>
      <c r="T839" s="77"/>
      <c r="U839" s="77"/>
      <c r="V839" s="78" t="s">
        <v>5432</v>
      </c>
      <c r="W839" s="79">
        <v>45997</v>
      </c>
      <c r="X839" s="78"/>
      <c r="Y839" s="78"/>
      <c r="Z839" s="78" t="s">
        <v>5451</v>
      </c>
      <c r="AA839">
        <f>IF(COUNTIF('Call Queue'!$H$6:$H$20,V839)&gt;0,0,IF(AND(ISNUMBER(N839),N839&gt;0),10000000+N839,IF(ISNUMBER(N839*1),IF(N839*1&gt;0,10000000+N839*1,0),0))+IF(ISNUMBER(SEARCH("(",L839)),1000000+IFERROR(VALUE(SUBSTITUTE(SUBSTITUTE(SUBSTITUTE(MID(L839,SEARCH("(",L839)+1,SEARCH(")",L839)-SEARCH("(",L839)-1),"$",""),",","")," ","")),0),0))</f>
        <v>0</v>
      </c>
    </row>
    <row r="840" spans="1:27">
      <c r="A840" s="76">
        <v>45917</v>
      </c>
      <c r="B840" s="77" t="s">
        <v>3078</v>
      </c>
      <c r="C840" s="77" t="s">
        <v>2116</v>
      </c>
      <c r="D840" s="77" t="s">
        <v>24</v>
      </c>
      <c r="E840" s="77">
        <v>85310</v>
      </c>
      <c r="F840" s="77" t="s">
        <v>3079</v>
      </c>
      <c r="G840" s="77" t="s">
        <v>3071</v>
      </c>
      <c r="H840" s="77">
        <v>2613256425</v>
      </c>
      <c r="I840" s="77" t="s">
        <v>36</v>
      </c>
      <c r="J840" s="77" t="s">
        <v>37</v>
      </c>
      <c r="K840" s="77" t="s">
        <v>37</v>
      </c>
      <c r="L840" s="77" t="s">
        <v>38</v>
      </c>
      <c r="M840" s="77" t="s">
        <v>37</v>
      </c>
      <c r="N840" s="77" t="s">
        <v>37</v>
      </c>
      <c r="O840" s="77" t="s">
        <v>38</v>
      </c>
      <c r="P840" s="77" t="s">
        <v>39</v>
      </c>
      <c r="Q840" s="76">
        <v>45961</v>
      </c>
      <c r="R840" s="77"/>
      <c r="S840" s="77"/>
      <c r="T840" s="77"/>
      <c r="U840" s="77"/>
      <c r="V840" s="78"/>
      <c r="W840" s="79"/>
      <c r="X840" s="78"/>
      <c r="Y840" s="78"/>
      <c r="Z840" s="78"/>
      <c r="AA840">
        <f>IF(COUNTIF('Call Queue'!$H$6:$H$20,V840)&gt;0,0,IF(AND(ISNUMBER(N840),N840&gt;0),10000000+N840,IF(ISNUMBER(N840*1),IF(N840*1&gt;0,10000000+N840*1,0),0))+IF(ISNUMBER(SEARCH("(",L840)),1000000+IFERROR(VALUE(SUBSTITUTE(SUBSTITUTE(SUBSTITUTE(MID(L840,SEARCH("(",L840)+1,SEARCH(")",L840)-SEARCH("(",L840)-1),"$",""),",","")," ","")),0),0))</f>
        <v>0</v>
      </c>
    </row>
    <row r="841" spans="1:27">
      <c r="A841" s="76">
        <v>45918</v>
      </c>
      <c r="B841" s="77" t="s">
        <v>3081</v>
      </c>
      <c r="C841" s="77" t="s">
        <v>548</v>
      </c>
      <c r="D841" s="77" t="s">
        <v>169</v>
      </c>
      <c r="E841" s="77">
        <v>85338</v>
      </c>
      <c r="F841" s="77" t="s">
        <v>3082</v>
      </c>
      <c r="G841" s="77" t="s">
        <v>3083</v>
      </c>
      <c r="H841" s="77">
        <v>5669951000</v>
      </c>
      <c r="I841" s="77" t="s">
        <v>36</v>
      </c>
      <c r="J841" s="77" t="s">
        <v>37</v>
      </c>
      <c r="K841" s="77" t="s">
        <v>37</v>
      </c>
      <c r="L841" s="77" t="s">
        <v>38</v>
      </c>
      <c r="M841" s="77" t="s">
        <v>37</v>
      </c>
      <c r="N841" s="77" t="s">
        <v>37</v>
      </c>
      <c r="O841" s="77" t="s">
        <v>38</v>
      </c>
      <c r="P841" s="77" t="s">
        <v>39</v>
      </c>
      <c r="Q841" s="76">
        <v>45961</v>
      </c>
      <c r="R841" s="77"/>
      <c r="S841" s="77"/>
      <c r="T841" s="77"/>
      <c r="U841" s="77"/>
      <c r="V841" s="78" t="s">
        <v>5432</v>
      </c>
      <c r="W841" s="79">
        <v>46081</v>
      </c>
      <c r="X841" s="78" t="s">
        <v>37</v>
      </c>
      <c r="Y841" s="78" t="s">
        <v>5442</v>
      </c>
      <c r="Z841" s="78" t="s">
        <v>5577</v>
      </c>
      <c r="AA841">
        <f>IF(COUNTIF('Call Queue'!$H$6:$H$20,V841)&gt;0,0,IF(AND(ISNUMBER(N841),N841&gt;0),10000000+N841,IF(ISNUMBER(N841*1),IF(N841*1&gt;0,10000000+N841*1,0),0))+IF(ISNUMBER(SEARCH("(",L841)),1000000+IFERROR(VALUE(SUBSTITUTE(SUBSTITUTE(SUBSTITUTE(MID(L841,SEARCH("(",L841)+1,SEARCH(")",L841)-SEARCH("(",L841)-1),"$",""),",","")," ","")),0),0))</f>
        <v>0</v>
      </c>
    </row>
    <row r="842" spans="1:27">
      <c r="A842" s="76">
        <v>45918</v>
      </c>
      <c r="B842" s="77" t="s">
        <v>1765</v>
      </c>
      <c r="C842" s="77" t="s">
        <v>145</v>
      </c>
      <c r="D842" s="77" t="s">
        <v>63</v>
      </c>
      <c r="E842" s="77">
        <v>85032</v>
      </c>
      <c r="F842" s="77" t="s">
        <v>3088</v>
      </c>
      <c r="G842" s="77" t="s">
        <v>3083</v>
      </c>
      <c r="H842" s="77">
        <v>1806989657</v>
      </c>
      <c r="I842" s="77" t="s">
        <v>196</v>
      </c>
      <c r="J842" s="77" t="s">
        <v>37</v>
      </c>
      <c r="K842" s="77" t="s">
        <v>37</v>
      </c>
      <c r="L842" s="77" t="s">
        <v>38</v>
      </c>
      <c r="M842" s="77" t="s">
        <v>37</v>
      </c>
      <c r="N842" s="77" t="s">
        <v>37</v>
      </c>
      <c r="O842" s="77" t="s">
        <v>38</v>
      </c>
      <c r="P842" s="77" t="s">
        <v>39</v>
      </c>
      <c r="Q842" s="76">
        <v>45961</v>
      </c>
      <c r="R842" s="77"/>
      <c r="S842" s="77"/>
      <c r="T842" s="77"/>
      <c r="U842" s="77"/>
      <c r="V842" s="78" t="s">
        <v>5432</v>
      </c>
      <c r="W842" s="79">
        <v>45997</v>
      </c>
      <c r="X842" s="78"/>
      <c r="Y842" s="78"/>
      <c r="Z842" s="78" t="s">
        <v>5593</v>
      </c>
      <c r="AA842">
        <f>IF(COUNTIF('Call Queue'!$H$6:$H$20,V842)&gt;0,0,IF(AND(ISNUMBER(N842),N842&gt;0),10000000+N842,IF(ISNUMBER(N842*1),IF(N842*1&gt;0,10000000+N842*1,0),0))+IF(ISNUMBER(SEARCH("(",L842)),1000000+IFERROR(VALUE(SUBSTITUTE(SUBSTITUTE(SUBSTITUTE(MID(L842,SEARCH("(",L842)+1,SEARCH(")",L842)-SEARCH("(",L842)-1),"$",""),",","")," ","")),0),0))</f>
        <v>0</v>
      </c>
    </row>
    <row r="843" spans="1:27">
      <c r="A843" s="76">
        <v>45918</v>
      </c>
      <c r="B843" s="77" t="s">
        <v>3090</v>
      </c>
      <c r="C843" s="77" t="s">
        <v>208</v>
      </c>
      <c r="D843" s="77" t="s">
        <v>3091</v>
      </c>
      <c r="E843" s="77">
        <v>86032</v>
      </c>
      <c r="F843" s="77" t="s">
        <v>3092</v>
      </c>
      <c r="G843" s="77" t="s">
        <v>3083</v>
      </c>
      <c r="H843" s="77">
        <v>2491806502</v>
      </c>
      <c r="I843" s="77" t="s">
        <v>46</v>
      </c>
      <c r="J843" s="77" t="s">
        <v>37</v>
      </c>
      <c r="K843" s="77" t="s">
        <v>37</v>
      </c>
      <c r="L843" s="77" t="s">
        <v>38</v>
      </c>
      <c r="M843" s="77" t="s">
        <v>38</v>
      </c>
      <c r="N843" s="77">
        <v>361.43</v>
      </c>
      <c r="O843" s="77" t="s">
        <v>38</v>
      </c>
      <c r="P843" s="77" t="s">
        <v>39</v>
      </c>
      <c r="Q843" s="76">
        <v>45961</v>
      </c>
      <c r="R843" s="77" t="s">
        <v>3094</v>
      </c>
      <c r="S843" s="77"/>
      <c r="T843" s="77"/>
      <c r="U843" s="77"/>
      <c r="V843" s="78" t="s">
        <v>5432</v>
      </c>
      <c r="W843" s="79">
        <v>45997</v>
      </c>
      <c r="X843" s="78" t="s">
        <v>38</v>
      </c>
      <c r="Y843" s="78"/>
      <c r="Z843" s="78" t="s">
        <v>5594</v>
      </c>
      <c r="AA843">
        <f>IF(COUNTIF('Call Queue'!$H$6:$H$20,V843)&gt;0,0,IF(AND(ISNUMBER(N843),N843&gt;0),10000000+N843,IF(ISNUMBER(N843*1),IF(N843*1&gt;0,10000000+N843*1,0),0))+IF(ISNUMBER(SEARCH("(",L843)),1000000+IFERROR(VALUE(SUBSTITUTE(SUBSTITUTE(SUBSTITUTE(MID(L843,SEARCH("(",L843)+1,SEARCH(")",L843)-SEARCH("(",L843)-1),"$",""),",","")," ","")),0),0))</f>
        <v>0</v>
      </c>
    </row>
    <row r="844" spans="1:27">
      <c r="A844" s="76">
        <v>45918</v>
      </c>
      <c r="B844" s="77" t="s">
        <v>3097</v>
      </c>
      <c r="C844" s="77" t="s">
        <v>3098</v>
      </c>
      <c r="D844" s="77" t="s">
        <v>174</v>
      </c>
      <c r="E844" s="77">
        <v>85396</v>
      </c>
      <c r="F844" s="77" t="s">
        <v>3099</v>
      </c>
      <c r="G844" s="77" t="s">
        <v>3083</v>
      </c>
      <c r="H844" s="77" t="s">
        <v>3100</v>
      </c>
      <c r="I844" s="77" t="s">
        <v>36</v>
      </c>
      <c r="J844" s="77" t="s">
        <v>38</v>
      </c>
      <c r="K844" s="77" t="s">
        <v>37</v>
      </c>
      <c r="L844" s="77" t="s">
        <v>38</v>
      </c>
      <c r="M844" s="77" t="s">
        <v>38</v>
      </c>
      <c r="N844" s="77">
        <v>2904.39</v>
      </c>
      <c r="O844" s="77" t="s">
        <v>38</v>
      </c>
      <c r="P844" s="77"/>
      <c r="Q844" s="76">
        <v>45961</v>
      </c>
      <c r="R844" s="77" t="s">
        <v>3101</v>
      </c>
      <c r="S844" s="77"/>
      <c r="T844" s="77"/>
      <c r="U844" s="77"/>
      <c r="V844" s="78" t="s">
        <v>5432</v>
      </c>
      <c r="W844" s="79">
        <v>45997</v>
      </c>
      <c r="X844" s="78" t="s">
        <v>38</v>
      </c>
      <c r="Y844" s="78"/>
      <c r="Z844" s="78" t="s">
        <v>5593</v>
      </c>
      <c r="AA844">
        <f>IF(COUNTIF('Call Queue'!$H$6:$H$20,V844)&gt;0,0,IF(AND(ISNUMBER(N844),N844&gt;0),10000000+N844,IF(ISNUMBER(N844*1),IF(N844*1&gt;0,10000000+N844*1,0),0))+IF(ISNUMBER(SEARCH("(",L844)),1000000+IFERROR(VALUE(SUBSTITUTE(SUBSTITUTE(SUBSTITUTE(MID(L844,SEARCH("(",L844)+1,SEARCH(")",L844)-SEARCH("(",L844)-1),"$",""),",","")," ","")),0),0))</f>
        <v>0</v>
      </c>
    </row>
    <row r="845" spans="1:27">
      <c r="A845" s="76">
        <v>45918</v>
      </c>
      <c r="B845" s="77" t="s">
        <v>2571</v>
      </c>
      <c r="C845" s="77" t="s">
        <v>594</v>
      </c>
      <c r="D845" s="77" t="s">
        <v>63</v>
      </c>
      <c r="E845" s="77">
        <v>85014</v>
      </c>
      <c r="F845" s="77" t="s">
        <v>3102</v>
      </c>
      <c r="G845" s="77" t="s">
        <v>3083</v>
      </c>
      <c r="H845" s="77">
        <v>573685084</v>
      </c>
      <c r="I845" s="77" t="s">
        <v>36</v>
      </c>
      <c r="J845" s="77" t="s">
        <v>38</v>
      </c>
      <c r="K845" s="77"/>
      <c r="L845" s="77" t="s">
        <v>38</v>
      </c>
      <c r="M845" s="77"/>
      <c r="N845" s="77"/>
      <c r="O845" s="77" t="s">
        <v>38</v>
      </c>
      <c r="P845" s="77" t="s">
        <v>39</v>
      </c>
      <c r="Q845" s="76"/>
      <c r="R845" s="77"/>
      <c r="S845" s="77"/>
      <c r="T845" s="77"/>
      <c r="U845" s="77"/>
      <c r="V845" s="78" t="s">
        <v>5432</v>
      </c>
      <c r="W845" s="79">
        <v>46081</v>
      </c>
      <c r="X845" s="78" t="s">
        <v>38</v>
      </c>
      <c r="Y845" s="78"/>
      <c r="Z845" s="78" t="s">
        <v>5458</v>
      </c>
      <c r="AA845">
        <f>IF(COUNTIF('Call Queue'!$H$6:$H$20,V845)&gt;0,0,IF(AND(ISNUMBER(N845),N845&gt;0),10000000+N845,IF(ISNUMBER(N845*1),IF(N845*1&gt;0,10000000+N845*1,0),0))+IF(ISNUMBER(SEARCH("(",L845)),1000000+IFERROR(VALUE(SUBSTITUTE(SUBSTITUTE(SUBSTITUTE(MID(L845,SEARCH("(",L845)+1,SEARCH(")",L845)-SEARCH("(",L845)-1),"$",""),",","")," ","")),0),0))</f>
        <v>0</v>
      </c>
    </row>
    <row r="846" spans="1:27">
      <c r="A846" s="76">
        <v>45918</v>
      </c>
      <c r="B846" s="77" t="s">
        <v>3106</v>
      </c>
      <c r="C846" s="77" t="s">
        <v>382</v>
      </c>
      <c r="D846" s="77" t="s">
        <v>635</v>
      </c>
      <c r="E846" s="77">
        <v>85281</v>
      </c>
      <c r="F846" s="77" t="s">
        <v>3107</v>
      </c>
      <c r="G846" s="77" t="s">
        <v>3083</v>
      </c>
      <c r="H846" s="77">
        <v>7420351130</v>
      </c>
      <c r="I846" s="77" t="s">
        <v>36</v>
      </c>
      <c r="J846" s="77" t="s">
        <v>37</v>
      </c>
      <c r="K846" s="77" t="s">
        <v>37</v>
      </c>
      <c r="L846" s="77" t="s">
        <v>38</v>
      </c>
      <c r="M846" s="77" t="s">
        <v>37</v>
      </c>
      <c r="N846" s="77" t="s">
        <v>37</v>
      </c>
      <c r="O846" s="77" t="s">
        <v>38</v>
      </c>
      <c r="P846" s="77" t="s">
        <v>39</v>
      </c>
      <c r="Q846" s="76">
        <v>45961</v>
      </c>
      <c r="R846" s="77" t="s">
        <v>3109</v>
      </c>
      <c r="S846" s="77"/>
      <c r="T846" s="77"/>
      <c r="U846" s="77"/>
      <c r="V846" s="78"/>
      <c r="W846" s="79"/>
      <c r="X846" s="78"/>
      <c r="Y846" s="78"/>
      <c r="Z846" s="78"/>
      <c r="AA846">
        <f>IF(COUNTIF('Call Queue'!$H$6:$H$20,V846)&gt;0,0,IF(AND(ISNUMBER(N846),N846&gt;0),10000000+N846,IF(ISNUMBER(N846*1),IF(N846*1&gt;0,10000000+N846*1,0),0))+IF(ISNUMBER(SEARCH("(",L846)),1000000+IFERROR(VALUE(SUBSTITUTE(SUBSTITUTE(SUBSTITUTE(MID(L846,SEARCH("(",L846)+1,SEARCH(")",L846)-SEARCH("(",L846)-1),"$",""),",","")," ","")),0),0))</f>
        <v>0</v>
      </c>
    </row>
    <row r="847" spans="1:27">
      <c r="A847" s="76">
        <v>45918</v>
      </c>
      <c r="B847" s="77" t="s">
        <v>3110</v>
      </c>
      <c r="C847" s="77" t="s">
        <v>1647</v>
      </c>
      <c r="D847" s="77" t="s">
        <v>3111</v>
      </c>
      <c r="E847" s="77">
        <v>85901</v>
      </c>
      <c r="F847" s="77" t="s">
        <v>3112</v>
      </c>
      <c r="G847" s="77" t="s">
        <v>3083</v>
      </c>
      <c r="H847" s="77">
        <v>7765620000</v>
      </c>
      <c r="I847" s="77" t="s">
        <v>73</v>
      </c>
      <c r="J847" s="77" t="s">
        <v>37</v>
      </c>
      <c r="K847" s="77" t="s">
        <v>37</v>
      </c>
      <c r="L847" s="77" t="s">
        <v>38</v>
      </c>
      <c r="M847" s="77" t="s">
        <v>37</v>
      </c>
      <c r="N847" s="77" t="s">
        <v>37</v>
      </c>
      <c r="O847" s="77" t="s">
        <v>38</v>
      </c>
      <c r="P847" s="77" t="s">
        <v>39</v>
      </c>
      <c r="Q847" s="76">
        <v>45961</v>
      </c>
      <c r="R847" s="77"/>
      <c r="S847" s="77"/>
      <c r="T847" s="77"/>
      <c r="U847" s="77"/>
      <c r="V847" s="78" t="s">
        <v>5432</v>
      </c>
      <c r="W847" s="79">
        <v>46074</v>
      </c>
      <c r="X847" s="78" t="s">
        <v>37</v>
      </c>
      <c r="Y847" s="78" t="s">
        <v>5442</v>
      </c>
      <c r="Z847" s="78" t="s">
        <v>5577</v>
      </c>
      <c r="AA847">
        <f>IF(COUNTIF('Call Queue'!$H$6:$H$20,V847)&gt;0,0,IF(AND(ISNUMBER(N847),N847&gt;0),10000000+N847,IF(ISNUMBER(N847*1),IF(N847*1&gt;0,10000000+N847*1,0),0))+IF(ISNUMBER(SEARCH("(",L847)),1000000+IFERROR(VALUE(SUBSTITUTE(SUBSTITUTE(SUBSTITUTE(MID(L847,SEARCH("(",L847)+1,SEARCH(")",L847)-SEARCH("(",L847)-1),"$",""),",","")," ","")),0),0))</f>
        <v>0</v>
      </c>
    </row>
    <row r="848" spans="1:27">
      <c r="A848" s="76">
        <v>45918</v>
      </c>
      <c r="B848" s="77" t="s">
        <v>3114</v>
      </c>
      <c r="C848" s="77" t="s">
        <v>2643</v>
      </c>
      <c r="D848" s="77" t="s">
        <v>169</v>
      </c>
      <c r="E848" s="77">
        <v>85338</v>
      </c>
      <c r="F848" s="77" t="s">
        <v>3115</v>
      </c>
      <c r="G848" s="77" t="s">
        <v>3083</v>
      </c>
      <c r="H848" s="77">
        <v>9868436686</v>
      </c>
      <c r="I848" s="77" t="s">
        <v>126</v>
      </c>
      <c r="J848" s="77" t="s">
        <v>37</v>
      </c>
      <c r="K848" s="77" t="s">
        <v>37</v>
      </c>
      <c r="L848" s="77" t="s">
        <v>38</v>
      </c>
      <c r="M848" s="77" t="s">
        <v>37</v>
      </c>
      <c r="N848" s="77" t="s">
        <v>37</v>
      </c>
      <c r="O848" s="77" t="s">
        <v>38</v>
      </c>
      <c r="P848" s="77" t="s">
        <v>39</v>
      </c>
      <c r="Q848" s="76">
        <v>45961</v>
      </c>
      <c r="R848" s="77"/>
      <c r="S848" s="77"/>
      <c r="T848" s="77"/>
      <c r="U848" s="77"/>
      <c r="V848" s="78"/>
      <c r="W848" s="79"/>
      <c r="X848" s="78"/>
      <c r="Y848" s="78"/>
      <c r="Z848" s="78"/>
      <c r="AA848">
        <f>IF(COUNTIF('Call Queue'!$H$6:$H$20,V848)&gt;0,0,IF(AND(ISNUMBER(N848),N848&gt;0),10000000+N848,IF(ISNUMBER(N848*1),IF(N848*1&gt;0,10000000+N848*1,0),0))+IF(ISNUMBER(SEARCH("(",L848)),1000000+IFERROR(VALUE(SUBSTITUTE(SUBSTITUTE(SUBSTITUTE(MID(L848,SEARCH("(",L848)+1,SEARCH(")",L848)-SEARCH("(",L848)-1),"$",""),",","")," ","")),0),0))</f>
        <v>0</v>
      </c>
    </row>
    <row r="849" spans="1:27">
      <c r="A849" s="76">
        <v>45918</v>
      </c>
      <c r="B849" s="77" t="s">
        <v>3117</v>
      </c>
      <c r="C849" s="77" t="s">
        <v>3118</v>
      </c>
      <c r="D849" s="77" t="s">
        <v>240</v>
      </c>
      <c r="E849" s="77">
        <v>85340</v>
      </c>
      <c r="F849" s="77" t="s">
        <v>310</v>
      </c>
      <c r="G849" s="77" t="s">
        <v>3083</v>
      </c>
      <c r="H849" s="77">
        <v>6906826313</v>
      </c>
      <c r="I849" s="77" t="s">
        <v>196</v>
      </c>
      <c r="J849" s="77" t="s">
        <v>37</v>
      </c>
      <c r="K849" s="77" t="s">
        <v>37</v>
      </c>
      <c r="L849" s="77" t="s">
        <v>3120</v>
      </c>
      <c r="M849" s="77" t="s">
        <v>37</v>
      </c>
      <c r="N849" s="77" t="s">
        <v>37</v>
      </c>
      <c r="O849" s="77" t="s">
        <v>38</v>
      </c>
      <c r="P849" s="77" t="s">
        <v>39</v>
      </c>
      <c r="Q849" s="76">
        <v>45961</v>
      </c>
      <c r="R849" s="77"/>
      <c r="S849" s="77"/>
      <c r="T849" s="77"/>
      <c r="U849" s="77"/>
      <c r="V849" s="78" t="s">
        <v>5432</v>
      </c>
      <c r="W849" s="79">
        <v>46046</v>
      </c>
      <c r="X849" s="78" t="s">
        <v>37</v>
      </c>
      <c r="Y849" s="78" t="s">
        <v>5442</v>
      </c>
      <c r="Z849" s="78" t="s">
        <v>5595</v>
      </c>
      <c r="AA849">
        <f>IF(COUNTIF('Call Queue'!$H$6:$H$20,V849)&gt;0,0,IF(AND(ISNUMBER(N849),N849&gt;0),10000000+N849,IF(ISNUMBER(N849*1),IF(N849*1&gt;0,10000000+N849*1,0),0))+IF(ISNUMBER(SEARCH("(",L849)),1000000+IFERROR(VALUE(SUBSTITUTE(SUBSTITUTE(SUBSTITUTE(MID(L849,SEARCH("(",L849)+1,SEARCH(")",L849)-SEARCH("(",L849)-1),"$",""),",","")," ","")),0),0))</f>
        <v>0</v>
      </c>
    </row>
    <row r="850" spans="1:27">
      <c r="A850" s="76">
        <v>45918</v>
      </c>
      <c r="B850" s="77" t="s">
        <v>3123</v>
      </c>
      <c r="C850" s="77" t="s">
        <v>3124</v>
      </c>
      <c r="D850" s="77" t="s">
        <v>125</v>
      </c>
      <c r="E850" s="77">
        <v>85260</v>
      </c>
      <c r="F850" s="77" t="s">
        <v>3125</v>
      </c>
      <c r="G850" s="77" t="s">
        <v>3083</v>
      </c>
      <c r="H850" s="77">
        <v>6651001000</v>
      </c>
      <c r="I850" s="77" t="s">
        <v>126</v>
      </c>
      <c r="J850" s="77" t="s">
        <v>37</v>
      </c>
      <c r="K850" s="77" t="s">
        <v>37</v>
      </c>
      <c r="L850" s="77" t="s">
        <v>38</v>
      </c>
      <c r="M850" s="77" t="s">
        <v>37</v>
      </c>
      <c r="N850" s="77" t="s">
        <v>37</v>
      </c>
      <c r="O850" s="77" t="s">
        <v>38</v>
      </c>
      <c r="P850" s="77" t="s">
        <v>39</v>
      </c>
      <c r="Q850" s="76">
        <v>45960</v>
      </c>
      <c r="R850" s="77"/>
      <c r="S850" s="77"/>
      <c r="T850" s="77"/>
      <c r="U850" s="77"/>
      <c r="V850" s="78"/>
      <c r="W850" s="79"/>
      <c r="X850" s="78"/>
      <c r="Y850" s="78"/>
      <c r="Z850" s="78"/>
      <c r="AA850">
        <f>IF(COUNTIF('Call Queue'!$H$6:$H$20,V850)&gt;0,0,IF(AND(ISNUMBER(N850),N850&gt;0),10000000+N850,IF(ISNUMBER(N850*1),IF(N850*1&gt;0,10000000+N850*1,0),0))+IF(ISNUMBER(SEARCH("(",L850)),1000000+IFERROR(VALUE(SUBSTITUTE(SUBSTITUTE(SUBSTITUTE(MID(L850,SEARCH("(",L850)+1,SEARCH(")",L850)-SEARCH("(",L850)-1),"$",""),",","")," ","")),0),0))</f>
        <v>0</v>
      </c>
    </row>
    <row r="851" spans="1:27">
      <c r="A851" s="76">
        <v>45918</v>
      </c>
      <c r="B851" s="77" t="s">
        <v>3127</v>
      </c>
      <c r="C851" s="77" t="s">
        <v>3128</v>
      </c>
      <c r="D851" s="77" t="s">
        <v>169</v>
      </c>
      <c r="E851" s="77">
        <v>85338</v>
      </c>
      <c r="F851" s="77" t="s">
        <v>3129</v>
      </c>
      <c r="G851" s="77" t="s">
        <v>3083</v>
      </c>
      <c r="H851" s="77">
        <v>454456361</v>
      </c>
      <c r="I851" s="77" t="s">
        <v>243</v>
      </c>
      <c r="J851" s="77" t="s">
        <v>37</v>
      </c>
      <c r="K851" s="77" t="s">
        <v>37</v>
      </c>
      <c r="L851" s="77" t="s">
        <v>389</v>
      </c>
      <c r="M851" s="77" t="s">
        <v>37</v>
      </c>
      <c r="N851" s="77" t="s">
        <v>37</v>
      </c>
      <c r="O851" s="77" t="s">
        <v>38</v>
      </c>
      <c r="P851" s="77" t="s">
        <v>39</v>
      </c>
      <c r="Q851" s="76">
        <v>45960</v>
      </c>
      <c r="R851" s="77"/>
      <c r="S851" s="77"/>
      <c r="T851" s="77"/>
      <c r="U851" s="77"/>
      <c r="V851" s="78" t="s">
        <v>5432</v>
      </c>
      <c r="W851" s="79">
        <v>46074</v>
      </c>
      <c r="X851" s="78" t="s">
        <v>38</v>
      </c>
      <c r="Y851" s="78"/>
      <c r="Z851" s="78" t="s">
        <v>5458</v>
      </c>
      <c r="AA851">
        <f>IF(COUNTIF('Call Queue'!$H$6:$H$20,V851)&gt;0,0,IF(AND(ISNUMBER(N851),N851&gt;0),10000000+N851,IF(ISNUMBER(N851*1),IF(N851*1&gt;0,10000000+N851*1,0),0))+IF(ISNUMBER(SEARCH("(",L851)),1000000+IFERROR(VALUE(SUBSTITUTE(SUBSTITUTE(SUBSTITUTE(MID(L851,SEARCH("(",L851)+1,SEARCH(")",L851)-SEARCH("(",L851)-1),"$",""),",","")," ","")),0),0))</f>
        <v>0</v>
      </c>
    </row>
    <row r="852" spans="1:27">
      <c r="A852" s="76">
        <v>45918</v>
      </c>
      <c r="B852" s="77" t="s">
        <v>3131</v>
      </c>
      <c r="C852" s="77" t="s">
        <v>3132</v>
      </c>
      <c r="D852" s="77" t="s">
        <v>63</v>
      </c>
      <c r="E852" s="77">
        <v>85029</v>
      </c>
      <c r="F852" s="77" t="s">
        <v>3133</v>
      </c>
      <c r="G852" s="77" t="s">
        <v>3083</v>
      </c>
      <c r="H852" s="77">
        <v>4738111000</v>
      </c>
      <c r="I852" s="77" t="s">
        <v>46</v>
      </c>
      <c r="J852" s="77" t="s">
        <v>37</v>
      </c>
      <c r="K852" s="77" t="s">
        <v>37</v>
      </c>
      <c r="L852" s="77" t="s">
        <v>38</v>
      </c>
      <c r="M852" s="77" t="s">
        <v>37</v>
      </c>
      <c r="N852" s="77" t="s">
        <v>37</v>
      </c>
      <c r="O852" s="77" t="s">
        <v>38</v>
      </c>
      <c r="P852" s="77" t="s">
        <v>39</v>
      </c>
      <c r="Q852" s="76">
        <v>45960</v>
      </c>
      <c r="R852" s="77"/>
      <c r="S852" s="77"/>
      <c r="T852" s="77"/>
      <c r="U852" s="77"/>
      <c r="V852" s="78"/>
      <c r="W852" s="79"/>
      <c r="X852" s="78"/>
      <c r="Y852" s="78"/>
      <c r="Z852" s="78"/>
      <c r="AA852">
        <f>IF(COUNTIF('Call Queue'!$H$6:$H$20,V852)&gt;0,0,IF(AND(ISNUMBER(N852),N852&gt;0),10000000+N852,IF(ISNUMBER(N852*1),IF(N852*1&gt;0,10000000+N852*1,0),0))+IF(ISNUMBER(SEARCH("(",L852)),1000000+IFERROR(VALUE(SUBSTITUTE(SUBSTITUTE(SUBSTITUTE(MID(L852,SEARCH("(",L852)+1,SEARCH(")",L852)-SEARCH("(",L852)-1),"$",""),",","")," ","")),0),0))</f>
        <v>0</v>
      </c>
    </row>
    <row r="853" spans="1:27">
      <c r="A853" s="76">
        <v>45918</v>
      </c>
      <c r="B853" s="77" t="s">
        <v>3135</v>
      </c>
      <c r="C853" s="77" t="s">
        <v>548</v>
      </c>
      <c r="D853" s="77" t="s">
        <v>63</v>
      </c>
      <c r="E853" s="77">
        <v>85053</v>
      </c>
      <c r="F853" s="77" t="s">
        <v>3136</v>
      </c>
      <c r="G853" s="77" t="s">
        <v>3083</v>
      </c>
      <c r="H853" s="77">
        <v>440430000</v>
      </c>
      <c r="I853" s="77" t="s">
        <v>36</v>
      </c>
      <c r="J853" s="77" t="s">
        <v>37</v>
      </c>
      <c r="K853" s="77" t="s">
        <v>37</v>
      </c>
      <c r="L853" s="77" t="s">
        <v>38</v>
      </c>
      <c r="M853" s="77" t="s">
        <v>37</v>
      </c>
      <c r="N853" s="77" t="s">
        <v>37</v>
      </c>
      <c r="O853" s="77" t="s">
        <v>38</v>
      </c>
      <c r="P853" s="77" t="s">
        <v>39</v>
      </c>
      <c r="Q853" s="76">
        <v>45960</v>
      </c>
      <c r="R853" s="77"/>
      <c r="S853" s="77"/>
      <c r="T853" s="77"/>
      <c r="U853" s="77"/>
      <c r="V853" s="78" t="s">
        <v>5432</v>
      </c>
      <c r="W853" s="79">
        <v>46074</v>
      </c>
      <c r="X853" s="78" t="s">
        <v>38</v>
      </c>
      <c r="Y853" s="78"/>
      <c r="Z853" s="78" t="s">
        <v>5458</v>
      </c>
      <c r="AA853">
        <f>IF(COUNTIF('Call Queue'!$H$6:$H$20,V853)&gt;0,0,IF(AND(ISNUMBER(N853),N853&gt;0),10000000+N853,IF(ISNUMBER(N853*1),IF(N853*1&gt;0,10000000+N853*1,0),0))+IF(ISNUMBER(SEARCH("(",L853)),1000000+IFERROR(VALUE(SUBSTITUTE(SUBSTITUTE(SUBSTITUTE(MID(L853,SEARCH("(",L853)+1,SEARCH(")",L853)-SEARCH("(",L853)-1),"$",""),",","")," ","")),0),0))</f>
        <v>0</v>
      </c>
    </row>
    <row r="854" spans="1:27">
      <c r="A854" s="76">
        <v>45918</v>
      </c>
      <c r="B854" s="77" t="s">
        <v>3138</v>
      </c>
      <c r="C854" s="77" t="s">
        <v>481</v>
      </c>
      <c r="D854" s="77" t="s">
        <v>169</v>
      </c>
      <c r="E854" s="77">
        <v>85338</v>
      </c>
      <c r="F854" s="77" t="s">
        <v>3139</v>
      </c>
      <c r="G854" s="77" t="s">
        <v>3083</v>
      </c>
      <c r="H854" s="77">
        <v>454456361</v>
      </c>
      <c r="I854" s="77" t="s">
        <v>243</v>
      </c>
      <c r="J854" s="77" t="s">
        <v>37</v>
      </c>
      <c r="K854" s="77" t="s">
        <v>37</v>
      </c>
      <c r="L854" s="77" t="s">
        <v>389</v>
      </c>
      <c r="M854" s="77" t="s">
        <v>37</v>
      </c>
      <c r="N854" s="77" t="s">
        <v>37</v>
      </c>
      <c r="O854" s="77" t="s">
        <v>38</v>
      </c>
      <c r="P854" s="77" t="s">
        <v>39</v>
      </c>
      <c r="Q854" s="76">
        <v>45960</v>
      </c>
      <c r="R854" s="77"/>
      <c r="S854" s="77"/>
      <c r="T854" s="77"/>
      <c r="U854" s="77"/>
      <c r="V854" s="78"/>
      <c r="W854" s="79"/>
      <c r="X854" s="78"/>
      <c r="Y854" s="78"/>
      <c r="Z854" s="78"/>
      <c r="AA854">
        <f>IF(COUNTIF('Call Queue'!$H$6:$H$20,V854)&gt;0,0,IF(AND(ISNUMBER(N854),N854&gt;0),10000000+N854,IF(ISNUMBER(N854*1),IF(N854*1&gt;0,10000000+N854*1,0),0))+IF(ISNUMBER(SEARCH("(",L854)),1000000+IFERROR(VALUE(SUBSTITUTE(SUBSTITUTE(SUBSTITUTE(MID(L854,SEARCH("(",L854)+1,SEARCH(")",L854)-SEARCH("(",L854)-1),"$",""),",","")," ","")),0),0))</f>
        <v>0</v>
      </c>
    </row>
    <row r="855" spans="1:27">
      <c r="A855" s="76">
        <v>45918</v>
      </c>
      <c r="B855" s="77" t="s">
        <v>3140</v>
      </c>
      <c r="C855" s="77" t="s">
        <v>558</v>
      </c>
      <c r="D855" s="77" t="s">
        <v>63</v>
      </c>
      <c r="E855" s="77">
        <v>85013</v>
      </c>
      <c r="F855" s="77" t="s">
        <v>3141</v>
      </c>
      <c r="G855" s="77" t="s">
        <v>3083</v>
      </c>
      <c r="H855" s="77">
        <v>4573855715</v>
      </c>
      <c r="I855" s="77" t="s">
        <v>196</v>
      </c>
      <c r="J855" s="77" t="s">
        <v>37</v>
      </c>
      <c r="K855" s="77" t="s">
        <v>37</v>
      </c>
      <c r="L855" s="77" t="s">
        <v>3143</v>
      </c>
      <c r="M855" s="77" t="s">
        <v>38</v>
      </c>
      <c r="N855" s="77">
        <v>349.63</v>
      </c>
      <c r="O855" s="77" t="s">
        <v>38</v>
      </c>
      <c r="P855" s="77"/>
      <c r="Q855" s="76">
        <v>45960</v>
      </c>
      <c r="R855" s="77" t="s">
        <v>495</v>
      </c>
      <c r="S855" s="77"/>
      <c r="T855" s="77"/>
      <c r="U855" s="77"/>
      <c r="V855" s="78" t="s">
        <v>5432</v>
      </c>
      <c r="W855" s="79">
        <v>45997</v>
      </c>
      <c r="X855" s="78" t="s">
        <v>38</v>
      </c>
      <c r="Y855" s="78"/>
      <c r="Z855" s="78" t="s">
        <v>5596</v>
      </c>
      <c r="AA855">
        <f>IF(COUNTIF('Call Queue'!$H$6:$H$20,V855)&gt;0,0,IF(AND(ISNUMBER(N855),N855&gt;0),10000000+N855,IF(ISNUMBER(N855*1),IF(N855*1&gt;0,10000000+N855*1,0),0))+IF(ISNUMBER(SEARCH("(",L855)),1000000+IFERROR(VALUE(SUBSTITUTE(SUBSTITUTE(SUBSTITUTE(MID(L855,SEARCH("(",L855)+1,SEARCH(")",L855)-SEARCH("(",L855)-1),"$",""),",","")," ","")),0),0))</f>
        <v>0</v>
      </c>
    </row>
    <row r="856" spans="1:27">
      <c r="A856" s="76">
        <v>45918</v>
      </c>
      <c r="B856" s="77" t="s">
        <v>3144</v>
      </c>
      <c r="C856" s="77" t="s">
        <v>1198</v>
      </c>
      <c r="D856" s="77" t="s">
        <v>125</v>
      </c>
      <c r="E856" s="77">
        <v>85260</v>
      </c>
      <c r="F856" s="77" t="s">
        <v>3145</v>
      </c>
      <c r="G856" s="77" t="s">
        <v>3083</v>
      </c>
      <c r="H856" s="77" t="s">
        <v>3146</v>
      </c>
      <c r="I856" s="77" t="s">
        <v>73</v>
      </c>
      <c r="J856" s="77" t="s">
        <v>37</v>
      </c>
      <c r="K856" s="77" t="s">
        <v>37</v>
      </c>
      <c r="L856" s="77" t="s">
        <v>38</v>
      </c>
      <c r="M856" s="77" t="s">
        <v>37</v>
      </c>
      <c r="N856" s="77" t="s">
        <v>37</v>
      </c>
      <c r="O856" s="77" t="s">
        <v>38</v>
      </c>
      <c r="P856" s="77" t="s">
        <v>39</v>
      </c>
      <c r="Q856" s="76">
        <v>45960</v>
      </c>
      <c r="R856" s="77"/>
      <c r="S856" s="77"/>
      <c r="T856" s="77"/>
      <c r="U856" s="77"/>
      <c r="V856" s="78"/>
      <c r="W856" s="79"/>
      <c r="X856" s="78"/>
      <c r="Y856" s="78"/>
      <c r="Z856" s="78"/>
      <c r="AA856">
        <f>IF(COUNTIF('Call Queue'!$H$6:$H$20,V856)&gt;0,0,IF(AND(ISNUMBER(N856),N856&gt;0),10000000+N856,IF(ISNUMBER(N856*1),IF(N856*1&gt;0,10000000+N856*1,0),0))+IF(ISNUMBER(SEARCH("(",L856)),1000000+IFERROR(VALUE(SUBSTITUTE(SUBSTITUTE(SUBSTITUTE(MID(L856,SEARCH("(",L856)+1,SEARCH(")",L856)-SEARCH("(",L856)-1),"$",""),",","")," ","")),0),0))</f>
        <v>0</v>
      </c>
    </row>
    <row r="857" spans="1:27">
      <c r="A857" s="76">
        <v>45918</v>
      </c>
      <c r="B857" s="77" t="s">
        <v>3147</v>
      </c>
      <c r="C857" s="77" t="s">
        <v>3148</v>
      </c>
      <c r="D857" s="77" t="s">
        <v>174</v>
      </c>
      <c r="E857" s="77">
        <v>85396</v>
      </c>
      <c r="F857" s="77" t="s">
        <v>3149</v>
      </c>
      <c r="G857" s="77" t="s">
        <v>3083</v>
      </c>
      <c r="H857" s="77">
        <v>4171727671</v>
      </c>
      <c r="I857" s="77" t="s">
        <v>196</v>
      </c>
      <c r="J857" s="77" t="s">
        <v>37</v>
      </c>
      <c r="K857" s="77" t="s">
        <v>37</v>
      </c>
      <c r="L857" s="77" t="s">
        <v>3151</v>
      </c>
      <c r="M857" s="77" t="s">
        <v>37</v>
      </c>
      <c r="N857" s="77" t="s">
        <v>37</v>
      </c>
      <c r="O857" s="77" t="s">
        <v>38</v>
      </c>
      <c r="P857" s="77" t="s">
        <v>39</v>
      </c>
      <c r="Q857" s="76">
        <v>45960</v>
      </c>
      <c r="R857" s="77" t="s">
        <v>3152</v>
      </c>
      <c r="S857" s="77"/>
      <c r="T857" s="77"/>
      <c r="U857" s="77"/>
      <c r="V857" s="78" t="s">
        <v>5432</v>
      </c>
      <c r="W857" s="79">
        <v>46053</v>
      </c>
      <c r="X857" s="78" t="s">
        <v>38</v>
      </c>
      <c r="Y857" s="78"/>
      <c r="Z857" s="78" t="s">
        <v>5555</v>
      </c>
      <c r="AA857">
        <f>IF(COUNTIF('Call Queue'!$H$6:$H$20,V857)&gt;0,0,IF(AND(ISNUMBER(N857),N857&gt;0),10000000+N857,IF(ISNUMBER(N857*1),IF(N857*1&gt;0,10000000+N857*1,0),0))+IF(ISNUMBER(SEARCH("(",L857)),1000000+IFERROR(VALUE(SUBSTITUTE(SUBSTITUTE(SUBSTITUTE(MID(L857,SEARCH("(",L857)+1,SEARCH(")",L857)-SEARCH("(",L857)-1),"$",""),",","")," ","")),0),0))</f>
        <v>0</v>
      </c>
    </row>
    <row r="858" spans="1:27">
      <c r="A858" s="76">
        <v>45918</v>
      </c>
      <c r="B858" s="77" t="s">
        <v>3153</v>
      </c>
      <c r="C858" s="77" t="s">
        <v>252</v>
      </c>
      <c r="D858" s="77" t="s">
        <v>240</v>
      </c>
      <c r="E858" s="77">
        <v>85340</v>
      </c>
      <c r="F858" s="77" t="s">
        <v>3154</v>
      </c>
      <c r="G858" s="77" t="s">
        <v>3155</v>
      </c>
      <c r="H858" s="77">
        <v>636160358</v>
      </c>
      <c r="I858" s="77" t="s">
        <v>73</v>
      </c>
      <c r="J858" s="77" t="s">
        <v>37</v>
      </c>
      <c r="K858" s="77" t="s">
        <v>37</v>
      </c>
      <c r="L858" s="77" t="s">
        <v>1586</v>
      </c>
      <c r="M858" s="77" t="s">
        <v>37</v>
      </c>
      <c r="N858" s="77" t="s">
        <v>37</v>
      </c>
      <c r="O858" s="77" t="s">
        <v>38</v>
      </c>
      <c r="P858" s="77" t="s">
        <v>39</v>
      </c>
      <c r="Q858" s="76">
        <v>45960</v>
      </c>
      <c r="R858" s="77"/>
      <c r="S858" s="77"/>
      <c r="T858" s="77"/>
      <c r="U858" s="77"/>
      <c r="V858" s="78"/>
      <c r="W858" s="79"/>
      <c r="X858" s="78"/>
      <c r="Y858" s="78"/>
      <c r="Z858" s="78"/>
      <c r="AA858">
        <f>IF(COUNTIF('Call Queue'!$H$6:$H$20,V858)&gt;0,0,IF(AND(ISNUMBER(N858),N858&gt;0),10000000+N858,IF(ISNUMBER(N858*1),IF(N858*1&gt;0,10000000+N858*1,0),0))+IF(ISNUMBER(SEARCH("(",L858)),1000000+IFERROR(VALUE(SUBSTITUTE(SUBSTITUTE(SUBSTITUTE(MID(L858,SEARCH("(",L858)+1,SEARCH(")",L858)-SEARCH("(",L858)-1),"$",""),",","")," ","")),0),0))</f>
        <v>0</v>
      </c>
    </row>
    <row r="859" spans="1:27">
      <c r="A859" s="76">
        <v>45918</v>
      </c>
      <c r="B859" s="77" t="s">
        <v>1868</v>
      </c>
      <c r="C859" s="77" t="s">
        <v>1475</v>
      </c>
      <c r="D859" s="77" t="s">
        <v>30</v>
      </c>
      <c r="E859" s="77" t="s">
        <v>30</v>
      </c>
      <c r="F859" s="77" t="s">
        <v>3157</v>
      </c>
      <c r="G859" s="77" t="s">
        <v>3158</v>
      </c>
      <c r="H859" s="77" t="s">
        <v>209</v>
      </c>
      <c r="I859" s="77"/>
      <c r="J859" s="77"/>
      <c r="K859" s="77"/>
      <c r="L859" s="77"/>
      <c r="M859" s="77"/>
      <c r="N859" s="77"/>
      <c r="O859" s="77"/>
      <c r="P859" s="77"/>
      <c r="Q859" s="76"/>
      <c r="R859" s="77"/>
      <c r="S859" s="77"/>
      <c r="T859" s="77"/>
      <c r="U859" s="77"/>
      <c r="V859" s="78"/>
      <c r="W859" s="79"/>
      <c r="X859" s="78"/>
      <c r="Y859" s="78"/>
      <c r="Z859" s="78"/>
      <c r="AA859">
        <f>IF(COUNTIF('Call Queue'!$H$6:$H$20,V859)&gt;0,0,IF(AND(ISNUMBER(N859),N859&gt;0),10000000+N859,IF(ISNUMBER(N859*1),IF(N859*1&gt;0,10000000+N859*1,0),0))+IF(ISNUMBER(SEARCH("(",L859)),1000000+IFERROR(VALUE(SUBSTITUTE(SUBSTITUTE(SUBSTITUTE(MID(L859,SEARCH("(",L859)+1,SEARCH(")",L859)-SEARCH("(",L859)-1),"$",""),",","")," ","")),0),0))</f>
        <v>0</v>
      </c>
    </row>
    <row r="860" spans="1:27">
      <c r="A860" s="76">
        <v>45918</v>
      </c>
      <c r="B860" s="77" t="s">
        <v>2825</v>
      </c>
      <c r="C860" s="77" t="s">
        <v>230</v>
      </c>
      <c r="D860" s="77" t="s">
        <v>125</v>
      </c>
      <c r="E860" s="77">
        <v>85262</v>
      </c>
      <c r="F860" s="77" t="s">
        <v>3159</v>
      </c>
      <c r="G860" s="77" t="s">
        <v>3155</v>
      </c>
      <c r="H860" s="77">
        <v>2829931000</v>
      </c>
      <c r="I860" s="77" t="s">
        <v>1488</v>
      </c>
      <c r="J860" s="77" t="s">
        <v>37</v>
      </c>
      <c r="K860" s="77" t="s">
        <v>37</v>
      </c>
      <c r="L860" s="77" t="s">
        <v>389</v>
      </c>
      <c r="M860" s="77" t="s">
        <v>37</v>
      </c>
      <c r="N860" s="77" t="s">
        <v>37</v>
      </c>
      <c r="O860" s="77" t="s">
        <v>38</v>
      </c>
      <c r="P860" s="77" t="s">
        <v>39</v>
      </c>
      <c r="Q860" s="76">
        <v>45960</v>
      </c>
      <c r="R860" s="77"/>
      <c r="S860" s="77"/>
      <c r="T860" s="77"/>
      <c r="U860" s="77"/>
      <c r="V860" s="78" t="s">
        <v>5432</v>
      </c>
      <c r="W860" s="79">
        <v>46074</v>
      </c>
      <c r="X860" s="78" t="s">
        <v>37</v>
      </c>
      <c r="Y860" s="78" t="s">
        <v>5442</v>
      </c>
      <c r="Z860" s="78"/>
      <c r="AA860">
        <f>IF(COUNTIF('Call Queue'!$H$6:$H$20,V860)&gt;0,0,IF(AND(ISNUMBER(N860),N860&gt;0),10000000+N860,IF(ISNUMBER(N860*1),IF(N860*1&gt;0,10000000+N860*1,0),0))+IF(ISNUMBER(SEARCH("(",L860)),1000000+IFERROR(VALUE(SUBSTITUTE(SUBSTITUTE(SUBSTITUTE(MID(L860,SEARCH("(",L860)+1,SEARCH(")",L860)-SEARCH("(",L860)-1),"$",""),",","")," ","")),0),0))</f>
        <v>0</v>
      </c>
    </row>
    <row r="861" spans="1:27">
      <c r="A861" s="76">
        <v>45919</v>
      </c>
      <c r="B861" s="77" t="s">
        <v>3162</v>
      </c>
      <c r="C861" s="77" t="s">
        <v>1444</v>
      </c>
      <c r="D861" s="77" t="s">
        <v>63</v>
      </c>
      <c r="E861" s="77">
        <v>85032</v>
      </c>
      <c r="F861" s="77" t="s">
        <v>3163</v>
      </c>
      <c r="G861" s="77" t="s">
        <v>3155</v>
      </c>
      <c r="H861" s="77">
        <v>6014831000</v>
      </c>
      <c r="I861" s="77" t="s">
        <v>243</v>
      </c>
      <c r="J861" s="77" t="s">
        <v>37</v>
      </c>
      <c r="K861" s="77" t="s">
        <v>37</v>
      </c>
      <c r="L861" s="77" t="s">
        <v>389</v>
      </c>
      <c r="M861" s="77" t="s">
        <v>38</v>
      </c>
      <c r="N861" s="77">
        <v>719.22</v>
      </c>
      <c r="O861" s="77" t="s">
        <v>38</v>
      </c>
      <c r="P861" s="77"/>
      <c r="Q861" s="76">
        <v>45960</v>
      </c>
      <c r="R861" s="77" t="s">
        <v>3165</v>
      </c>
      <c r="S861" s="77"/>
      <c r="T861" s="77"/>
      <c r="U861" s="77"/>
      <c r="V861" s="78" t="s">
        <v>5432</v>
      </c>
      <c r="W861" s="79">
        <v>46060</v>
      </c>
      <c r="X861" s="78" t="s">
        <v>38</v>
      </c>
      <c r="Y861" s="78"/>
      <c r="Z861" s="78" t="s">
        <v>5597</v>
      </c>
      <c r="AA861">
        <f>IF(COUNTIF('Call Queue'!$H$6:$H$20,V861)&gt;0,0,IF(AND(ISNUMBER(N861),N861&gt;0),10000000+N861,IF(ISNUMBER(N861*1),IF(N861*1&gt;0,10000000+N861*1,0),0))+IF(ISNUMBER(SEARCH("(",L861)),1000000+IFERROR(VALUE(SUBSTITUTE(SUBSTITUTE(SUBSTITUTE(MID(L861,SEARCH("(",L861)+1,SEARCH(")",L861)-SEARCH("(",L861)-1),"$",""),",","")," ","")),0),0))</f>
        <v>0</v>
      </c>
    </row>
    <row r="862" spans="1:27">
      <c r="A862" s="76">
        <v>45919</v>
      </c>
      <c r="B862" s="77" t="s">
        <v>3173</v>
      </c>
      <c r="C862" s="77" t="s">
        <v>3075</v>
      </c>
      <c r="D862" s="77" t="s">
        <v>428</v>
      </c>
      <c r="E862" s="77">
        <v>85335</v>
      </c>
      <c r="F862" s="77" t="s">
        <v>3174</v>
      </c>
      <c r="G862" s="77" t="s">
        <v>3155</v>
      </c>
      <c r="H862" s="77">
        <v>9300806707</v>
      </c>
      <c r="I862" s="77" t="s">
        <v>46</v>
      </c>
      <c r="J862" s="77" t="s">
        <v>37</v>
      </c>
      <c r="K862" s="77" t="s">
        <v>37</v>
      </c>
      <c r="L862" s="77" t="s">
        <v>38</v>
      </c>
      <c r="M862" s="77" t="s">
        <v>37</v>
      </c>
      <c r="N862" s="77" t="s">
        <v>37</v>
      </c>
      <c r="O862" s="77" t="s">
        <v>38</v>
      </c>
      <c r="P862" s="77" t="s">
        <v>39</v>
      </c>
      <c r="Q862" s="76">
        <v>45960</v>
      </c>
      <c r="R862" s="77"/>
      <c r="S862" s="77"/>
      <c r="T862" s="77"/>
      <c r="U862" s="77"/>
      <c r="V862" s="78" t="s">
        <v>5432</v>
      </c>
      <c r="W862" s="79">
        <v>46074</v>
      </c>
      <c r="X862" s="78" t="s">
        <v>38</v>
      </c>
      <c r="Y862" s="78"/>
      <c r="Z862" s="78" t="s">
        <v>5458</v>
      </c>
      <c r="AA862">
        <f>IF(COUNTIF('Call Queue'!$H$6:$H$20,V862)&gt;0,0,IF(AND(ISNUMBER(N862),N862&gt;0),10000000+N862,IF(ISNUMBER(N862*1),IF(N862*1&gt;0,10000000+N862*1,0),0))+IF(ISNUMBER(SEARCH("(",L862)),1000000+IFERROR(VALUE(SUBSTITUTE(SUBSTITUTE(SUBSTITUTE(MID(L862,SEARCH("(",L862)+1,SEARCH(")",L862)-SEARCH("(",L862)-1),"$",""),",","")," ","")),0),0))</f>
        <v>0</v>
      </c>
    </row>
    <row r="863" spans="1:27">
      <c r="A863" s="76">
        <v>45919</v>
      </c>
      <c r="B863" s="77" t="s">
        <v>3176</v>
      </c>
      <c r="C863" s="77" t="s">
        <v>1475</v>
      </c>
      <c r="D863" s="77" t="s">
        <v>24</v>
      </c>
      <c r="E863" s="77">
        <v>85310</v>
      </c>
      <c r="F863" s="77" t="s">
        <v>3177</v>
      </c>
      <c r="G863" s="77" t="s">
        <v>3155</v>
      </c>
      <c r="H863" s="77">
        <v>3389991021</v>
      </c>
      <c r="I863" s="77" t="s">
        <v>46</v>
      </c>
      <c r="J863" s="77" t="s">
        <v>37</v>
      </c>
      <c r="K863" s="77" t="s">
        <v>37</v>
      </c>
      <c r="L863" s="77" t="s">
        <v>3179</v>
      </c>
      <c r="M863" s="77" t="s">
        <v>37</v>
      </c>
      <c r="N863" s="77" t="s">
        <v>37</v>
      </c>
      <c r="O863" s="77" t="s">
        <v>38</v>
      </c>
      <c r="P863" s="77">
        <v>45940</v>
      </c>
      <c r="Q863" s="76">
        <v>45960</v>
      </c>
      <c r="R863" s="77" t="s">
        <v>3180</v>
      </c>
      <c r="S863" s="77"/>
      <c r="T863" s="77"/>
      <c r="U863" s="77"/>
      <c r="V863" s="78" t="s">
        <v>5432</v>
      </c>
      <c r="W863" s="79">
        <v>45997</v>
      </c>
      <c r="X863" s="78" t="s">
        <v>38</v>
      </c>
      <c r="Y863" s="78"/>
      <c r="Z863" s="78" t="s">
        <v>5598</v>
      </c>
      <c r="AA863">
        <f>IF(COUNTIF('Call Queue'!$H$6:$H$20,V863)&gt;0,0,IF(AND(ISNUMBER(N863),N863&gt;0),10000000+N863,IF(ISNUMBER(N863*1),IF(N863*1&gt;0,10000000+N863*1,0),0))+IF(ISNUMBER(SEARCH("(",L863)),1000000+IFERROR(VALUE(SUBSTITUTE(SUBSTITUTE(SUBSTITUTE(MID(L863,SEARCH("(",L863)+1,SEARCH(")",L863)-SEARCH("(",L863)-1),"$",""),",","")," ","")),0),0))</f>
        <v>0</v>
      </c>
    </row>
    <row r="864" spans="1:27">
      <c r="A864" s="76">
        <v>45919</v>
      </c>
      <c r="B864" s="77" t="s">
        <v>3181</v>
      </c>
      <c r="C864" s="77" t="s">
        <v>3182</v>
      </c>
      <c r="D864" s="77" t="s">
        <v>3183</v>
      </c>
      <c r="E864" s="77">
        <v>85306</v>
      </c>
      <c r="F864" s="77" t="s">
        <v>3184</v>
      </c>
      <c r="G864" s="77" t="s">
        <v>3155</v>
      </c>
      <c r="H864" s="77">
        <v>2219505228</v>
      </c>
      <c r="I864" s="77" t="s">
        <v>250</v>
      </c>
      <c r="J864" s="77" t="s">
        <v>37</v>
      </c>
      <c r="K864" s="77" t="s">
        <v>37</v>
      </c>
      <c r="L864" s="77" t="s">
        <v>38</v>
      </c>
      <c r="M864" s="77" t="s">
        <v>37</v>
      </c>
      <c r="N864" s="77" t="s">
        <v>37</v>
      </c>
      <c r="O864" s="77" t="s">
        <v>38</v>
      </c>
      <c r="P864" s="77" t="s">
        <v>39</v>
      </c>
      <c r="Q864" s="76">
        <v>45960</v>
      </c>
      <c r="R864" s="77"/>
      <c r="S864" s="77"/>
      <c r="T864" s="77"/>
      <c r="U864" s="77"/>
      <c r="V864" s="78" t="s">
        <v>5432</v>
      </c>
      <c r="W864" s="79">
        <v>46074</v>
      </c>
      <c r="X864" s="78" t="s">
        <v>38</v>
      </c>
      <c r="Y864" s="78"/>
      <c r="Z864" s="78" t="s">
        <v>5458</v>
      </c>
      <c r="AA864">
        <f>IF(COUNTIF('Call Queue'!$H$6:$H$20,V864)&gt;0,0,IF(AND(ISNUMBER(N864),N864&gt;0),10000000+N864,IF(ISNUMBER(N864*1),IF(N864*1&gt;0,10000000+N864*1,0),0))+IF(ISNUMBER(SEARCH("(",L864)),1000000+IFERROR(VALUE(SUBSTITUTE(SUBSTITUTE(SUBSTITUTE(MID(L864,SEARCH("(",L864)+1,SEARCH(")",L864)-SEARCH("(",L864)-1),"$",""),",","")," ","")),0),0))</f>
        <v>0</v>
      </c>
    </row>
    <row r="865" spans="1:27">
      <c r="A865" s="76">
        <v>45919</v>
      </c>
      <c r="B865" s="77" t="s">
        <v>3186</v>
      </c>
      <c r="C865" s="77" t="s">
        <v>3187</v>
      </c>
      <c r="D865" s="77" t="s">
        <v>202</v>
      </c>
      <c r="E865" s="77">
        <v>85345</v>
      </c>
      <c r="F865" s="77" t="s">
        <v>3188</v>
      </c>
      <c r="G865" s="77" t="s">
        <v>3189</v>
      </c>
      <c r="H865" s="77">
        <v>4591969515</v>
      </c>
      <c r="I865" s="77" t="s">
        <v>126</v>
      </c>
      <c r="J865" s="77" t="s">
        <v>37</v>
      </c>
      <c r="K865" s="77" t="s">
        <v>37</v>
      </c>
      <c r="L865" s="77" t="s">
        <v>38</v>
      </c>
      <c r="M865" s="77" t="s">
        <v>37</v>
      </c>
      <c r="N865" s="77" t="s">
        <v>37</v>
      </c>
      <c r="O865" s="77" t="s">
        <v>38</v>
      </c>
      <c r="P865" s="77" t="s">
        <v>39</v>
      </c>
      <c r="Q865" s="76">
        <v>45960</v>
      </c>
      <c r="R865" s="77"/>
      <c r="S865" s="77"/>
      <c r="T865" s="77"/>
      <c r="U865" s="77"/>
      <c r="V865" s="78"/>
      <c r="W865" s="79"/>
      <c r="X865" s="78"/>
      <c r="Y865" s="78"/>
      <c r="Z865" s="78"/>
      <c r="AA865">
        <f>IF(COUNTIF('Call Queue'!$H$6:$H$20,V865)&gt;0,0,IF(AND(ISNUMBER(N865),N865&gt;0),10000000+N865,IF(ISNUMBER(N865*1),IF(N865*1&gt;0,10000000+N865*1,0),0))+IF(ISNUMBER(SEARCH("(",L865)),1000000+IFERROR(VALUE(SUBSTITUTE(SUBSTITUTE(SUBSTITUTE(MID(L865,SEARCH("(",L865)+1,SEARCH(")",L865)-SEARCH("(",L865)-1),"$",""),",","")," ","")),0),0))</f>
        <v>0</v>
      </c>
    </row>
    <row r="866" spans="1:27">
      <c r="A866" s="76">
        <v>45919</v>
      </c>
      <c r="B866" s="77" t="s">
        <v>3191</v>
      </c>
      <c r="C866" s="77" t="s">
        <v>2454</v>
      </c>
      <c r="D866" s="77" t="s">
        <v>3192</v>
      </c>
      <c r="E866" s="77">
        <v>85253</v>
      </c>
      <c r="F866" s="77" t="s">
        <v>3193</v>
      </c>
      <c r="G866" s="77" t="s">
        <v>3189</v>
      </c>
      <c r="H866" s="77">
        <v>9097961505</v>
      </c>
      <c r="I866" s="77" t="s">
        <v>36</v>
      </c>
      <c r="J866" s="77" t="s">
        <v>37</v>
      </c>
      <c r="K866" s="77" t="s">
        <v>37</v>
      </c>
      <c r="L866" s="77" t="s">
        <v>38</v>
      </c>
      <c r="M866" s="77" t="s">
        <v>37</v>
      </c>
      <c r="N866" s="77" t="s">
        <v>37</v>
      </c>
      <c r="O866" s="77" t="s">
        <v>38</v>
      </c>
      <c r="P866" s="77" t="s">
        <v>39</v>
      </c>
      <c r="Q866" s="76">
        <v>45960</v>
      </c>
      <c r="R866" s="77"/>
      <c r="S866" s="77"/>
      <c r="T866" s="77"/>
      <c r="U866" s="77"/>
      <c r="V866" s="78" t="s">
        <v>5432</v>
      </c>
      <c r="W866" s="79">
        <v>46074</v>
      </c>
      <c r="X866" s="78" t="s">
        <v>38</v>
      </c>
      <c r="Y866" s="78"/>
      <c r="Z866" s="78" t="s">
        <v>5458</v>
      </c>
      <c r="AA866">
        <f>IF(COUNTIF('Call Queue'!$H$6:$H$20,V866)&gt;0,0,IF(AND(ISNUMBER(N866),N866&gt;0),10000000+N866,IF(ISNUMBER(N866*1),IF(N866*1&gt;0,10000000+N866*1,0),0))+IF(ISNUMBER(SEARCH("(",L866)),1000000+IFERROR(VALUE(SUBSTITUTE(SUBSTITUTE(SUBSTITUTE(MID(L866,SEARCH("(",L866)+1,SEARCH(")",L866)-SEARCH("(",L866)-1),"$",""),",","")," ","")),0),0))</f>
        <v>0</v>
      </c>
    </row>
    <row r="867" spans="1:27">
      <c r="A867" s="76">
        <v>45919</v>
      </c>
      <c r="B867" s="77" t="s">
        <v>3195</v>
      </c>
      <c r="C867" s="77" t="s">
        <v>312</v>
      </c>
      <c r="D867" s="77" t="s">
        <v>448</v>
      </c>
      <c r="E867" s="77">
        <v>85361</v>
      </c>
      <c r="F867" s="77" t="s">
        <v>3196</v>
      </c>
      <c r="G867" s="77" t="s">
        <v>3189</v>
      </c>
      <c r="H867" s="77">
        <v>3630760766</v>
      </c>
      <c r="I867" s="77" t="s">
        <v>73</v>
      </c>
      <c r="J867" s="77" t="s">
        <v>37</v>
      </c>
      <c r="K867" s="77" t="s">
        <v>37</v>
      </c>
      <c r="L867" s="77" t="s">
        <v>38</v>
      </c>
      <c r="M867" s="77" t="s">
        <v>37</v>
      </c>
      <c r="N867" s="77" t="s">
        <v>37</v>
      </c>
      <c r="O867" s="77" t="s">
        <v>38</v>
      </c>
      <c r="P867" s="77" t="s">
        <v>39</v>
      </c>
      <c r="Q867" s="76">
        <v>45960</v>
      </c>
      <c r="R867" s="77"/>
      <c r="S867" s="77"/>
      <c r="T867" s="77"/>
      <c r="U867" s="77"/>
      <c r="V867" s="78"/>
      <c r="W867" s="79"/>
      <c r="X867" s="78"/>
      <c r="Y867" s="78"/>
      <c r="Z867" s="78"/>
      <c r="AA867">
        <f>IF(COUNTIF('Call Queue'!$H$6:$H$20,V867)&gt;0,0,IF(AND(ISNUMBER(N867),N867&gt;0),10000000+N867,IF(ISNUMBER(N867*1),IF(N867*1&gt;0,10000000+N867*1,0),0))+IF(ISNUMBER(SEARCH("(",L867)),1000000+IFERROR(VALUE(SUBSTITUTE(SUBSTITUTE(SUBSTITUTE(MID(L867,SEARCH("(",L867)+1,SEARCH(")",L867)-SEARCH("(",L867)-1),"$",""),",","")," ","")),0),0))</f>
        <v>0</v>
      </c>
    </row>
    <row r="868" spans="1:27">
      <c r="A868" s="76">
        <v>45919</v>
      </c>
      <c r="B868" s="77" t="s">
        <v>930</v>
      </c>
      <c r="C868" s="77" t="s">
        <v>3200</v>
      </c>
      <c r="D868" s="77" t="s">
        <v>112</v>
      </c>
      <c r="E868" s="77">
        <v>85379</v>
      </c>
      <c r="F868" s="77" t="s">
        <v>3201</v>
      </c>
      <c r="G868" s="77" t="s">
        <v>3189</v>
      </c>
      <c r="H868" s="77">
        <v>9308190000</v>
      </c>
      <c r="I868" s="77" t="s">
        <v>418</v>
      </c>
      <c r="J868" s="77" t="s">
        <v>37</v>
      </c>
      <c r="K868" s="77" t="s">
        <v>37</v>
      </c>
      <c r="L868" s="77" t="s">
        <v>389</v>
      </c>
      <c r="M868" s="77" t="s">
        <v>37</v>
      </c>
      <c r="N868" s="77" t="s">
        <v>37</v>
      </c>
      <c r="O868" s="77" t="s">
        <v>38</v>
      </c>
      <c r="P868" s="77" t="s">
        <v>39</v>
      </c>
      <c r="Q868" s="76">
        <v>45960</v>
      </c>
      <c r="R868" s="77" t="s">
        <v>2565</v>
      </c>
      <c r="S868" s="77"/>
      <c r="T868" s="77"/>
      <c r="U868" s="77"/>
      <c r="V868" s="78" t="s">
        <v>5432</v>
      </c>
      <c r="W868" s="79">
        <v>46074</v>
      </c>
      <c r="X868" s="78" t="s">
        <v>38</v>
      </c>
      <c r="Y868" s="78"/>
      <c r="Z868" s="78" t="s">
        <v>5458</v>
      </c>
      <c r="AA868">
        <f>IF(COUNTIF('Call Queue'!$H$6:$H$20,V868)&gt;0,0,IF(AND(ISNUMBER(N868),N868&gt;0),10000000+N868,IF(ISNUMBER(N868*1),IF(N868*1&gt;0,10000000+N868*1,0),0))+IF(ISNUMBER(SEARCH("(",L868)),1000000+IFERROR(VALUE(SUBSTITUTE(SUBSTITUTE(SUBSTITUTE(MID(L868,SEARCH("(",L868)+1,SEARCH(")",L868)-SEARCH("(",L868)-1),"$",""),",","")," ","")),0),0))</f>
        <v>0</v>
      </c>
    </row>
    <row r="869" spans="1:27">
      <c r="A869" s="76">
        <v>45919</v>
      </c>
      <c r="B869" s="77" t="s">
        <v>3207</v>
      </c>
      <c r="C869" s="77" t="s">
        <v>3208</v>
      </c>
      <c r="D869" s="77" t="s">
        <v>63</v>
      </c>
      <c r="E869" s="77">
        <v>85027</v>
      </c>
      <c r="F869" s="77" t="s">
        <v>3209</v>
      </c>
      <c r="G869" s="77" t="s">
        <v>3189</v>
      </c>
      <c r="H869" s="77">
        <v>3083620000</v>
      </c>
      <c r="I869" s="77" t="s">
        <v>418</v>
      </c>
      <c r="J869" s="77" t="s">
        <v>37</v>
      </c>
      <c r="K869" s="77" t="s">
        <v>37</v>
      </c>
      <c r="L869" s="77" t="s">
        <v>389</v>
      </c>
      <c r="M869" s="77" t="s">
        <v>37</v>
      </c>
      <c r="N869" s="77" t="s">
        <v>37</v>
      </c>
      <c r="O869" s="77" t="s">
        <v>38</v>
      </c>
      <c r="P869" s="77" t="s">
        <v>39</v>
      </c>
      <c r="Q869" s="76">
        <v>45960</v>
      </c>
      <c r="R869" s="77"/>
      <c r="S869" s="77"/>
      <c r="T869" s="77"/>
      <c r="U869" s="77"/>
      <c r="V869" s="78"/>
      <c r="W869" s="79"/>
      <c r="X869" s="78"/>
      <c r="Y869" s="78"/>
      <c r="Z869" s="78"/>
      <c r="AA869">
        <f>IF(COUNTIF('Call Queue'!$H$6:$H$20,V869)&gt;0,0,IF(AND(ISNUMBER(N869),N869&gt;0),10000000+N869,IF(ISNUMBER(N869*1),IF(N869*1&gt;0,10000000+N869*1,0),0))+IF(ISNUMBER(SEARCH("(",L869)),1000000+IFERROR(VALUE(SUBSTITUTE(SUBSTITUTE(SUBSTITUTE(MID(L869,SEARCH("(",L869)+1,SEARCH(")",L869)-SEARCH("(",L869)-1),"$",""),",","")," ","")),0),0))</f>
        <v>0</v>
      </c>
    </row>
    <row r="870" spans="1:27">
      <c r="A870" s="76">
        <v>45919</v>
      </c>
      <c r="B870" s="77" t="s">
        <v>3211</v>
      </c>
      <c r="C870" s="77" t="s">
        <v>3212</v>
      </c>
      <c r="D870" s="77" t="s">
        <v>202</v>
      </c>
      <c r="E870" s="77">
        <v>85382</v>
      </c>
      <c r="F870" s="77" t="s">
        <v>3213</v>
      </c>
      <c r="G870" s="77" t="s">
        <v>3189</v>
      </c>
      <c r="H870" s="77">
        <v>7002436554</v>
      </c>
      <c r="I870" s="77" t="s">
        <v>250</v>
      </c>
      <c r="J870" s="77" t="s">
        <v>37</v>
      </c>
      <c r="K870" s="77" t="s">
        <v>37</v>
      </c>
      <c r="L870" s="77" t="s">
        <v>38</v>
      </c>
      <c r="M870" s="77" t="s">
        <v>37</v>
      </c>
      <c r="N870" s="77" t="s">
        <v>37</v>
      </c>
      <c r="O870" s="77" t="s">
        <v>38</v>
      </c>
      <c r="P870" s="77" t="s">
        <v>39</v>
      </c>
      <c r="Q870" s="76">
        <v>45960</v>
      </c>
      <c r="R870" s="77"/>
      <c r="S870" s="77"/>
      <c r="T870" s="77"/>
      <c r="U870" s="77"/>
      <c r="V870" s="78" t="s">
        <v>5432</v>
      </c>
      <c r="W870" s="79">
        <v>46074</v>
      </c>
      <c r="X870" s="78" t="s">
        <v>38</v>
      </c>
      <c r="Y870" s="78"/>
      <c r="Z870" s="78" t="s">
        <v>5458</v>
      </c>
      <c r="AA870">
        <f>IF(COUNTIF('Call Queue'!$H$6:$H$20,V870)&gt;0,0,IF(AND(ISNUMBER(N870),N870&gt;0),10000000+N870,IF(ISNUMBER(N870*1),IF(N870*1&gt;0,10000000+N870*1,0),0))+IF(ISNUMBER(SEARCH("(",L870)),1000000+IFERROR(VALUE(SUBSTITUTE(SUBSTITUTE(SUBSTITUTE(MID(L870,SEARCH("(",L870)+1,SEARCH(")",L870)-SEARCH("(",L870)-1),"$",""),",","")," ","")),0),0))</f>
        <v>0</v>
      </c>
    </row>
    <row r="871" spans="1:27">
      <c r="A871" s="76">
        <v>45919</v>
      </c>
      <c r="B871" s="77" t="s">
        <v>3215</v>
      </c>
      <c r="C871" s="77" t="s">
        <v>717</v>
      </c>
      <c r="D871" s="77" t="s">
        <v>125</v>
      </c>
      <c r="E871" s="77">
        <v>85254</v>
      </c>
      <c r="F871" s="77" t="s">
        <v>3216</v>
      </c>
      <c r="G871" s="77" t="s">
        <v>3189</v>
      </c>
      <c r="H871" s="77">
        <v>355361000</v>
      </c>
      <c r="I871" s="77" t="s">
        <v>36</v>
      </c>
      <c r="J871" s="77" t="s">
        <v>37</v>
      </c>
      <c r="K871" s="77" t="s">
        <v>37</v>
      </c>
      <c r="L871" s="77" t="s">
        <v>38</v>
      </c>
      <c r="M871" s="77" t="s">
        <v>37</v>
      </c>
      <c r="N871" s="77" t="s">
        <v>37</v>
      </c>
      <c r="O871" s="77" t="s">
        <v>38</v>
      </c>
      <c r="P871" s="77" t="s">
        <v>39</v>
      </c>
      <c r="Q871" s="76">
        <v>45960</v>
      </c>
      <c r="R871" s="77"/>
      <c r="S871" s="77"/>
      <c r="T871" s="77"/>
      <c r="U871" s="77"/>
      <c r="V871" s="78"/>
      <c r="W871" s="79"/>
      <c r="X871" s="78"/>
      <c r="Y871" s="78"/>
      <c r="Z871" s="78"/>
      <c r="AA871">
        <f>IF(COUNTIF('Call Queue'!$H$6:$H$20,V871)&gt;0,0,IF(AND(ISNUMBER(N871),N871&gt;0),10000000+N871,IF(ISNUMBER(N871*1),IF(N871*1&gt;0,10000000+N871*1,0),0))+IF(ISNUMBER(SEARCH("(",L871)),1000000+IFERROR(VALUE(SUBSTITUTE(SUBSTITUTE(SUBSTITUTE(MID(L871,SEARCH("(",L871)+1,SEARCH(")",L871)-SEARCH("(",L871)-1),"$",""),",","")," ","")),0),0))</f>
        <v>0</v>
      </c>
    </row>
    <row r="872" spans="1:27">
      <c r="A872" s="76">
        <v>45919</v>
      </c>
      <c r="B872" s="77" t="s">
        <v>3218</v>
      </c>
      <c r="C872" s="77" t="s">
        <v>3219</v>
      </c>
      <c r="D872" s="77" t="s">
        <v>169</v>
      </c>
      <c r="E872" s="77">
        <v>85338</v>
      </c>
      <c r="F872" s="77" t="s">
        <v>3220</v>
      </c>
      <c r="G872" s="77" t="s">
        <v>3189</v>
      </c>
      <c r="H872" s="77">
        <v>3392630000</v>
      </c>
      <c r="I872" s="77" t="s">
        <v>36</v>
      </c>
      <c r="J872" s="77" t="s">
        <v>37</v>
      </c>
      <c r="K872" s="77" t="s">
        <v>37</v>
      </c>
      <c r="L872" s="77" t="s">
        <v>38</v>
      </c>
      <c r="M872" s="77" t="s">
        <v>38</v>
      </c>
      <c r="N872" s="77">
        <v>747.64</v>
      </c>
      <c r="O872" s="77" t="s">
        <v>38</v>
      </c>
      <c r="P872" s="77"/>
      <c r="Q872" s="76">
        <v>45960</v>
      </c>
      <c r="R872" s="77" t="s">
        <v>495</v>
      </c>
      <c r="S872" s="77"/>
      <c r="T872" s="77"/>
      <c r="U872" s="77"/>
      <c r="V872" s="78" t="s">
        <v>5432</v>
      </c>
      <c r="W872" s="79">
        <v>45997</v>
      </c>
      <c r="X872" s="78"/>
      <c r="Y872" s="78"/>
      <c r="Z872" s="78" t="s">
        <v>5599</v>
      </c>
      <c r="AA872">
        <f>IF(COUNTIF('Call Queue'!$H$6:$H$20,V872)&gt;0,0,IF(AND(ISNUMBER(N872),N872&gt;0),10000000+N872,IF(ISNUMBER(N872*1),IF(N872*1&gt;0,10000000+N872*1,0),0))+IF(ISNUMBER(SEARCH("(",L872)),1000000+IFERROR(VALUE(SUBSTITUTE(SUBSTITUTE(SUBSTITUTE(MID(L872,SEARCH("(",L872)+1,SEARCH(")",L872)-SEARCH("(",L872)-1),"$",""),",","")," ","")),0),0))</f>
        <v>0</v>
      </c>
    </row>
    <row r="873" spans="1:27">
      <c r="A873" s="76">
        <v>45919</v>
      </c>
      <c r="B873" s="77" t="s">
        <v>3222</v>
      </c>
      <c r="C873" s="77" t="s">
        <v>597</v>
      </c>
      <c r="D873" s="77" t="s">
        <v>169</v>
      </c>
      <c r="E873" s="77">
        <v>85338</v>
      </c>
      <c r="F873" s="77" t="s">
        <v>3169</v>
      </c>
      <c r="G873" s="77" t="s">
        <v>3189</v>
      </c>
      <c r="H873" s="77">
        <v>5316089188</v>
      </c>
      <c r="I873" s="77" t="s">
        <v>126</v>
      </c>
      <c r="J873" s="77" t="s">
        <v>37</v>
      </c>
      <c r="K873" s="77" t="s">
        <v>37</v>
      </c>
      <c r="L873" s="77" t="s">
        <v>3224</v>
      </c>
      <c r="M873" s="77" t="s">
        <v>37</v>
      </c>
      <c r="N873" s="77" t="s">
        <v>37</v>
      </c>
      <c r="O873" s="77" t="s">
        <v>38</v>
      </c>
      <c r="P873" s="77" t="s">
        <v>39</v>
      </c>
      <c r="Q873" s="76">
        <v>45960</v>
      </c>
      <c r="R873" s="77" t="s">
        <v>3225</v>
      </c>
      <c r="S873" s="77"/>
      <c r="T873" s="77"/>
      <c r="U873" s="77"/>
      <c r="V873" s="78" t="s">
        <v>5432</v>
      </c>
      <c r="W873" s="79">
        <v>45997</v>
      </c>
      <c r="X873" s="78" t="s">
        <v>38</v>
      </c>
      <c r="Y873" s="78"/>
      <c r="Z873" s="78" t="s">
        <v>5600</v>
      </c>
      <c r="AA873">
        <f>IF(COUNTIF('Call Queue'!$H$6:$H$20,V873)&gt;0,0,IF(AND(ISNUMBER(N873),N873&gt;0),10000000+N873,IF(ISNUMBER(N873*1),IF(N873*1&gt;0,10000000+N873*1,0),0))+IF(ISNUMBER(SEARCH("(",L873)),1000000+IFERROR(VALUE(SUBSTITUTE(SUBSTITUTE(SUBSTITUTE(MID(L873,SEARCH("(",L873)+1,SEARCH(")",L873)-SEARCH("(",L873)-1),"$",""),",","")," ","")),0),0))</f>
        <v>0</v>
      </c>
    </row>
    <row r="874" spans="1:27">
      <c r="A874" s="76">
        <v>45919</v>
      </c>
      <c r="B874" s="77" t="s">
        <v>3228</v>
      </c>
      <c r="C874" s="77" t="s">
        <v>334</v>
      </c>
      <c r="D874" s="77" t="s">
        <v>30</v>
      </c>
      <c r="E874" s="77" t="s">
        <v>30</v>
      </c>
      <c r="F874" s="77" t="s">
        <v>3229</v>
      </c>
      <c r="G874" s="77" t="s">
        <v>3189</v>
      </c>
      <c r="H874" s="77">
        <v>9129688999</v>
      </c>
      <c r="I874" s="77" t="s">
        <v>418</v>
      </c>
      <c r="J874" s="77" t="s">
        <v>37</v>
      </c>
      <c r="K874" s="77" t="s">
        <v>37</v>
      </c>
      <c r="L874" s="77" t="s">
        <v>389</v>
      </c>
      <c r="M874" s="77" t="s">
        <v>37</v>
      </c>
      <c r="N874" s="77" t="s">
        <v>37</v>
      </c>
      <c r="O874" s="77" t="s">
        <v>38</v>
      </c>
      <c r="P874" s="77" t="s">
        <v>39</v>
      </c>
      <c r="Q874" s="76">
        <v>45960</v>
      </c>
      <c r="R874" s="77"/>
      <c r="S874" s="77"/>
      <c r="T874" s="77"/>
      <c r="U874" s="77"/>
      <c r="V874" s="78" t="s">
        <v>5432</v>
      </c>
      <c r="W874" s="79">
        <v>45997</v>
      </c>
      <c r="X874" s="78"/>
      <c r="Y874" s="78"/>
      <c r="Z874" s="78" t="s">
        <v>5601</v>
      </c>
      <c r="AA874">
        <f>IF(COUNTIF('Call Queue'!$H$6:$H$20,V874)&gt;0,0,IF(AND(ISNUMBER(N874),N874&gt;0),10000000+N874,IF(ISNUMBER(N874*1),IF(N874*1&gt;0,10000000+N874*1,0),0))+IF(ISNUMBER(SEARCH("(",L874)),1000000+IFERROR(VALUE(SUBSTITUTE(SUBSTITUTE(SUBSTITUTE(MID(L874,SEARCH("(",L874)+1,SEARCH(")",L874)-SEARCH("(",L874)-1),"$",""),",","")," ","")),0),0))</f>
        <v>0</v>
      </c>
    </row>
    <row r="875" spans="1:27">
      <c r="A875" s="76">
        <v>45919</v>
      </c>
      <c r="B875" s="77" t="s">
        <v>3231</v>
      </c>
      <c r="C875" s="77" t="s">
        <v>529</v>
      </c>
      <c r="D875" s="77" t="s">
        <v>63</v>
      </c>
      <c r="E875" s="77">
        <v>85032</v>
      </c>
      <c r="F875" s="77" t="s">
        <v>31</v>
      </c>
      <c r="G875" s="77" t="s">
        <v>3189</v>
      </c>
      <c r="H875" s="77">
        <v>1326918238</v>
      </c>
      <c r="I875" s="77" t="s">
        <v>418</v>
      </c>
      <c r="J875" s="77" t="s">
        <v>37</v>
      </c>
      <c r="K875" s="77" t="s">
        <v>37</v>
      </c>
      <c r="L875" s="77" t="s">
        <v>389</v>
      </c>
      <c r="M875" s="77" t="s">
        <v>37</v>
      </c>
      <c r="N875" s="77" t="s">
        <v>37</v>
      </c>
      <c r="O875" s="77" t="s">
        <v>38</v>
      </c>
      <c r="P875" s="77" t="s">
        <v>39</v>
      </c>
      <c r="Q875" s="76">
        <v>45960</v>
      </c>
      <c r="R875" s="77"/>
      <c r="S875" s="77"/>
      <c r="T875" s="77"/>
      <c r="U875" s="77"/>
      <c r="V875" s="78"/>
      <c r="W875" s="79"/>
      <c r="X875" s="78"/>
      <c r="Y875" s="78"/>
      <c r="Z875" s="78"/>
      <c r="AA875">
        <f>IF(COUNTIF('Call Queue'!$H$6:$H$20,V875)&gt;0,0,IF(AND(ISNUMBER(N875),N875&gt;0),10000000+N875,IF(ISNUMBER(N875*1),IF(N875*1&gt;0,10000000+N875*1,0),0))+IF(ISNUMBER(SEARCH("(",L875)),1000000+IFERROR(VALUE(SUBSTITUTE(SUBSTITUTE(SUBSTITUTE(MID(L875,SEARCH("(",L875)+1,SEARCH(")",L875)-SEARCH("(",L875)-1),"$",""),",","")," ","")),0),0))</f>
        <v>0</v>
      </c>
    </row>
    <row r="876" spans="1:27">
      <c r="A876" s="76">
        <v>45919</v>
      </c>
      <c r="B876" s="77" t="s">
        <v>3233</v>
      </c>
      <c r="C876" s="77" t="s">
        <v>611</v>
      </c>
      <c r="D876" s="77" t="s">
        <v>63</v>
      </c>
      <c r="E876" s="77">
        <v>85022</v>
      </c>
      <c r="F876" s="77" t="s">
        <v>3234</v>
      </c>
      <c r="G876" s="77" t="s">
        <v>3189</v>
      </c>
      <c r="H876" s="77">
        <v>6830451000</v>
      </c>
      <c r="I876" s="77" t="s">
        <v>36</v>
      </c>
      <c r="J876" s="77" t="s">
        <v>37</v>
      </c>
      <c r="K876" s="77" t="s">
        <v>37</v>
      </c>
      <c r="L876" s="77" t="s">
        <v>38</v>
      </c>
      <c r="M876" s="77" t="s">
        <v>37</v>
      </c>
      <c r="N876" s="77" t="s">
        <v>37</v>
      </c>
      <c r="O876" s="77" t="s">
        <v>38</v>
      </c>
      <c r="P876" s="77" t="s">
        <v>39</v>
      </c>
      <c r="Q876" s="76">
        <v>45960</v>
      </c>
      <c r="R876" s="77"/>
      <c r="S876" s="77"/>
      <c r="T876" s="77"/>
      <c r="U876" s="77"/>
      <c r="V876" s="78" t="s">
        <v>5432</v>
      </c>
      <c r="W876" s="79">
        <v>46074</v>
      </c>
      <c r="X876" s="78" t="s">
        <v>37</v>
      </c>
      <c r="Y876" s="78"/>
      <c r="Z876" s="78" t="s">
        <v>5558</v>
      </c>
      <c r="AA876">
        <f>IF(COUNTIF('Call Queue'!$H$6:$H$20,V876)&gt;0,0,IF(AND(ISNUMBER(N876),N876&gt;0),10000000+N876,IF(ISNUMBER(N876*1),IF(N876*1&gt;0,10000000+N876*1,0),0))+IF(ISNUMBER(SEARCH("(",L876)),1000000+IFERROR(VALUE(SUBSTITUTE(SUBSTITUTE(SUBSTITUTE(MID(L876,SEARCH("(",L876)+1,SEARCH(")",L876)-SEARCH("(",L876)-1),"$",""),",","")," ","")),0),0))</f>
        <v>0</v>
      </c>
    </row>
    <row r="877" spans="1:27">
      <c r="A877" s="76">
        <v>45919</v>
      </c>
      <c r="B877" s="77" t="s">
        <v>3236</v>
      </c>
      <c r="C877" s="77" t="s">
        <v>3237</v>
      </c>
      <c r="D877" s="77" t="s">
        <v>816</v>
      </c>
      <c r="E877" s="77">
        <v>86303</v>
      </c>
      <c r="F877" s="77" t="s">
        <v>3238</v>
      </c>
      <c r="G877" s="77" t="s">
        <v>3189</v>
      </c>
      <c r="H877" s="77">
        <v>9727210000</v>
      </c>
      <c r="I877" s="77" t="s">
        <v>126</v>
      </c>
      <c r="J877" s="77" t="s">
        <v>37</v>
      </c>
      <c r="K877" s="77" t="s">
        <v>37</v>
      </c>
      <c r="L877" s="77" t="s">
        <v>38</v>
      </c>
      <c r="M877" s="77" t="s">
        <v>37</v>
      </c>
      <c r="N877" s="77" t="s">
        <v>37</v>
      </c>
      <c r="O877" s="77" t="s">
        <v>38</v>
      </c>
      <c r="P877" s="77" t="s">
        <v>39</v>
      </c>
      <c r="Q877" s="76">
        <v>45960</v>
      </c>
      <c r="R877" s="77"/>
      <c r="S877" s="77"/>
      <c r="T877" s="77"/>
      <c r="U877" s="77"/>
      <c r="V877" s="78" t="s">
        <v>5432</v>
      </c>
      <c r="W877" s="79">
        <v>45997</v>
      </c>
      <c r="X877" s="78"/>
      <c r="Y877" s="78"/>
      <c r="Z877" s="78" t="s">
        <v>5602</v>
      </c>
      <c r="AA877">
        <f>IF(COUNTIF('Call Queue'!$H$6:$H$20,V877)&gt;0,0,IF(AND(ISNUMBER(N877),N877&gt;0),10000000+N877,IF(ISNUMBER(N877*1),IF(N877*1&gt;0,10000000+N877*1,0),0))+IF(ISNUMBER(SEARCH("(",L877)),1000000+IFERROR(VALUE(SUBSTITUTE(SUBSTITUTE(SUBSTITUTE(MID(L877,SEARCH("(",L877)+1,SEARCH(")",L877)-SEARCH("(",L877)-1),"$",""),",","")," ","")),0),0))</f>
        <v>0</v>
      </c>
    </row>
    <row r="878" spans="1:27">
      <c r="A878" s="76">
        <v>45919</v>
      </c>
      <c r="B878" s="77" t="s">
        <v>3241</v>
      </c>
      <c r="C878" s="77" t="s">
        <v>1423</v>
      </c>
      <c r="D878" s="77" t="s">
        <v>125</v>
      </c>
      <c r="E878" s="77">
        <v>85260</v>
      </c>
      <c r="F878" s="77" t="s">
        <v>3242</v>
      </c>
      <c r="G878" s="77" t="s">
        <v>2563</v>
      </c>
      <c r="H878" s="77">
        <v>4021850045</v>
      </c>
      <c r="I878" s="77" t="s">
        <v>36</v>
      </c>
      <c r="J878" s="77" t="s">
        <v>37</v>
      </c>
      <c r="K878" s="77" t="s">
        <v>37</v>
      </c>
      <c r="L878" s="77" t="s">
        <v>1586</v>
      </c>
      <c r="M878" s="77" t="s">
        <v>37</v>
      </c>
      <c r="N878" s="77" t="s">
        <v>37</v>
      </c>
      <c r="O878" s="77" t="s">
        <v>38</v>
      </c>
      <c r="P878" s="77" t="s">
        <v>39</v>
      </c>
      <c r="Q878" s="76">
        <v>45960</v>
      </c>
      <c r="R878" s="77"/>
      <c r="S878" s="77"/>
      <c r="T878" s="77"/>
      <c r="U878" s="77"/>
      <c r="V878" s="78" t="s">
        <v>5432</v>
      </c>
      <c r="W878" s="79">
        <v>46074</v>
      </c>
      <c r="X878" s="78" t="s">
        <v>37</v>
      </c>
      <c r="Y878" s="78" t="s">
        <v>5442</v>
      </c>
      <c r="Z878" s="78"/>
      <c r="AA878">
        <f>IF(COUNTIF('Call Queue'!$H$6:$H$20,V878)&gt;0,0,IF(AND(ISNUMBER(N878),N878&gt;0),10000000+N878,IF(ISNUMBER(N878*1),IF(N878*1&gt;0,10000000+N878*1,0),0))+IF(ISNUMBER(SEARCH("(",L878)),1000000+IFERROR(VALUE(SUBSTITUTE(SUBSTITUTE(SUBSTITUTE(MID(L878,SEARCH("(",L878)+1,SEARCH(")",L878)-SEARCH("(",L878)-1),"$",""),",","")," ","")),0),0))</f>
        <v>0</v>
      </c>
    </row>
    <row r="879" spans="1:27">
      <c r="A879" s="76">
        <v>45919</v>
      </c>
      <c r="B879" s="77" t="s">
        <v>3244</v>
      </c>
      <c r="C879" s="77" t="s">
        <v>3245</v>
      </c>
      <c r="D879" s="77" t="s">
        <v>63</v>
      </c>
      <c r="E879" s="77">
        <v>85013</v>
      </c>
      <c r="F879" s="77" t="s">
        <v>3246</v>
      </c>
      <c r="G879" s="77" t="s">
        <v>2563</v>
      </c>
      <c r="H879" s="77">
        <v>823076351</v>
      </c>
      <c r="I879" s="77" t="s">
        <v>36</v>
      </c>
      <c r="J879" s="77" t="s">
        <v>37</v>
      </c>
      <c r="K879" s="77" t="s">
        <v>37</v>
      </c>
      <c r="L879" s="77" t="s">
        <v>1586</v>
      </c>
      <c r="M879" s="77" t="s">
        <v>37</v>
      </c>
      <c r="N879" s="77" t="s">
        <v>37</v>
      </c>
      <c r="O879" s="77" t="s">
        <v>38</v>
      </c>
      <c r="P879" s="77" t="s">
        <v>39</v>
      </c>
      <c r="Q879" s="76">
        <v>45960</v>
      </c>
      <c r="R879" s="77" t="s">
        <v>3248</v>
      </c>
      <c r="S879" s="77"/>
      <c r="T879" s="77"/>
      <c r="U879" s="77"/>
      <c r="V879" s="78" t="s">
        <v>5432</v>
      </c>
      <c r="W879" s="79">
        <v>46074</v>
      </c>
      <c r="X879" s="78" t="s">
        <v>38</v>
      </c>
      <c r="Y879" s="78"/>
      <c r="Z879" s="78" t="s">
        <v>5458</v>
      </c>
      <c r="AA879">
        <f>IF(COUNTIF('Call Queue'!$H$6:$H$20,V879)&gt;0,0,IF(AND(ISNUMBER(N879),N879&gt;0),10000000+N879,IF(ISNUMBER(N879*1),IF(N879*1&gt;0,10000000+N879*1,0),0))+IF(ISNUMBER(SEARCH("(",L879)),1000000+IFERROR(VALUE(SUBSTITUTE(SUBSTITUTE(SUBSTITUTE(MID(L879,SEARCH("(",L879)+1,SEARCH(")",L879)-SEARCH("(",L879)-1),"$",""),",","")," ","")),0),0))</f>
        <v>0</v>
      </c>
    </row>
    <row r="880" spans="1:27">
      <c r="A880" s="76">
        <v>45919</v>
      </c>
      <c r="B880" s="77" t="s">
        <v>2561</v>
      </c>
      <c r="C880" s="77" t="s">
        <v>2562</v>
      </c>
      <c r="D880" s="77" t="s">
        <v>112</v>
      </c>
      <c r="E880" s="77">
        <v>85388</v>
      </c>
      <c r="F880" s="77" t="s">
        <v>310</v>
      </c>
      <c r="G880" s="77" t="s">
        <v>2563</v>
      </c>
      <c r="H880" s="77">
        <v>2291912909</v>
      </c>
      <c r="I880" s="77" t="s">
        <v>46</v>
      </c>
      <c r="J880" s="77" t="s">
        <v>37</v>
      </c>
      <c r="K880" s="77" t="s">
        <v>37</v>
      </c>
      <c r="L880" s="77" t="s">
        <v>1586</v>
      </c>
      <c r="M880" s="77" t="s">
        <v>37</v>
      </c>
      <c r="N880" s="77" t="s">
        <v>37</v>
      </c>
      <c r="O880" s="77" t="s">
        <v>38</v>
      </c>
      <c r="P880" s="77" t="s">
        <v>39</v>
      </c>
      <c r="Q880" s="76">
        <v>45960</v>
      </c>
      <c r="R880" s="77"/>
      <c r="S880" s="77"/>
      <c r="T880" s="77"/>
      <c r="U880" s="77"/>
      <c r="V880" s="78"/>
      <c r="W880" s="79"/>
      <c r="X880" s="78"/>
      <c r="Y880" s="78"/>
      <c r="Z880" s="78"/>
      <c r="AA880">
        <f>IF(COUNTIF('Call Queue'!$H$6:$H$20,V880)&gt;0,0,IF(AND(ISNUMBER(N880),N880&gt;0),10000000+N880,IF(ISNUMBER(N880*1),IF(N880*1&gt;0,10000000+N880*1,0),0))+IF(ISNUMBER(SEARCH("(",L880)),1000000+IFERROR(VALUE(SUBSTITUTE(SUBSTITUTE(SUBSTITUTE(MID(L880,SEARCH("(",L880)+1,SEARCH(")",L880)-SEARCH("(",L880)-1),"$",""),",","")," ","")),0),0))</f>
        <v>0</v>
      </c>
    </row>
    <row r="881" spans="1:27">
      <c r="A881" s="76">
        <v>45919</v>
      </c>
      <c r="B881" s="77" t="s">
        <v>3252</v>
      </c>
      <c r="C881" s="77" t="s">
        <v>1354</v>
      </c>
      <c r="D881" s="77" t="s">
        <v>112</v>
      </c>
      <c r="E881" s="77">
        <v>85374</v>
      </c>
      <c r="F881" s="77" t="s">
        <v>3253</v>
      </c>
      <c r="G881" s="77" t="s">
        <v>2563</v>
      </c>
      <c r="H881" s="77">
        <v>3159030000</v>
      </c>
      <c r="I881" s="77" t="s">
        <v>36</v>
      </c>
      <c r="J881" s="77" t="s">
        <v>37</v>
      </c>
      <c r="K881" s="77" t="s">
        <v>37</v>
      </c>
      <c r="L881" s="77" t="s">
        <v>1586</v>
      </c>
      <c r="M881" s="77" t="s">
        <v>37</v>
      </c>
      <c r="N881" s="77" t="s">
        <v>37</v>
      </c>
      <c r="O881" s="77" t="s">
        <v>38</v>
      </c>
      <c r="P881" s="77" t="s">
        <v>39</v>
      </c>
      <c r="Q881" s="76">
        <v>45960</v>
      </c>
      <c r="R881" s="77"/>
      <c r="S881" s="77"/>
      <c r="T881" s="77"/>
      <c r="U881" s="77"/>
      <c r="V881" s="78"/>
      <c r="W881" s="79"/>
      <c r="X881" s="78"/>
      <c r="Y881" s="78"/>
      <c r="Z881" s="78"/>
      <c r="AA881">
        <f>IF(COUNTIF('Call Queue'!$H$6:$H$20,V881)&gt;0,0,IF(AND(ISNUMBER(N881),N881&gt;0),10000000+N881,IF(ISNUMBER(N881*1),IF(N881*1&gt;0,10000000+N881*1,0),0))+IF(ISNUMBER(SEARCH("(",L881)),1000000+IFERROR(VALUE(SUBSTITUTE(SUBSTITUTE(SUBSTITUTE(MID(L881,SEARCH("(",L881)+1,SEARCH(")",L881)-SEARCH("(",L881)-1),"$",""),",","")," ","")),0),0))</f>
        <v>0</v>
      </c>
    </row>
    <row r="882" spans="1:27">
      <c r="A882" s="76">
        <v>45921</v>
      </c>
      <c r="B882" s="77" t="s">
        <v>3258</v>
      </c>
      <c r="C882" s="77" t="s">
        <v>194</v>
      </c>
      <c r="D882" s="77" t="s">
        <v>635</v>
      </c>
      <c r="E882" s="77">
        <v>85281</v>
      </c>
      <c r="F882" s="77" t="s">
        <v>3259</v>
      </c>
      <c r="G882" s="77" t="s">
        <v>2563</v>
      </c>
      <c r="H882" s="77">
        <v>1450385073</v>
      </c>
      <c r="I882" s="77" t="s">
        <v>36</v>
      </c>
      <c r="J882" s="77" t="s">
        <v>37</v>
      </c>
      <c r="K882" s="77" t="s">
        <v>37</v>
      </c>
      <c r="L882" s="77" t="s">
        <v>401</v>
      </c>
      <c r="M882" s="77" t="s">
        <v>37</v>
      </c>
      <c r="N882" s="77" t="s">
        <v>37</v>
      </c>
      <c r="O882" s="77" t="s">
        <v>38</v>
      </c>
      <c r="P882" s="77" t="s">
        <v>39</v>
      </c>
      <c r="Q882" s="76">
        <v>45960</v>
      </c>
      <c r="R882" s="77"/>
      <c r="S882" s="77"/>
      <c r="T882" s="77"/>
      <c r="U882" s="77"/>
      <c r="V882" s="78" t="s">
        <v>5432</v>
      </c>
      <c r="W882" s="79">
        <v>46053</v>
      </c>
      <c r="X882" s="78" t="s">
        <v>38</v>
      </c>
      <c r="Y882" s="78"/>
      <c r="Z882" s="78" t="s">
        <v>5555</v>
      </c>
      <c r="AA882">
        <f>IF(COUNTIF('Call Queue'!$H$6:$H$20,V882)&gt;0,0,IF(AND(ISNUMBER(N882),N882&gt;0),10000000+N882,IF(ISNUMBER(N882*1),IF(N882*1&gt;0,10000000+N882*1,0),0))+IF(ISNUMBER(SEARCH("(",L882)),1000000+IFERROR(VALUE(SUBSTITUTE(SUBSTITUTE(SUBSTITUTE(MID(L882,SEARCH("(",L882)+1,SEARCH(")",L882)-SEARCH("(",L882)-1),"$",""),",","")," ","")),0),0))</f>
        <v>0</v>
      </c>
    </row>
    <row r="883" spans="1:27">
      <c r="A883" s="76">
        <v>45922</v>
      </c>
      <c r="B883" s="77" t="s">
        <v>3265</v>
      </c>
      <c r="C883" s="77" t="s">
        <v>548</v>
      </c>
      <c r="D883" s="77" t="s">
        <v>129</v>
      </c>
      <c r="E883" s="77">
        <v>85296</v>
      </c>
      <c r="F883" s="77" t="s">
        <v>3266</v>
      </c>
      <c r="G883" s="77" t="s">
        <v>2563</v>
      </c>
      <c r="H883" s="77">
        <v>4978619668</v>
      </c>
      <c r="I883" s="77" t="s">
        <v>36</v>
      </c>
      <c r="J883" s="77" t="s">
        <v>37</v>
      </c>
      <c r="K883" s="77" t="s">
        <v>37</v>
      </c>
      <c r="L883" s="77" t="s">
        <v>1586</v>
      </c>
      <c r="M883" s="77" t="s">
        <v>38</v>
      </c>
      <c r="N883" s="77">
        <v>507.13</v>
      </c>
      <c r="O883" s="77" t="s">
        <v>38</v>
      </c>
      <c r="P883" s="77"/>
      <c r="Q883" s="76">
        <v>45960</v>
      </c>
      <c r="R883" s="77" t="s">
        <v>495</v>
      </c>
      <c r="S883" s="77"/>
      <c r="T883" s="77"/>
      <c r="U883" s="77"/>
      <c r="V883" s="78" t="s">
        <v>5432</v>
      </c>
      <c r="W883" s="79">
        <v>46039</v>
      </c>
      <c r="X883" s="78" t="s">
        <v>37</v>
      </c>
      <c r="Y883" s="78" t="s">
        <v>5442</v>
      </c>
      <c r="Z883" s="78" t="s">
        <v>5603</v>
      </c>
      <c r="AA883">
        <f>IF(COUNTIF('Call Queue'!$H$6:$H$20,V883)&gt;0,0,IF(AND(ISNUMBER(N883),N883&gt;0),10000000+N883,IF(ISNUMBER(N883*1),IF(N883*1&gt;0,10000000+N883*1,0),0))+IF(ISNUMBER(SEARCH("(",L883)),1000000+IFERROR(VALUE(SUBSTITUTE(SUBSTITUTE(SUBSTITUTE(MID(L883,SEARCH("(",L883)+1,SEARCH(")",L883)-SEARCH("(",L883)-1),"$",""),",","")," ","")),0),0))</f>
        <v>0</v>
      </c>
    </row>
    <row r="884" spans="1:27">
      <c r="A884" s="76">
        <v>45922</v>
      </c>
      <c r="B884" s="77" t="s">
        <v>3268</v>
      </c>
      <c r="C884" s="77" t="s">
        <v>611</v>
      </c>
      <c r="D884" s="77" t="s">
        <v>63</v>
      </c>
      <c r="E884" s="77">
        <v>85023</v>
      </c>
      <c r="F884" s="77" t="s">
        <v>3269</v>
      </c>
      <c r="G884" s="77" t="s">
        <v>2563</v>
      </c>
      <c r="H884" s="77">
        <v>2646435979</v>
      </c>
      <c r="I884" s="77" t="s">
        <v>36</v>
      </c>
      <c r="J884" s="77" t="s">
        <v>38</v>
      </c>
      <c r="K884" s="77" t="s">
        <v>37</v>
      </c>
      <c r="L884" s="77" t="s">
        <v>401</v>
      </c>
      <c r="M884" s="77" t="s">
        <v>37</v>
      </c>
      <c r="N884" s="77" t="s">
        <v>37</v>
      </c>
      <c r="O884" s="77" t="s">
        <v>38</v>
      </c>
      <c r="P884" s="77" t="s">
        <v>39</v>
      </c>
      <c r="Q884" s="76">
        <v>45960</v>
      </c>
      <c r="R884" s="77"/>
      <c r="S884" s="77"/>
      <c r="T884" s="77"/>
      <c r="U884" s="77"/>
      <c r="V884" s="78" t="s">
        <v>5432</v>
      </c>
      <c r="W884" s="79">
        <v>46053</v>
      </c>
      <c r="X884" s="78" t="s">
        <v>37</v>
      </c>
      <c r="Y884" s="78" t="s">
        <v>5442</v>
      </c>
      <c r="Z884" s="78"/>
      <c r="AA884">
        <f>IF(COUNTIF('Call Queue'!$H$6:$H$20,V884)&gt;0,0,IF(AND(ISNUMBER(N884),N884&gt;0),10000000+N884,IF(ISNUMBER(N884*1),IF(N884*1&gt;0,10000000+N884*1,0),0))+IF(ISNUMBER(SEARCH("(",L884)),1000000+IFERROR(VALUE(SUBSTITUTE(SUBSTITUTE(SUBSTITUTE(MID(L884,SEARCH("(",L884)+1,SEARCH(")",L884)-SEARCH("(",L884)-1),"$",""),",","")," ","")),0),0))</f>
        <v>0</v>
      </c>
    </row>
    <row r="885" spans="1:27">
      <c r="A885" s="76">
        <v>45922</v>
      </c>
      <c r="B885" s="77" t="s">
        <v>2343</v>
      </c>
      <c r="C885" s="77" t="s">
        <v>3271</v>
      </c>
      <c r="D885" s="77" t="s">
        <v>30</v>
      </c>
      <c r="E885" s="77" t="s">
        <v>30</v>
      </c>
      <c r="F885" s="77" t="s">
        <v>31</v>
      </c>
      <c r="G885" s="77" t="s">
        <v>2563</v>
      </c>
      <c r="H885" s="77" t="s">
        <v>209</v>
      </c>
      <c r="I885" s="77"/>
      <c r="J885" s="77"/>
      <c r="K885" s="77"/>
      <c r="L885" s="77"/>
      <c r="M885" s="77"/>
      <c r="N885" s="77"/>
      <c r="O885" s="77"/>
      <c r="P885" s="77"/>
      <c r="Q885" s="76"/>
      <c r="R885" s="77"/>
      <c r="S885" s="77"/>
      <c r="T885" s="77"/>
      <c r="U885" s="77"/>
      <c r="V885" s="78"/>
      <c r="W885" s="79"/>
      <c r="X885" s="78"/>
      <c r="Y885" s="78"/>
      <c r="Z885" s="78"/>
      <c r="AA885">
        <f>IF(COUNTIF('Call Queue'!$H$6:$H$20,V885)&gt;0,0,IF(AND(ISNUMBER(N885),N885&gt;0),10000000+N885,IF(ISNUMBER(N885*1),IF(N885*1&gt;0,10000000+N885*1,0),0))+IF(ISNUMBER(SEARCH("(",L885)),1000000+IFERROR(VALUE(SUBSTITUTE(SUBSTITUTE(SUBSTITUTE(MID(L885,SEARCH("(",L885)+1,SEARCH(")",L885)-SEARCH("(",L885)-1),"$",""),",","")," ","")),0),0))</f>
        <v>0</v>
      </c>
    </row>
    <row r="886" spans="1:27">
      <c r="A886" s="76">
        <v>45922</v>
      </c>
      <c r="B886" s="77" t="s">
        <v>3272</v>
      </c>
      <c r="C886" s="77" t="s">
        <v>3273</v>
      </c>
      <c r="D886" s="77" t="s">
        <v>30</v>
      </c>
      <c r="E886" s="77" t="s">
        <v>30</v>
      </c>
      <c r="F886" s="77" t="s">
        <v>3274</v>
      </c>
      <c r="G886" s="77" t="s">
        <v>2563</v>
      </c>
      <c r="H886" s="77">
        <v>3566321000</v>
      </c>
      <c r="I886" s="77" t="s">
        <v>36</v>
      </c>
      <c r="J886" s="77" t="s">
        <v>37</v>
      </c>
      <c r="K886" s="77" t="s">
        <v>37</v>
      </c>
      <c r="L886" s="77" t="s">
        <v>1586</v>
      </c>
      <c r="M886" s="77" t="s">
        <v>37</v>
      </c>
      <c r="N886" s="77" t="s">
        <v>37</v>
      </c>
      <c r="O886" s="77" t="s">
        <v>38</v>
      </c>
      <c r="P886" s="77" t="s">
        <v>39</v>
      </c>
      <c r="Q886" s="76">
        <v>45960</v>
      </c>
      <c r="R886" s="77"/>
      <c r="S886" s="77"/>
      <c r="T886" s="77"/>
      <c r="U886" s="77"/>
      <c r="V886" s="78"/>
      <c r="W886" s="79"/>
      <c r="X886" s="78"/>
      <c r="Y886" s="78"/>
      <c r="Z886" s="78"/>
      <c r="AA886">
        <f>IF(COUNTIF('Call Queue'!$H$6:$H$20,V886)&gt;0,0,IF(AND(ISNUMBER(N886),N886&gt;0),10000000+N886,IF(ISNUMBER(N886*1),IF(N886*1&gt;0,10000000+N886*1,0),0))+IF(ISNUMBER(SEARCH("(",L886)),1000000+IFERROR(VALUE(SUBSTITUTE(SUBSTITUTE(SUBSTITUTE(MID(L886,SEARCH("(",L886)+1,SEARCH(")",L886)-SEARCH("(",L886)-1),"$",""),",","")," ","")),0),0))</f>
        <v>0</v>
      </c>
    </row>
    <row r="887" spans="1:27">
      <c r="A887" s="76">
        <v>45919</v>
      </c>
      <c r="B887" s="77" t="s">
        <v>3276</v>
      </c>
      <c r="C887" s="77" t="s">
        <v>838</v>
      </c>
      <c r="D887" s="77" t="s">
        <v>85</v>
      </c>
      <c r="E887" s="77">
        <v>86323</v>
      </c>
      <c r="F887" s="77" t="s">
        <v>3277</v>
      </c>
      <c r="G887" s="77" t="s">
        <v>2563</v>
      </c>
      <c r="H887" s="77">
        <v>6222147125</v>
      </c>
      <c r="I887" s="77" t="s">
        <v>73</v>
      </c>
      <c r="J887" s="77" t="s">
        <v>37</v>
      </c>
      <c r="K887" s="77" t="s">
        <v>37</v>
      </c>
      <c r="L887" s="77" t="s">
        <v>1586</v>
      </c>
      <c r="M887" s="77" t="s">
        <v>37</v>
      </c>
      <c r="N887" s="77" t="s">
        <v>37</v>
      </c>
      <c r="O887" s="77" t="s">
        <v>38</v>
      </c>
      <c r="P887" s="77" t="s">
        <v>39</v>
      </c>
      <c r="Q887" s="76">
        <v>45960</v>
      </c>
      <c r="R887" s="77"/>
      <c r="S887" s="77"/>
      <c r="T887" s="77"/>
      <c r="U887" s="77"/>
      <c r="V887" s="78" t="s">
        <v>5432</v>
      </c>
      <c r="W887" s="79">
        <v>46074</v>
      </c>
      <c r="X887" s="78" t="s">
        <v>38</v>
      </c>
      <c r="Y887" s="78"/>
      <c r="Z887" s="78" t="s">
        <v>5458</v>
      </c>
      <c r="AA887">
        <f>IF(COUNTIF('Call Queue'!$H$6:$H$20,V887)&gt;0,0,IF(AND(ISNUMBER(N887),N887&gt;0),10000000+N887,IF(ISNUMBER(N887*1),IF(N887*1&gt;0,10000000+N887*1,0),0))+IF(ISNUMBER(SEARCH("(",L887)),1000000+IFERROR(VALUE(SUBSTITUTE(SUBSTITUTE(SUBSTITUTE(MID(L887,SEARCH("(",L887)+1,SEARCH(")",L887)-SEARCH("(",L887)-1),"$",""),",","")," ","")),0),0))</f>
        <v>0</v>
      </c>
    </row>
    <row r="888" spans="1:27">
      <c r="A888" s="76">
        <v>45922</v>
      </c>
      <c r="B888" s="77" t="s">
        <v>2447</v>
      </c>
      <c r="C888" s="77" t="s">
        <v>3279</v>
      </c>
      <c r="D888" s="77" t="s">
        <v>63</v>
      </c>
      <c r="E888" s="77">
        <v>85012</v>
      </c>
      <c r="F888" s="77" t="s">
        <v>3280</v>
      </c>
      <c r="G888" s="77" t="s">
        <v>3281</v>
      </c>
      <c r="H888" s="77">
        <v>9503447476</v>
      </c>
      <c r="I888" s="77" t="s">
        <v>36</v>
      </c>
      <c r="J888" s="77" t="s">
        <v>37</v>
      </c>
      <c r="K888" s="77" t="s">
        <v>37</v>
      </c>
      <c r="L888" s="77" t="s">
        <v>3282</v>
      </c>
      <c r="M888" s="77" t="s">
        <v>37</v>
      </c>
      <c r="N888" s="77" t="s">
        <v>37</v>
      </c>
      <c r="O888" s="77" t="s">
        <v>38</v>
      </c>
      <c r="P888" s="77">
        <v>45940</v>
      </c>
      <c r="Q888" s="76">
        <v>45960</v>
      </c>
      <c r="R888" s="77" t="s">
        <v>3283</v>
      </c>
      <c r="S888" s="77"/>
      <c r="T888" s="77"/>
      <c r="U888" s="77"/>
      <c r="V888" s="78" t="s">
        <v>5432</v>
      </c>
      <c r="W888" s="79">
        <v>46039</v>
      </c>
      <c r="X888" s="78" t="s">
        <v>37</v>
      </c>
      <c r="Y888" s="78"/>
      <c r="Z888" s="78" t="s">
        <v>5473</v>
      </c>
      <c r="AA888">
        <f>IF(COUNTIF('Call Queue'!$H$6:$H$20,V888)&gt;0,0,IF(AND(ISNUMBER(N888),N888&gt;0),10000000+N888,IF(ISNUMBER(N888*1),IF(N888*1&gt;0,10000000+N888*1,0),0))+IF(ISNUMBER(SEARCH("(",L888)),1000000+IFERROR(VALUE(SUBSTITUTE(SUBSTITUTE(SUBSTITUTE(MID(L888,SEARCH("(",L888)+1,SEARCH(")",L888)-SEARCH("(",L888)-1),"$",""),",","")," ","")),0),0))</f>
        <v>0</v>
      </c>
    </row>
    <row r="889" spans="1:27">
      <c r="A889" s="76">
        <v>45922</v>
      </c>
      <c r="B889" s="77" t="s">
        <v>3288</v>
      </c>
      <c r="C889" s="77" t="s">
        <v>199</v>
      </c>
      <c r="D889" s="77" t="s">
        <v>174</v>
      </c>
      <c r="E889" s="77">
        <v>85326</v>
      </c>
      <c r="F889" s="77" t="s">
        <v>310</v>
      </c>
      <c r="G889" s="77" t="s">
        <v>3281</v>
      </c>
      <c r="H889" s="77">
        <v>7210380000</v>
      </c>
      <c r="I889" s="77" t="s">
        <v>36</v>
      </c>
      <c r="J889" s="77" t="s">
        <v>37</v>
      </c>
      <c r="K889" s="77" t="s">
        <v>37</v>
      </c>
      <c r="L889" s="77" t="s">
        <v>1586</v>
      </c>
      <c r="M889" s="77" t="s">
        <v>37</v>
      </c>
      <c r="N889" s="77" t="s">
        <v>37</v>
      </c>
      <c r="O889" s="77" t="s">
        <v>38</v>
      </c>
      <c r="P889" s="77" t="s">
        <v>39</v>
      </c>
      <c r="Q889" s="76">
        <v>45960</v>
      </c>
      <c r="R889" s="77"/>
      <c r="S889" s="77"/>
      <c r="T889" s="77"/>
      <c r="U889" s="77"/>
      <c r="V889" s="78" t="s">
        <v>5432</v>
      </c>
      <c r="W889" s="79">
        <v>46074</v>
      </c>
      <c r="X889" s="78" t="s">
        <v>37</v>
      </c>
      <c r="Y889" s="78"/>
      <c r="Z889" s="78" t="s">
        <v>5579</v>
      </c>
      <c r="AA889">
        <f>IF(COUNTIF('Call Queue'!$H$6:$H$20,V889)&gt;0,0,IF(AND(ISNUMBER(N889),N889&gt;0),10000000+N889,IF(ISNUMBER(N889*1),IF(N889*1&gt;0,10000000+N889*1,0),0))+IF(ISNUMBER(SEARCH("(",L889)),1000000+IFERROR(VALUE(SUBSTITUTE(SUBSTITUTE(SUBSTITUTE(MID(L889,SEARCH("(",L889)+1,SEARCH(")",L889)-SEARCH("(",L889)-1),"$",""),",","")," ","")),0),0))</f>
        <v>0</v>
      </c>
    </row>
    <row r="890" spans="1:27">
      <c r="A890" s="76">
        <v>45922</v>
      </c>
      <c r="B890" s="77" t="s">
        <v>3290</v>
      </c>
      <c r="C890" s="77" t="s">
        <v>3291</v>
      </c>
      <c r="D890" s="77" t="s">
        <v>240</v>
      </c>
      <c r="E890" s="77">
        <v>85340</v>
      </c>
      <c r="F890" s="77" t="s">
        <v>3292</v>
      </c>
      <c r="G890" s="77" t="s">
        <v>3281</v>
      </c>
      <c r="H890" s="77">
        <v>627214453</v>
      </c>
      <c r="I890" s="77" t="s">
        <v>36</v>
      </c>
      <c r="J890" s="77" t="s">
        <v>37</v>
      </c>
      <c r="K890" s="77" t="s">
        <v>37</v>
      </c>
      <c r="L890" s="77" t="s">
        <v>1586</v>
      </c>
      <c r="M890" s="77" t="s">
        <v>37</v>
      </c>
      <c r="N890" s="77" t="s">
        <v>37</v>
      </c>
      <c r="O890" s="77" t="s">
        <v>38</v>
      </c>
      <c r="P890" s="77" t="s">
        <v>39</v>
      </c>
      <c r="Q890" s="76">
        <v>45960</v>
      </c>
      <c r="R890" s="77"/>
      <c r="S890" s="77"/>
      <c r="T890" s="77"/>
      <c r="U890" s="77"/>
      <c r="V890" s="78"/>
      <c r="W890" s="79"/>
      <c r="X890" s="78"/>
      <c r="Y890" s="78"/>
      <c r="Z890" s="78"/>
      <c r="AA890">
        <f>IF(COUNTIF('Call Queue'!$H$6:$H$20,V890)&gt;0,0,IF(AND(ISNUMBER(N890),N890&gt;0),10000000+N890,IF(ISNUMBER(N890*1),IF(N890*1&gt;0,10000000+N890*1,0),0))+IF(ISNUMBER(SEARCH("(",L890)),1000000+IFERROR(VALUE(SUBSTITUTE(SUBSTITUTE(SUBSTITUTE(MID(L890,SEARCH("(",L890)+1,SEARCH(")",L890)-SEARCH("(",L890)-1),"$",""),",","")," ","")),0),0))</f>
        <v>0</v>
      </c>
    </row>
    <row r="891" spans="1:27">
      <c r="A891" s="76">
        <v>45922</v>
      </c>
      <c r="B891" s="77" t="s">
        <v>269</v>
      </c>
      <c r="C891" s="77" t="s">
        <v>2907</v>
      </c>
      <c r="D891" s="77" t="s">
        <v>202</v>
      </c>
      <c r="E891" s="77">
        <v>85383</v>
      </c>
      <c r="F891" s="77" t="s">
        <v>3294</v>
      </c>
      <c r="G891" s="77" t="s">
        <v>3281</v>
      </c>
      <c r="H891" s="77">
        <v>6338318391</v>
      </c>
      <c r="I891" s="77" t="s">
        <v>196</v>
      </c>
      <c r="J891" s="77" t="s">
        <v>37</v>
      </c>
      <c r="K891" s="77" t="s">
        <v>37</v>
      </c>
      <c r="L891" s="77" t="s">
        <v>3296</v>
      </c>
      <c r="M891" s="77" t="s">
        <v>37</v>
      </c>
      <c r="N891" s="77" t="s">
        <v>37</v>
      </c>
      <c r="O891" s="77" t="s">
        <v>38</v>
      </c>
      <c r="P891" s="77" t="s">
        <v>39</v>
      </c>
      <c r="Q891" s="76">
        <v>45960</v>
      </c>
      <c r="R891" s="77"/>
      <c r="S891" s="77"/>
      <c r="T891" s="77"/>
      <c r="U891" s="77"/>
      <c r="V891" s="78" t="s">
        <v>5432</v>
      </c>
      <c r="W891" s="79">
        <v>46039</v>
      </c>
      <c r="X891" s="78" t="s">
        <v>37</v>
      </c>
      <c r="Y891" s="78" t="s">
        <v>5442</v>
      </c>
      <c r="Z891" s="78" t="s">
        <v>5604</v>
      </c>
      <c r="AA891">
        <f>IF(COUNTIF('Call Queue'!$H$6:$H$20,V891)&gt;0,0,IF(AND(ISNUMBER(N891),N891&gt;0),10000000+N891,IF(ISNUMBER(N891*1),IF(N891*1&gt;0,10000000+N891*1,0),0))+IF(ISNUMBER(SEARCH("(",L891)),1000000+IFERROR(VALUE(SUBSTITUTE(SUBSTITUTE(SUBSTITUTE(MID(L891,SEARCH("(",L891)+1,SEARCH(")",L891)-SEARCH("(",L891)-1),"$",""),",","")," ","")),0),0))</f>
        <v>0</v>
      </c>
    </row>
    <row r="892" spans="1:27">
      <c r="A892" s="76">
        <v>45922</v>
      </c>
      <c r="B892" s="77" t="s">
        <v>3297</v>
      </c>
      <c r="C892" s="77" t="s">
        <v>3273</v>
      </c>
      <c r="D892" s="77" t="s">
        <v>125</v>
      </c>
      <c r="E892" s="77">
        <v>85254</v>
      </c>
      <c r="F892" s="77" t="s">
        <v>310</v>
      </c>
      <c r="G892" s="77" t="s">
        <v>3281</v>
      </c>
      <c r="H892" s="77">
        <v>6407918651</v>
      </c>
      <c r="I892" s="77" t="s">
        <v>196</v>
      </c>
      <c r="J892" s="77" t="s">
        <v>37</v>
      </c>
      <c r="K892" s="77" t="s">
        <v>37</v>
      </c>
      <c r="L892" s="77" t="s">
        <v>3299</v>
      </c>
      <c r="M892" s="77" t="s">
        <v>37</v>
      </c>
      <c r="N892" s="77" t="s">
        <v>37</v>
      </c>
      <c r="O892" s="77" t="s">
        <v>38</v>
      </c>
      <c r="P892" s="77" t="s">
        <v>39</v>
      </c>
      <c r="Q892" s="76">
        <v>45960</v>
      </c>
      <c r="R892" s="77"/>
      <c r="S892" s="77"/>
      <c r="T892" s="77"/>
      <c r="U892" s="77"/>
      <c r="V892" s="78" t="s">
        <v>5432</v>
      </c>
      <c r="W892" s="79">
        <v>46039</v>
      </c>
      <c r="X892" s="78" t="s">
        <v>37</v>
      </c>
      <c r="Y892" s="78" t="s">
        <v>5441</v>
      </c>
      <c r="Z892" s="78" t="s">
        <v>5474</v>
      </c>
      <c r="AA892">
        <f>IF(COUNTIF('Call Queue'!$H$6:$H$20,V892)&gt;0,0,IF(AND(ISNUMBER(N892),N892&gt;0),10000000+N892,IF(ISNUMBER(N892*1),IF(N892*1&gt;0,10000000+N892*1,0),0))+IF(ISNUMBER(SEARCH("(",L892)),1000000+IFERROR(VALUE(SUBSTITUTE(SUBSTITUTE(SUBSTITUTE(MID(L892,SEARCH("(",L892)+1,SEARCH(")",L892)-SEARCH("(",L892)-1),"$",""),",","")," ","")),0),0))</f>
        <v>0</v>
      </c>
    </row>
    <row r="893" spans="1:27">
      <c r="A893" s="76">
        <v>45922</v>
      </c>
      <c r="B893" s="77" t="s">
        <v>3300</v>
      </c>
      <c r="C893" s="77" t="s">
        <v>2149</v>
      </c>
      <c r="D893" s="77" t="s">
        <v>174</v>
      </c>
      <c r="E893" s="77">
        <v>85326</v>
      </c>
      <c r="F893" s="77" t="s">
        <v>3301</v>
      </c>
      <c r="G893" s="77" t="s">
        <v>3281</v>
      </c>
      <c r="H893" s="77">
        <v>9340701000</v>
      </c>
      <c r="I893" s="77" t="s">
        <v>46</v>
      </c>
      <c r="J893" s="77" t="s">
        <v>37</v>
      </c>
      <c r="K893" s="77" t="s">
        <v>37</v>
      </c>
      <c r="L893" s="77" t="s">
        <v>3303</v>
      </c>
      <c r="M893" s="77" t="s">
        <v>38</v>
      </c>
      <c r="N893" s="77">
        <v>333.26</v>
      </c>
      <c r="O893" s="77" t="s">
        <v>38</v>
      </c>
      <c r="P893" s="77">
        <v>45940</v>
      </c>
      <c r="Q893" s="76">
        <v>45960</v>
      </c>
      <c r="R893" s="77" t="s">
        <v>3152</v>
      </c>
      <c r="S893" s="77"/>
      <c r="T893" s="77"/>
      <c r="U893" s="77"/>
      <c r="V893" s="78" t="s">
        <v>5432</v>
      </c>
      <c r="W893" s="79">
        <v>46039</v>
      </c>
      <c r="X893" s="78" t="s">
        <v>38</v>
      </c>
      <c r="Y893" s="78"/>
      <c r="Z893" s="78"/>
      <c r="AA893">
        <f>IF(COUNTIF('Call Queue'!$H$6:$H$20,V893)&gt;0,0,IF(AND(ISNUMBER(N893),N893&gt;0),10000000+N893,IF(ISNUMBER(N893*1),IF(N893*1&gt;0,10000000+N893*1,0),0))+IF(ISNUMBER(SEARCH("(",L893)),1000000+IFERROR(VALUE(SUBSTITUTE(SUBSTITUTE(SUBSTITUTE(MID(L893,SEARCH("(",L893)+1,SEARCH(")",L893)-SEARCH("(",L893)-1),"$",""),",","")," ","")),0),0))</f>
        <v>0</v>
      </c>
    </row>
    <row r="894" spans="1:27">
      <c r="A894" s="76">
        <v>45922</v>
      </c>
      <c r="B894" s="77" t="s">
        <v>3304</v>
      </c>
      <c r="C894" s="77" t="s">
        <v>1268</v>
      </c>
      <c r="D894" s="77" t="s">
        <v>2109</v>
      </c>
      <c r="E894" s="77">
        <v>86327</v>
      </c>
      <c r="F894" s="77" t="s">
        <v>3305</v>
      </c>
      <c r="G894" s="77" t="s">
        <v>3281</v>
      </c>
      <c r="H894" s="77">
        <v>6736335990</v>
      </c>
      <c r="I894" s="77" t="s">
        <v>46</v>
      </c>
      <c r="J894" s="77" t="s">
        <v>37</v>
      </c>
      <c r="K894" s="77" t="s">
        <v>37</v>
      </c>
      <c r="L894" s="77" t="s">
        <v>1586</v>
      </c>
      <c r="M894" s="77" t="s">
        <v>37</v>
      </c>
      <c r="N894" s="77" t="s">
        <v>37</v>
      </c>
      <c r="O894" s="77" t="s">
        <v>38</v>
      </c>
      <c r="P894" s="77" t="s">
        <v>39</v>
      </c>
      <c r="Q894" s="76">
        <v>45960</v>
      </c>
      <c r="R894" s="77"/>
      <c r="S894" s="77"/>
      <c r="T894" s="77"/>
      <c r="U894" s="77"/>
      <c r="V894" s="78"/>
      <c r="W894" s="79"/>
      <c r="X894" s="78"/>
      <c r="Y894" s="78"/>
      <c r="Z894" s="78"/>
      <c r="AA894">
        <f>IF(COUNTIF('Call Queue'!$H$6:$H$20,V894)&gt;0,0,IF(AND(ISNUMBER(N894),N894&gt;0),10000000+N894,IF(ISNUMBER(N894*1),IF(N894*1&gt;0,10000000+N894*1,0),0))+IF(ISNUMBER(SEARCH("(",L894)),1000000+IFERROR(VALUE(SUBSTITUTE(SUBSTITUTE(SUBSTITUTE(MID(L894,SEARCH("(",L894)+1,SEARCH(")",L894)-SEARCH("(",L894)-1),"$",""),",","")," ","")),0),0))</f>
        <v>0</v>
      </c>
    </row>
    <row r="895" spans="1:27">
      <c r="A895" s="76">
        <v>45922</v>
      </c>
      <c r="B895" s="77" t="s">
        <v>3309</v>
      </c>
      <c r="C895" s="77" t="s">
        <v>3310</v>
      </c>
      <c r="D895" s="77" t="s">
        <v>112</v>
      </c>
      <c r="E895" s="77">
        <v>85379</v>
      </c>
      <c r="F895" s="77" t="s">
        <v>3311</v>
      </c>
      <c r="G895" s="77" t="s">
        <v>3281</v>
      </c>
      <c r="H895" s="77">
        <v>5392330000</v>
      </c>
      <c r="I895" s="77" t="s">
        <v>250</v>
      </c>
      <c r="J895" s="77" t="s">
        <v>37</v>
      </c>
      <c r="K895" s="77" t="s">
        <v>37</v>
      </c>
      <c r="L895" s="77" t="s">
        <v>38</v>
      </c>
      <c r="M895" s="77" t="s">
        <v>38</v>
      </c>
      <c r="N895" s="77">
        <v>309.36</v>
      </c>
      <c r="O895" s="77" t="s">
        <v>38</v>
      </c>
      <c r="P895" s="77" t="s">
        <v>39</v>
      </c>
      <c r="Q895" s="76">
        <v>45960</v>
      </c>
      <c r="R895" s="77"/>
      <c r="S895" s="77"/>
      <c r="T895" s="77"/>
      <c r="U895" s="77"/>
      <c r="V895" s="78" t="s">
        <v>5432</v>
      </c>
      <c r="W895" s="79">
        <v>46039</v>
      </c>
      <c r="X895" s="78" t="s">
        <v>37</v>
      </c>
      <c r="Y895" s="78"/>
      <c r="Z895" s="78" t="s">
        <v>5605</v>
      </c>
      <c r="AA895">
        <f>IF(COUNTIF('Call Queue'!$H$6:$H$20,V895)&gt;0,0,IF(AND(ISNUMBER(N895),N895&gt;0),10000000+N895,IF(ISNUMBER(N895*1),IF(N895*1&gt;0,10000000+N895*1,0),0))+IF(ISNUMBER(SEARCH("(",L895)),1000000+IFERROR(VALUE(SUBSTITUTE(SUBSTITUTE(SUBSTITUTE(MID(L895,SEARCH("(",L895)+1,SEARCH(")",L895)-SEARCH("(",L895)-1),"$",""),",","")," ","")),0),0))</f>
        <v>0</v>
      </c>
    </row>
    <row r="896" spans="1:27">
      <c r="A896" s="76">
        <v>45922</v>
      </c>
      <c r="B896" s="77" t="s">
        <v>2626</v>
      </c>
      <c r="C896" s="77" t="s">
        <v>117</v>
      </c>
      <c r="D896" s="77" t="s">
        <v>816</v>
      </c>
      <c r="E896" s="77">
        <v>86303</v>
      </c>
      <c r="F896" s="77" t="s">
        <v>3312</v>
      </c>
      <c r="G896" s="77" t="s">
        <v>3281</v>
      </c>
      <c r="H896" s="77">
        <v>5055918329</v>
      </c>
      <c r="I896" s="77" t="s">
        <v>73</v>
      </c>
      <c r="J896" s="77" t="s">
        <v>37</v>
      </c>
      <c r="K896" s="77" t="s">
        <v>37</v>
      </c>
      <c r="L896" s="77" t="s">
        <v>38</v>
      </c>
      <c r="M896" s="77" t="s">
        <v>37</v>
      </c>
      <c r="N896" s="77" t="s">
        <v>37</v>
      </c>
      <c r="O896" s="77" t="s">
        <v>38</v>
      </c>
      <c r="P896" s="77" t="s">
        <v>39</v>
      </c>
      <c r="Q896" s="76">
        <v>45960</v>
      </c>
      <c r="R896" s="77"/>
      <c r="S896" s="77"/>
      <c r="T896" s="77"/>
      <c r="U896" s="77"/>
      <c r="V896" s="78"/>
      <c r="W896" s="79"/>
      <c r="X896" s="78"/>
      <c r="Y896" s="78"/>
      <c r="Z896" s="78"/>
      <c r="AA896">
        <f>IF(COUNTIF('Call Queue'!$H$6:$H$20,V896)&gt;0,0,IF(AND(ISNUMBER(N896),N896&gt;0),10000000+N896,IF(ISNUMBER(N896*1),IF(N896*1&gt;0,10000000+N896*1,0),0))+IF(ISNUMBER(SEARCH("(",L896)),1000000+IFERROR(VALUE(SUBSTITUTE(SUBSTITUTE(SUBSTITUTE(MID(L896,SEARCH("(",L896)+1,SEARCH(")",L896)-SEARCH("(",L896)-1),"$",""),",","")," ","")),0),0))</f>
        <v>0</v>
      </c>
    </row>
    <row r="897" spans="1:27">
      <c r="A897" s="76">
        <v>45922</v>
      </c>
      <c r="B897" s="77" t="s">
        <v>3314</v>
      </c>
      <c r="C897" s="77" t="s">
        <v>1306</v>
      </c>
      <c r="D897" s="77" t="s">
        <v>174</v>
      </c>
      <c r="E897" s="77">
        <v>85326</v>
      </c>
      <c r="F897" s="77" t="s">
        <v>3315</v>
      </c>
      <c r="G897" s="77" t="s">
        <v>3281</v>
      </c>
      <c r="H897" s="77">
        <v>5085875679</v>
      </c>
      <c r="I897" s="77" t="s">
        <v>36</v>
      </c>
      <c r="J897" s="77" t="s">
        <v>37</v>
      </c>
      <c r="K897" s="77" t="s">
        <v>37</v>
      </c>
      <c r="L897" s="77" t="s">
        <v>38</v>
      </c>
      <c r="M897" s="77" t="s">
        <v>38</v>
      </c>
      <c r="N897" s="77">
        <v>1027.99</v>
      </c>
      <c r="O897" s="77" t="s">
        <v>38</v>
      </c>
      <c r="P897" s="77"/>
      <c r="Q897" s="76">
        <v>45960</v>
      </c>
      <c r="R897" s="77" t="s">
        <v>495</v>
      </c>
      <c r="S897" s="77"/>
      <c r="T897" s="77"/>
      <c r="U897" s="77"/>
      <c r="V897" s="78" t="s">
        <v>5432</v>
      </c>
      <c r="W897" s="79">
        <v>46039</v>
      </c>
      <c r="X897" s="78" t="s">
        <v>37</v>
      </c>
      <c r="Y897" s="78" t="s">
        <v>5441</v>
      </c>
      <c r="Z897" s="78" t="s">
        <v>5579</v>
      </c>
      <c r="AA897">
        <f>IF(COUNTIF('Call Queue'!$H$6:$H$20,V897)&gt;0,0,IF(AND(ISNUMBER(N897),N897&gt;0),10000000+N897,IF(ISNUMBER(N897*1),IF(N897*1&gt;0,10000000+N897*1,0),0))+IF(ISNUMBER(SEARCH("(",L897)),1000000+IFERROR(VALUE(SUBSTITUTE(SUBSTITUTE(SUBSTITUTE(MID(L897,SEARCH("(",L897)+1,SEARCH(")",L897)-SEARCH("(",L897)-1),"$",""),",","")," ","")),0),0))</f>
        <v>0</v>
      </c>
    </row>
    <row r="898" spans="1:27">
      <c r="A898" s="76">
        <v>45922</v>
      </c>
      <c r="B898" s="77" t="s">
        <v>3320</v>
      </c>
      <c r="C898" s="77" t="s">
        <v>3321</v>
      </c>
      <c r="D898" s="77" t="s">
        <v>112</v>
      </c>
      <c r="E898" s="77">
        <v>85387</v>
      </c>
      <c r="F898" s="77" t="s">
        <v>3322</v>
      </c>
      <c r="G898" s="77" t="s">
        <v>3281</v>
      </c>
      <c r="H898" s="77">
        <v>2553232071</v>
      </c>
      <c r="I898" s="77" t="s">
        <v>36</v>
      </c>
      <c r="J898" s="77" t="s">
        <v>37</v>
      </c>
      <c r="K898" s="77" t="s">
        <v>37</v>
      </c>
      <c r="L898" s="77" t="s">
        <v>38</v>
      </c>
      <c r="M898" s="77" t="s">
        <v>37</v>
      </c>
      <c r="N898" s="77" t="s">
        <v>37</v>
      </c>
      <c r="O898" s="77" t="s">
        <v>38</v>
      </c>
      <c r="P898" s="77" t="s">
        <v>39</v>
      </c>
      <c r="Q898" s="76">
        <v>45960</v>
      </c>
      <c r="R898" s="77"/>
      <c r="S898" s="77"/>
      <c r="T898" s="77"/>
      <c r="U898" s="77"/>
      <c r="V898" s="78"/>
      <c r="W898" s="79"/>
      <c r="X898" s="78"/>
      <c r="Y898" s="78"/>
      <c r="Z898" s="78"/>
      <c r="AA898">
        <f>IF(COUNTIF('Call Queue'!$H$6:$H$20,V898)&gt;0,0,IF(AND(ISNUMBER(N898),N898&gt;0),10000000+N898,IF(ISNUMBER(N898*1),IF(N898*1&gt;0,10000000+N898*1,0),0))+IF(ISNUMBER(SEARCH("(",L898)),1000000+IFERROR(VALUE(SUBSTITUTE(SUBSTITUTE(SUBSTITUTE(MID(L898,SEARCH("(",L898)+1,SEARCH(")",L898)-SEARCH("(",L898)-1),"$",""),",","")," ","")),0),0))</f>
        <v>0</v>
      </c>
    </row>
    <row r="899" spans="1:27">
      <c r="A899" s="76">
        <v>45922</v>
      </c>
      <c r="B899" s="77" t="s">
        <v>3327</v>
      </c>
      <c r="C899" s="77" t="s">
        <v>3328</v>
      </c>
      <c r="D899" s="77" t="s">
        <v>174</v>
      </c>
      <c r="E899" s="77">
        <v>85326</v>
      </c>
      <c r="F899" s="77" t="s">
        <v>3322</v>
      </c>
      <c r="G899" s="77" t="s">
        <v>3326</v>
      </c>
      <c r="H899" s="77">
        <v>2400731000</v>
      </c>
      <c r="I899" s="77" t="s">
        <v>36</v>
      </c>
      <c r="J899" s="77" t="s">
        <v>38</v>
      </c>
      <c r="K899" s="77" t="s">
        <v>37</v>
      </c>
      <c r="L899" s="77" t="s">
        <v>38</v>
      </c>
      <c r="M899" s="77" t="s">
        <v>38</v>
      </c>
      <c r="N899" s="77">
        <v>771.64</v>
      </c>
      <c r="O899" s="77" t="s">
        <v>38</v>
      </c>
      <c r="P899" s="77"/>
      <c r="Q899" s="76">
        <v>45960</v>
      </c>
      <c r="R899" s="77" t="s">
        <v>495</v>
      </c>
      <c r="S899" s="77"/>
      <c r="T899" s="77"/>
      <c r="U899" s="77"/>
      <c r="V899" s="78" t="s">
        <v>5432</v>
      </c>
      <c r="W899" s="79">
        <v>46039</v>
      </c>
      <c r="X899" s="78" t="s">
        <v>38</v>
      </c>
      <c r="Y899" s="78"/>
      <c r="Z899" s="78" t="s">
        <v>5606</v>
      </c>
      <c r="AA899">
        <f>IF(COUNTIF('Call Queue'!$H$6:$H$20,V899)&gt;0,0,IF(AND(ISNUMBER(N899),N899&gt;0),10000000+N899,IF(ISNUMBER(N899*1),IF(N899*1&gt;0,10000000+N899*1,0),0))+IF(ISNUMBER(SEARCH("(",L899)),1000000+IFERROR(VALUE(SUBSTITUTE(SUBSTITUTE(SUBSTITUTE(MID(L899,SEARCH("(",L899)+1,SEARCH(")",L899)-SEARCH("(",L899)-1),"$",""),",","")," ","")),0),0))</f>
        <v>0</v>
      </c>
    </row>
    <row r="900" spans="1:27">
      <c r="A900" s="76">
        <v>45922</v>
      </c>
      <c r="B900" s="77" t="s">
        <v>3330</v>
      </c>
      <c r="C900" s="77" t="s">
        <v>3331</v>
      </c>
      <c r="D900" s="77" t="s">
        <v>63</v>
      </c>
      <c r="E900" s="77">
        <v>85022</v>
      </c>
      <c r="F900" s="77" t="s">
        <v>3332</v>
      </c>
      <c r="G900" s="77" t="s">
        <v>3333</v>
      </c>
      <c r="H900" s="77">
        <v>4755350632</v>
      </c>
      <c r="I900" s="77" t="s">
        <v>126</v>
      </c>
      <c r="J900" s="77" t="s">
        <v>38</v>
      </c>
      <c r="K900" s="77" t="s">
        <v>37</v>
      </c>
      <c r="L900" s="77" t="s">
        <v>38</v>
      </c>
      <c r="M900" s="77" t="s">
        <v>37</v>
      </c>
      <c r="N900" s="77" t="s">
        <v>37</v>
      </c>
      <c r="O900" s="77" t="s">
        <v>38</v>
      </c>
      <c r="P900" s="77" t="s">
        <v>39</v>
      </c>
      <c r="Q900" s="76">
        <v>45960</v>
      </c>
      <c r="R900" s="77"/>
      <c r="S900" s="77"/>
      <c r="T900" s="77"/>
      <c r="U900" s="77"/>
      <c r="V900" s="78"/>
      <c r="W900" s="79"/>
      <c r="X900" s="78"/>
      <c r="Y900" s="78"/>
      <c r="Z900" s="78"/>
      <c r="AA900">
        <f>IF(COUNTIF('Call Queue'!$H$6:$H$20,V900)&gt;0,0,IF(AND(ISNUMBER(N900),N900&gt;0),10000000+N900,IF(ISNUMBER(N900*1),IF(N900*1&gt;0,10000000+N900*1,0),0))+IF(ISNUMBER(SEARCH("(",L900)),1000000+IFERROR(VALUE(SUBSTITUTE(SUBSTITUTE(SUBSTITUTE(MID(L900,SEARCH("(",L900)+1,SEARCH(")",L900)-SEARCH("(",L900)-1),"$",""),",","")," ","")),0),0))</f>
        <v>0</v>
      </c>
    </row>
    <row r="901" spans="1:27">
      <c r="A901" s="76">
        <v>45923</v>
      </c>
      <c r="B901" s="77" t="s">
        <v>3335</v>
      </c>
      <c r="C901" s="77" t="s">
        <v>3336</v>
      </c>
      <c r="D901" s="77" t="s">
        <v>174</v>
      </c>
      <c r="E901" s="77">
        <v>85326</v>
      </c>
      <c r="F901" s="77" t="s">
        <v>3337</v>
      </c>
      <c r="G901" s="77" t="s">
        <v>3326</v>
      </c>
      <c r="H901" s="77">
        <v>2792050000</v>
      </c>
      <c r="I901" s="77" t="s">
        <v>196</v>
      </c>
      <c r="J901" s="77" t="s">
        <v>37</v>
      </c>
      <c r="K901" s="77" t="s">
        <v>37</v>
      </c>
      <c r="L901" s="77" t="s">
        <v>3339</v>
      </c>
      <c r="M901" s="77" t="s">
        <v>37</v>
      </c>
      <c r="N901" s="77" t="s">
        <v>37</v>
      </c>
      <c r="O901" s="77" t="s">
        <v>38</v>
      </c>
      <c r="P901" s="77">
        <v>45940</v>
      </c>
      <c r="Q901" s="76">
        <v>45960</v>
      </c>
      <c r="R901" s="77" t="s">
        <v>3340</v>
      </c>
      <c r="S901" s="77"/>
      <c r="T901" s="77"/>
      <c r="U901" s="77"/>
      <c r="V901" s="78" t="s">
        <v>5432</v>
      </c>
      <c r="W901" s="79">
        <v>46053</v>
      </c>
      <c r="X901" s="78" t="s">
        <v>38</v>
      </c>
      <c r="Y901" s="78"/>
      <c r="Z901" s="78" t="s">
        <v>5555</v>
      </c>
      <c r="AA901">
        <f>IF(COUNTIF('Call Queue'!$H$6:$H$20,V901)&gt;0,0,IF(AND(ISNUMBER(N901),N901&gt;0),10000000+N901,IF(ISNUMBER(N901*1),IF(N901*1&gt;0,10000000+N901*1,0),0))+IF(ISNUMBER(SEARCH("(",L901)),1000000+IFERROR(VALUE(SUBSTITUTE(SUBSTITUTE(SUBSTITUTE(MID(L901,SEARCH("(",L901)+1,SEARCH(")",L901)-SEARCH("(",L901)-1),"$",""),",","")," ","")),0),0))</f>
        <v>0</v>
      </c>
    </row>
    <row r="902" spans="1:27">
      <c r="A902" s="76">
        <v>45923</v>
      </c>
      <c r="B902" s="77" t="s">
        <v>3341</v>
      </c>
      <c r="C902" s="77" t="s">
        <v>284</v>
      </c>
      <c r="D902" s="77" t="s">
        <v>174</v>
      </c>
      <c r="E902" s="77">
        <v>85326</v>
      </c>
      <c r="F902" s="77" t="s">
        <v>3342</v>
      </c>
      <c r="G902" s="77" t="s">
        <v>3326</v>
      </c>
      <c r="H902" s="77">
        <v>9713457751</v>
      </c>
      <c r="I902" s="77" t="s">
        <v>46</v>
      </c>
      <c r="J902" s="77" t="s">
        <v>37</v>
      </c>
      <c r="K902" s="77" t="s">
        <v>37</v>
      </c>
      <c r="L902" s="77" t="s">
        <v>38</v>
      </c>
      <c r="M902" s="77" t="s">
        <v>37</v>
      </c>
      <c r="N902" s="77" t="s">
        <v>37</v>
      </c>
      <c r="O902" s="77" t="s">
        <v>38</v>
      </c>
      <c r="P902" s="77" t="s">
        <v>39</v>
      </c>
      <c r="Q902" s="76">
        <v>45960</v>
      </c>
      <c r="R902" s="77"/>
      <c r="S902" s="77"/>
      <c r="T902" s="77"/>
      <c r="U902" s="77"/>
      <c r="V902" s="78"/>
      <c r="W902" s="79"/>
      <c r="X902" s="78"/>
      <c r="Y902" s="78"/>
      <c r="Z902" s="78"/>
      <c r="AA902">
        <f>IF(COUNTIF('Call Queue'!$H$6:$H$20,V902)&gt;0,0,IF(AND(ISNUMBER(N902),N902&gt;0),10000000+N902,IF(ISNUMBER(N902*1),IF(N902*1&gt;0,10000000+N902*1,0),0))+IF(ISNUMBER(SEARCH("(",L902)),1000000+IFERROR(VALUE(SUBSTITUTE(SUBSTITUTE(SUBSTITUTE(MID(L902,SEARCH("(",L902)+1,SEARCH(")",L902)-SEARCH("(",L902)-1),"$",""),",","")," ","")),0),0))</f>
        <v>0</v>
      </c>
    </row>
    <row r="903" spans="1:27">
      <c r="A903" s="76">
        <v>45923</v>
      </c>
      <c r="B903" s="77" t="s">
        <v>3346</v>
      </c>
      <c r="C903" s="77" t="s">
        <v>3347</v>
      </c>
      <c r="D903" s="77" t="s">
        <v>63</v>
      </c>
      <c r="E903" s="77">
        <v>85022</v>
      </c>
      <c r="F903" s="77" t="s">
        <v>3348</v>
      </c>
      <c r="G903" s="77" t="s">
        <v>3326</v>
      </c>
      <c r="H903" s="77" t="s">
        <v>3349</v>
      </c>
      <c r="I903" s="77" t="s">
        <v>36</v>
      </c>
      <c r="J903" s="77" t="s">
        <v>37</v>
      </c>
      <c r="K903" s="77" t="s">
        <v>37</v>
      </c>
      <c r="L903" s="77" t="s">
        <v>38</v>
      </c>
      <c r="M903" s="77" t="s">
        <v>38</v>
      </c>
      <c r="N903" s="77">
        <v>1080.4000000000001</v>
      </c>
      <c r="O903" s="77" t="s">
        <v>38</v>
      </c>
      <c r="P903" s="77"/>
      <c r="Q903" s="76">
        <v>45960</v>
      </c>
      <c r="R903" s="77" t="s">
        <v>495</v>
      </c>
      <c r="S903" s="77"/>
      <c r="T903" s="77"/>
      <c r="U903" s="77"/>
      <c r="V903" s="78" t="s">
        <v>5432</v>
      </c>
      <c r="W903" s="79">
        <v>46039</v>
      </c>
      <c r="X903" s="78" t="s">
        <v>37</v>
      </c>
      <c r="Y903" s="78" t="s">
        <v>5441</v>
      </c>
      <c r="Z903" s="78" t="s">
        <v>5607</v>
      </c>
      <c r="AA903">
        <f>IF(COUNTIF('Call Queue'!$H$6:$H$20,V903)&gt;0,0,IF(AND(ISNUMBER(N903),N903&gt;0),10000000+N903,IF(ISNUMBER(N903*1),IF(N903*1&gt;0,10000000+N903*1,0),0))+IF(ISNUMBER(SEARCH("(",L903)),1000000+IFERROR(VALUE(SUBSTITUTE(SUBSTITUTE(SUBSTITUTE(MID(L903,SEARCH("(",L903)+1,SEARCH(")",L903)-SEARCH("(",L903)-1),"$",""),",","")," ","")),0),0))</f>
        <v>0</v>
      </c>
    </row>
    <row r="904" spans="1:27">
      <c r="A904" s="76">
        <v>45923</v>
      </c>
      <c r="B904" s="77" t="s">
        <v>930</v>
      </c>
      <c r="C904" s="77" t="s">
        <v>263</v>
      </c>
      <c r="D904" s="77" t="s">
        <v>240</v>
      </c>
      <c r="E904" s="77">
        <v>85340</v>
      </c>
      <c r="F904" s="77" t="s">
        <v>3354</v>
      </c>
      <c r="G904" s="77" t="s">
        <v>3326</v>
      </c>
      <c r="H904" s="77">
        <v>2283931000</v>
      </c>
      <c r="I904" s="77" t="s">
        <v>36</v>
      </c>
      <c r="J904" s="77" t="s">
        <v>37</v>
      </c>
      <c r="K904" s="77" t="s">
        <v>37</v>
      </c>
      <c r="L904" s="77" t="s">
        <v>38</v>
      </c>
      <c r="M904" s="77" t="s">
        <v>37</v>
      </c>
      <c r="N904" s="77" t="s">
        <v>37</v>
      </c>
      <c r="O904" s="77" t="s">
        <v>38</v>
      </c>
      <c r="P904" s="77" t="s">
        <v>39</v>
      </c>
      <c r="Q904" s="76">
        <v>45960</v>
      </c>
      <c r="R904" s="77"/>
      <c r="S904" s="77"/>
      <c r="T904" s="77"/>
      <c r="U904" s="77"/>
      <c r="V904" s="78"/>
      <c r="W904" s="79"/>
      <c r="X904" s="78"/>
      <c r="Y904" s="78"/>
      <c r="Z904" s="78"/>
      <c r="AA904">
        <f>IF(COUNTIF('Call Queue'!$H$6:$H$20,V904)&gt;0,0,IF(AND(ISNUMBER(N904),N904&gt;0),10000000+N904,IF(ISNUMBER(N904*1),IF(N904*1&gt;0,10000000+N904*1,0),0))+IF(ISNUMBER(SEARCH("(",L904)),1000000+IFERROR(VALUE(SUBSTITUTE(SUBSTITUTE(SUBSTITUTE(MID(L904,SEARCH("(",L904)+1,SEARCH(")",L904)-SEARCH("(",L904)-1),"$",""),",","")," ","")),0),0))</f>
        <v>0</v>
      </c>
    </row>
    <row r="905" spans="1:27">
      <c r="A905" s="76">
        <v>45924</v>
      </c>
      <c r="B905" s="77" t="s">
        <v>3244</v>
      </c>
      <c r="C905" s="77" t="s">
        <v>3245</v>
      </c>
      <c r="D905" s="77" t="s">
        <v>63</v>
      </c>
      <c r="E905" s="77">
        <v>85013</v>
      </c>
      <c r="F905" s="77" t="s">
        <v>3356</v>
      </c>
      <c r="G905" s="77" t="s">
        <v>3357</v>
      </c>
      <c r="H905" s="77">
        <v>823076351</v>
      </c>
      <c r="I905" s="77" t="s">
        <v>36</v>
      </c>
      <c r="J905" s="77" t="s">
        <v>37</v>
      </c>
      <c r="K905" s="77" t="s">
        <v>37</v>
      </c>
      <c r="L905" s="77" t="s">
        <v>38</v>
      </c>
      <c r="M905" s="77" t="s">
        <v>37</v>
      </c>
      <c r="N905" s="77" t="s">
        <v>37</v>
      </c>
      <c r="O905" s="77" t="s">
        <v>38</v>
      </c>
      <c r="P905" s="77" t="s">
        <v>39</v>
      </c>
      <c r="Q905" s="76">
        <v>45960</v>
      </c>
      <c r="R905" s="77" t="s">
        <v>2565</v>
      </c>
      <c r="S905" s="77"/>
      <c r="T905" s="77"/>
      <c r="U905" s="77"/>
      <c r="V905" s="78"/>
      <c r="W905" s="79"/>
      <c r="X905" s="78"/>
      <c r="Y905" s="78"/>
      <c r="Z905" s="78"/>
      <c r="AA905">
        <f>IF(COUNTIF('Call Queue'!$H$6:$H$20,V905)&gt;0,0,IF(AND(ISNUMBER(N905),N905&gt;0),10000000+N905,IF(ISNUMBER(N905*1),IF(N905*1&gt;0,10000000+N905*1,0),0))+IF(ISNUMBER(SEARCH("(",L905)),1000000+IFERROR(VALUE(SUBSTITUTE(SUBSTITUTE(SUBSTITUTE(MID(L905,SEARCH("(",L905)+1,SEARCH(")",L905)-SEARCH("(",L905)-1),"$",""),",","")," ","")),0),0))</f>
        <v>0</v>
      </c>
    </row>
    <row r="906" spans="1:27">
      <c r="A906" s="76">
        <v>44098</v>
      </c>
      <c r="B906" s="77" t="s">
        <v>3359</v>
      </c>
      <c r="C906" s="77" t="s">
        <v>3360</v>
      </c>
      <c r="D906" s="77" t="s">
        <v>3361</v>
      </c>
      <c r="E906" s="77">
        <v>86322</v>
      </c>
      <c r="F906" s="77" t="s">
        <v>3362</v>
      </c>
      <c r="G906" s="77" t="s">
        <v>3357</v>
      </c>
      <c r="H906" s="77" t="s">
        <v>3363</v>
      </c>
      <c r="I906" s="77" t="s">
        <v>57</v>
      </c>
      <c r="J906" s="77" t="s">
        <v>37</v>
      </c>
      <c r="K906" s="77" t="s">
        <v>37</v>
      </c>
      <c r="L906" s="77" t="s">
        <v>3364</v>
      </c>
      <c r="M906" s="77" t="s">
        <v>37</v>
      </c>
      <c r="N906" s="77" t="s">
        <v>37</v>
      </c>
      <c r="O906" s="77" t="s">
        <v>38</v>
      </c>
      <c r="P906" s="77">
        <v>45940</v>
      </c>
      <c r="Q906" s="76">
        <v>45960</v>
      </c>
      <c r="R906" s="77" t="s">
        <v>3152</v>
      </c>
      <c r="S906" s="77"/>
      <c r="T906" s="77"/>
      <c r="U906" s="77"/>
      <c r="V906" s="78" t="s">
        <v>5432</v>
      </c>
      <c r="W906" s="79">
        <v>46039</v>
      </c>
      <c r="X906" s="78" t="s">
        <v>37</v>
      </c>
      <c r="Y906" s="78" t="s">
        <v>5442</v>
      </c>
      <c r="Z906" s="78" t="s">
        <v>5608</v>
      </c>
      <c r="AA906">
        <f>IF(COUNTIF('Call Queue'!$H$6:$H$20,V906)&gt;0,0,IF(AND(ISNUMBER(N906),N906&gt;0),10000000+N906,IF(ISNUMBER(N906*1),IF(N906*1&gt;0,10000000+N906*1,0),0))+IF(ISNUMBER(SEARCH("(",L906)),1000000+IFERROR(VALUE(SUBSTITUTE(SUBSTITUTE(SUBSTITUTE(MID(L906,SEARCH("(",L906)+1,SEARCH(")",L906)-SEARCH("(",L906)-1),"$",""),",","")," ","")),0),0))</f>
        <v>0</v>
      </c>
    </row>
    <row r="907" spans="1:27">
      <c r="A907" s="76">
        <v>45924</v>
      </c>
      <c r="B907" s="77" t="s">
        <v>3365</v>
      </c>
      <c r="C907" s="77" t="s">
        <v>3023</v>
      </c>
      <c r="D907" s="77" t="s">
        <v>112</v>
      </c>
      <c r="E907" s="77">
        <v>85387</v>
      </c>
      <c r="F907" s="77" t="s">
        <v>3366</v>
      </c>
      <c r="G907" s="77" t="s">
        <v>3357</v>
      </c>
      <c r="H907" s="77" t="s">
        <v>209</v>
      </c>
      <c r="I907" s="77"/>
      <c r="J907" s="77"/>
      <c r="K907" s="77"/>
      <c r="L907" s="77"/>
      <c r="M907" s="77"/>
      <c r="N907" s="77"/>
      <c r="O907" s="77"/>
      <c r="P907" s="77"/>
      <c r="Q907" s="76"/>
      <c r="R907" s="77"/>
      <c r="S907" s="77"/>
      <c r="T907" s="77"/>
      <c r="U907" s="77"/>
      <c r="V907" s="78"/>
      <c r="W907" s="79"/>
      <c r="X907" s="78"/>
      <c r="Y907" s="78"/>
      <c r="Z907" s="78"/>
      <c r="AA907">
        <f>IF(COUNTIF('Call Queue'!$H$6:$H$20,V907)&gt;0,0,IF(AND(ISNUMBER(N907),N907&gt;0),10000000+N907,IF(ISNUMBER(N907*1),IF(N907*1&gt;0,10000000+N907*1,0),0))+IF(ISNUMBER(SEARCH("(",L907)),1000000+IFERROR(VALUE(SUBSTITUTE(SUBSTITUTE(SUBSTITUTE(MID(L907,SEARCH("(",L907)+1,SEARCH(")",L907)-SEARCH("(",L907)-1),"$",""),",","")," ","")),0),0))</f>
        <v>0</v>
      </c>
    </row>
    <row r="908" spans="1:27">
      <c r="A908" s="76">
        <v>45925</v>
      </c>
      <c r="B908" s="77" t="s">
        <v>3367</v>
      </c>
      <c r="C908" s="77" t="s">
        <v>135</v>
      </c>
      <c r="D908" s="77" t="s">
        <v>264</v>
      </c>
      <c r="E908" s="77">
        <v>85541</v>
      </c>
      <c r="F908" s="77" t="s">
        <v>3368</v>
      </c>
      <c r="G908" s="77" t="s">
        <v>3357</v>
      </c>
      <c r="H908" s="77">
        <v>7423629431</v>
      </c>
      <c r="I908" s="77" t="s">
        <v>73</v>
      </c>
      <c r="J908" s="77" t="s">
        <v>37</v>
      </c>
      <c r="K908" s="77" t="s">
        <v>37</v>
      </c>
      <c r="L908" s="77" t="s">
        <v>38</v>
      </c>
      <c r="M908" s="77" t="s">
        <v>37</v>
      </c>
      <c r="N908" s="77" t="s">
        <v>37</v>
      </c>
      <c r="O908" s="77" t="s">
        <v>38</v>
      </c>
      <c r="P908" s="77" t="s">
        <v>39</v>
      </c>
      <c r="Q908" s="76">
        <v>45960</v>
      </c>
      <c r="R908" s="77"/>
      <c r="S908" s="77"/>
      <c r="T908" s="77"/>
      <c r="U908" s="77"/>
      <c r="V908" s="78" t="s">
        <v>5432</v>
      </c>
      <c r="W908" s="79">
        <v>46074</v>
      </c>
      <c r="X908" s="78" t="s">
        <v>38</v>
      </c>
      <c r="Y908" s="78"/>
      <c r="Z908" s="78" t="s">
        <v>5458</v>
      </c>
      <c r="AA908">
        <f>IF(COUNTIF('Call Queue'!$H$6:$H$20,V908)&gt;0,0,IF(AND(ISNUMBER(N908),N908&gt;0),10000000+N908,IF(ISNUMBER(N908*1),IF(N908*1&gt;0,10000000+N908*1,0),0))+IF(ISNUMBER(SEARCH("(",L908)),1000000+IFERROR(VALUE(SUBSTITUTE(SUBSTITUTE(SUBSTITUTE(MID(L908,SEARCH("(",L908)+1,SEARCH(")",L908)-SEARCH("(",L908)-1),"$",""),",","")," ","")),0),0))</f>
        <v>0</v>
      </c>
    </row>
    <row r="909" spans="1:27">
      <c r="A909" s="76">
        <v>45925</v>
      </c>
      <c r="B909" s="77" t="s">
        <v>3370</v>
      </c>
      <c r="C909" s="77" t="s">
        <v>145</v>
      </c>
      <c r="D909" s="77" t="s">
        <v>63</v>
      </c>
      <c r="E909" s="77">
        <v>85032</v>
      </c>
      <c r="F909" s="77" t="s">
        <v>3371</v>
      </c>
      <c r="G909" s="77" t="s">
        <v>3357</v>
      </c>
      <c r="H909" s="77">
        <v>2644830000</v>
      </c>
      <c r="I909" s="77" t="s">
        <v>1684</v>
      </c>
      <c r="J909" s="77" t="s">
        <v>37</v>
      </c>
      <c r="K909" s="77" t="s">
        <v>37</v>
      </c>
      <c r="L909" s="77" t="s">
        <v>38</v>
      </c>
      <c r="M909" s="77" t="s">
        <v>37</v>
      </c>
      <c r="N909" s="77" t="s">
        <v>37</v>
      </c>
      <c r="O909" s="77" t="s">
        <v>38</v>
      </c>
      <c r="P909" s="77" t="s">
        <v>39</v>
      </c>
      <c r="Q909" s="76">
        <v>45960</v>
      </c>
      <c r="R909" s="77" t="s">
        <v>3373</v>
      </c>
      <c r="S909" s="77"/>
      <c r="T909" s="77"/>
      <c r="U909" s="77"/>
      <c r="V909" s="78"/>
      <c r="W909" s="79"/>
      <c r="X909" s="78"/>
      <c r="Y909" s="78"/>
      <c r="Z909" s="78"/>
      <c r="AA909">
        <f>IF(COUNTIF('Call Queue'!$H$6:$H$20,V909)&gt;0,0,IF(AND(ISNUMBER(N909),N909&gt;0),10000000+N909,IF(ISNUMBER(N909*1),IF(N909*1&gt;0,10000000+N909*1,0),0))+IF(ISNUMBER(SEARCH("(",L909)),1000000+IFERROR(VALUE(SUBSTITUTE(SUBSTITUTE(SUBSTITUTE(MID(L909,SEARCH("(",L909)+1,SEARCH(")",L909)-SEARCH("(",L909)-1),"$",""),",","")," ","")),0),0))</f>
        <v>0</v>
      </c>
    </row>
    <row r="910" spans="1:27">
      <c r="A910" s="76">
        <v>45925</v>
      </c>
      <c r="B910" s="77" t="s">
        <v>3374</v>
      </c>
      <c r="C910" s="77" t="s">
        <v>597</v>
      </c>
      <c r="D910" s="77" t="s">
        <v>816</v>
      </c>
      <c r="E910" s="77">
        <v>86301</v>
      </c>
      <c r="F910" s="77" t="s">
        <v>3375</v>
      </c>
      <c r="G910" s="77" t="s">
        <v>3357</v>
      </c>
      <c r="H910" s="77" t="s">
        <v>3376</v>
      </c>
      <c r="I910" s="77" t="s">
        <v>46</v>
      </c>
      <c r="J910" s="77" t="s">
        <v>37</v>
      </c>
      <c r="K910" s="77" t="s">
        <v>37</v>
      </c>
      <c r="L910" s="77" t="s">
        <v>38</v>
      </c>
      <c r="M910" s="77" t="s">
        <v>37</v>
      </c>
      <c r="N910" s="77" t="s">
        <v>37</v>
      </c>
      <c r="O910" s="77" t="s">
        <v>38</v>
      </c>
      <c r="P910" s="77" t="s">
        <v>39</v>
      </c>
      <c r="Q910" s="76">
        <v>45960</v>
      </c>
      <c r="R910" s="77"/>
      <c r="S910" s="77"/>
      <c r="T910" s="77"/>
      <c r="U910" s="77"/>
      <c r="V910" s="78" t="s">
        <v>5432</v>
      </c>
      <c r="W910" s="79">
        <v>46074</v>
      </c>
      <c r="X910" s="78" t="s">
        <v>37</v>
      </c>
      <c r="Y910" s="78" t="s">
        <v>5442</v>
      </c>
      <c r="Z910" s="78" t="s">
        <v>5475</v>
      </c>
      <c r="AA910">
        <f>IF(COUNTIF('Call Queue'!$H$6:$H$20,V910)&gt;0,0,IF(AND(ISNUMBER(N910),N910&gt;0),10000000+N910,IF(ISNUMBER(N910*1),IF(N910*1&gt;0,10000000+N910*1,0),0))+IF(ISNUMBER(SEARCH("(",L910)),1000000+IFERROR(VALUE(SUBSTITUTE(SUBSTITUTE(SUBSTITUTE(MID(L910,SEARCH("(",L910)+1,SEARCH(")",L910)-SEARCH("(",L910)-1),"$",""),",","")," ","")),0),0))</f>
        <v>0</v>
      </c>
    </row>
    <row r="911" spans="1:27">
      <c r="A911" s="76">
        <v>45926</v>
      </c>
      <c r="B911" s="77" t="s">
        <v>3377</v>
      </c>
      <c r="C911" s="77" t="s">
        <v>437</v>
      </c>
      <c r="D911" s="77" t="s">
        <v>85</v>
      </c>
      <c r="E911" s="77">
        <v>86323</v>
      </c>
      <c r="F911" s="77" t="s">
        <v>3378</v>
      </c>
      <c r="G911" s="77" t="s">
        <v>3379</v>
      </c>
      <c r="H911" s="77">
        <v>6292353892</v>
      </c>
      <c r="I911" s="77" t="s">
        <v>126</v>
      </c>
      <c r="J911" s="77" t="s">
        <v>37</v>
      </c>
      <c r="K911" s="77" t="s">
        <v>37</v>
      </c>
      <c r="L911" s="77" t="s">
        <v>38</v>
      </c>
      <c r="M911" s="77" t="s">
        <v>37</v>
      </c>
      <c r="N911" s="77" t="s">
        <v>37</v>
      </c>
      <c r="O911" s="77" t="s">
        <v>38</v>
      </c>
      <c r="P911" s="77" t="s">
        <v>39</v>
      </c>
      <c r="Q911" s="76">
        <v>45960</v>
      </c>
      <c r="R911" s="77"/>
      <c r="S911" s="77"/>
      <c r="T911" s="77"/>
      <c r="U911" s="77"/>
      <c r="V911" s="78"/>
      <c r="W911" s="79"/>
      <c r="X911" s="78"/>
      <c r="Y911" s="78"/>
      <c r="Z911" s="78"/>
      <c r="AA911">
        <f>IF(COUNTIF('Call Queue'!$H$6:$H$20,V911)&gt;0,0,IF(AND(ISNUMBER(N911),N911&gt;0),10000000+N911,IF(ISNUMBER(N911*1),IF(N911*1&gt;0,10000000+N911*1,0),0))+IF(ISNUMBER(SEARCH("(",L911)),1000000+IFERROR(VALUE(SUBSTITUTE(SUBSTITUTE(SUBSTITUTE(MID(L911,SEARCH("(",L911)+1,SEARCH(")",L911)-SEARCH("(",L911)-1),"$",""),",","")," ","")),0),0))</f>
        <v>0</v>
      </c>
    </row>
    <row r="912" spans="1:27">
      <c r="A912" s="76">
        <v>45926</v>
      </c>
      <c r="B912" s="77" t="s">
        <v>3383</v>
      </c>
      <c r="C912" s="77" t="s">
        <v>1755</v>
      </c>
      <c r="D912" s="77" t="s">
        <v>240</v>
      </c>
      <c r="E912" s="77">
        <v>85340</v>
      </c>
      <c r="F912" s="77" t="s">
        <v>3384</v>
      </c>
      <c r="G912" s="77" t="s">
        <v>3379</v>
      </c>
      <c r="H912" s="77">
        <v>9126001412</v>
      </c>
      <c r="I912" s="77" t="s">
        <v>36</v>
      </c>
      <c r="J912" s="77" t="s">
        <v>37</v>
      </c>
      <c r="K912" s="77" t="s">
        <v>37</v>
      </c>
      <c r="L912" s="77" t="s">
        <v>38</v>
      </c>
      <c r="M912" s="77" t="s">
        <v>37</v>
      </c>
      <c r="N912" s="77" t="s">
        <v>37</v>
      </c>
      <c r="O912" s="77" t="s">
        <v>38</v>
      </c>
      <c r="P912" s="77" t="s">
        <v>39</v>
      </c>
      <c r="Q912" s="76">
        <v>45960</v>
      </c>
      <c r="R912" s="77"/>
      <c r="S912" s="77"/>
      <c r="T912" s="77"/>
      <c r="U912" s="77"/>
      <c r="V912" s="78" t="s">
        <v>5432</v>
      </c>
      <c r="W912" s="79">
        <v>46074</v>
      </c>
      <c r="X912" s="78" t="s">
        <v>38</v>
      </c>
      <c r="Y912" s="78"/>
      <c r="Z912" s="78" t="s">
        <v>5458</v>
      </c>
      <c r="AA912">
        <f>IF(COUNTIF('Call Queue'!$H$6:$H$20,V912)&gt;0,0,IF(AND(ISNUMBER(N912),N912&gt;0),10000000+N912,IF(ISNUMBER(N912*1),IF(N912*1&gt;0,10000000+N912*1,0),0))+IF(ISNUMBER(SEARCH("(",L912)),1000000+IFERROR(VALUE(SUBSTITUTE(SUBSTITUTE(SUBSTITUTE(MID(L912,SEARCH("(",L912)+1,SEARCH(")",L912)-SEARCH("(",L912)-1),"$",""),",","")," ","")),0),0))</f>
        <v>0</v>
      </c>
    </row>
    <row r="913" spans="1:27">
      <c r="A913" s="76">
        <v>45927</v>
      </c>
      <c r="B913" s="77" t="s">
        <v>2404</v>
      </c>
      <c r="C913" s="77" t="s">
        <v>3006</v>
      </c>
      <c r="D913" s="77" t="s">
        <v>24</v>
      </c>
      <c r="E913" s="77">
        <v>85308</v>
      </c>
      <c r="F913" s="77" t="s">
        <v>3386</v>
      </c>
      <c r="G913" s="77" t="s">
        <v>3387</v>
      </c>
      <c r="H913" s="77" t="s">
        <v>209</v>
      </c>
      <c r="I913" s="77"/>
      <c r="J913" s="77"/>
      <c r="K913" s="77"/>
      <c r="L913" s="77"/>
      <c r="M913" s="77"/>
      <c r="N913" s="77"/>
      <c r="O913" s="77"/>
      <c r="P913" s="77"/>
      <c r="Q913" s="76"/>
      <c r="R913" s="77"/>
      <c r="S913" s="77"/>
      <c r="T913" s="77"/>
      <c r="U913" s="77"/>
      <c r="V913" s="78"/>
      <c r="W913" s="79"/>
      <c r="X913" s="78"/>
      <c r="Y913" s="78"/>
      <c r="Z913" s="78"/>
      <c r="AA913">
        <f>IF(COUNTIF('Call Queue'!$H$6:$H$20,V913)&gt;0,0,IF(AND(ISNUMBER(N913),N913&gt;0),10000000+N913,IF(ISNUMBER(N913*1),IF(N913*1&gt;0,10000000+N913*1,0),0))+IF(ISNUMBER(SEARCH("(",L913)),1000000+IFERROR(VALUE(SUBSTITUTE(SUBSTITUTE(SUBSTITUTE(MID(L913,SEARCH("(",L913)+1,SEARCH(")",L913)-SEARCH("(",L913)-1),"$",""),",","")," ","")),0),0))</f>
        <v>0</v>
      </c>
    </row>
    <row r="914" spans="1:27">
      <c r="A914" s="76">
        <v>45928</v>
      </c>
      <c r="B914" s="77" t="s">
        <v>3388</v>
      </c>
      <c r="C914" s="77" t="s">
        <v>556</v>
      </c>
      <c r="D914" s="77" t="s">
        <v>619</v>
      </c>
      <c r="E914" s="77">
        <v>85367</v>
      </c>
      <c r="F914" s="77" t="s">
        <v>3389</v>
      </c>
      <c r="G914" s="77" t="s">
        <v>3387</v>
      </c>
      <c r="H914" s="77">
        <v>4246694688</v>
      </c>
      <c r="I914" s="77" t="s">
        <v>36</v>
      </c>
      <c r="J914" s="77" t="s">
        <v>37</v>
      </c>
      <c r="K914" s="77" t="s">
        <v>37</v>
      </c>
      <c r="L914" s="77" t="s">
        <v>38</v>
      </c>
      <c r="M914" s="77" t="s">
        <v>37</v>
      </c>
      <c r="N914" s="77" t="s">
        <v>37</v>
      </c>
      <c r="O914" s="77" t="s">
        <v>38</v>
      </c>
      <c r="P914" s="77" t="s">
        <v>39</v>
      </c>
      <c r="Q914" s="76">
        <v>45960</v>
      </c>
      <c r="R914" s="77"/>
      <c r="S914" s="77"/>
      <c r="T914" s="77"/>
      <c r="U914" s="77"/>
      <c r="V914" s="78"/>
      <c r="W914" s="79"/>
      <c r="X914" s="78"/>
      <c r="Y914" s="78"/>
      <c r="Z914" s="78"/>
      <c r="AA914">
        <f>IF(COUNTIF('Call Queue'!$H$6:$H$20,V914)&gt;0,0,IF(AND(ISNUMBER(N914),N914&gt;0),10000000+N914,IF(ISNUMBER(N914*1),IF(N914*1&gt;0,10000000+N914*1,0),0))+IF(ISNUMBER(SEARCH("(",L914)),1000000+IFERROR(VALUE(SUBSTITUTE(SUBSTITUTE(SUBSTITUTE(MID(L914,SEARCH("(",L914)+1,SEARCH(")",L914)-SEARCH("(",L914)-1),"$",""),",","")," ","")),0),0))</f>
        <v>0</v>
      </c>
    </row>
    <row r="915" spans="1:27">
      <c r="A915" s="76">
        <v>45928</v>
      </c>
      <c r="B915" s="77" t="s">
        <v>3391</v>
      </c>
      <c r="C915" s="77" t="s">
        <v>3392</v>
      </c>
      <c r="D915" s="77" t="s">
        <v>24</v>
      </c>
      <c r="E915" s="77">
        <v>85310</v>
      </c>
      <c r="F915" s="77" t="s">
        <v>3393</v>
      </c>
      <c r="G915" s="77" t="s">
        <v>3387</v>
      </c>
      <c r="H915" s="77">
        <v>7304972242</v>
      </c>
      <c r="I915" s="77" t="s">
        <v>541</v>
      </c>
      <c r="J915" s="77" t="s">
        <v>37</v>
      </c>
      <c r="K915" s="77" t="s">
        <v>37</v>
      </c>
      <c r="L915" s="77" t="s">
        <v>389</v>
      </c>
      <c r="M915" s="77" t="s">
        <v>38</v>
      </c>
      <c r="N915" s="77">
        <v>368.4</v>
      </c>
      <c r="O915" s="77" t="s">
        <v>38</v>
      </c>
      <c r="P915" s="77" t="s">
        <v>39</v>
      </c>
      <c r="Q915" s="76">
        <v>45960</v>
      </c>
      <c r="R915" s="77"/>
      <c r="S915" s="77"/>
      <c r="T915" s="77"/>
      <c r="U915" s="77"/>
      <c r="V915" s="78" t="s">
        <v>5432</v>
      </c>
      <c r="W915" s="79">
        <v>46039</v>
      </c>
      <c r="X915" s="78" t="s">
        <v>38</v>
      </c>
      <c r="Y915" s="78"/>
      <c r="Z915" s="78" t="s">
        <v>5609</v>
      </c>
      <c r="AA915">
        <f>IF(COUNTIF('Call Queue'!$H$6:$H$20,V915)&gt;0,0,IF(AND(ISNUMBER(N915),N915&gt;0),10000000+N915,IF(ISNUMBER(N915*1),IF(N915*1&gt;0,10000000+N915*1,0),0))+IF(ISNUMBER(SEARCH("(",L915)),1000000+IFERROR(VALUE(SUBSTITUTE(SUBSTITUTE(SUBSTITUTE(MID(L915,SEARCH("(",L915)+1,SEARCH(")",L915)-SEARCH("(",L915)-1),"$",""),",","")," ","")),0),0))</f>
        <v>0</v>
      </c>
    </row>
    <row r="916" spans="1:27">
      <c r="A916" s="76">
        <v>45929</v>
      </c>
      <c r="B916" s="77" t="s">
        <v>3397</v>
      </c>
      <c r="C916" s="77" t="s">
        <v>3398</v>
      </c>
      <c r="D916" s="77" t="s">
        <v>63</v>
      </c>
      <c r="E916" s="77">
        <v>85050</v>
      </c>
      <c r="F916" s="77" t="s">
        <v>3399</v>
      </c>
      <c r="G916" s="77" t="s">
        <v>3387</v>
      </c>
      <c r="H916" s="77" t="s">
        <v>3400</v>
      </c>
      <c r="I916" s="77" t="s">
        <v>36</v>
      </c>
      <c r="J916" s="77" t="s">
        <v>37</v>
      </c>
      <c r="K916" s="77" t="s">
        <v>37</v>
      </c>
      <c r="L916" s="77" t="s">
        <v>38</v>
      </c>
      <c r="M916" s="77" t="s">
        <v>37</v>
      </c>
      <c r="N916" s="77" t="s">
        <v>37</v>
      </c>
      <c r="O916" s="77" t="s">
        <v>38</v>
      </c>
      <c r="P916" s="77" t="s">
        <v>39</v>
      </c>
      <c r="Q916" s="76">
        <v>45960</v>
      </c>
      <c r="R916" s="77"/>
      <c r="S916" s="77"/>
      <c r="T916" s="77"/>
      <c r="U916" s="77"/>
      <c r="V916" s="78"/>
      <c r="W916" s="79"/>
      <c r="X916" s="78"/>
      <c r="Y916" s="78"/>
      <c r="Z916" s="78"/>
      <c r="AA916">
        <f>IF(COUNTIF('Call Queue'!$H$6:$H$20,V916)&gt;0,0,IF(AND(ISNUMBER(N916),N916&gt;0),10000000+N916,IF(ISNUMBER(N916*1),IF(N916*1&gt;0,10000000+N916*1,0),0))+IF(ISNUMBER(SEARCH("(",L916)),1000000+IFERROR(VALUE(SUBSTITUTE(SUBSTITUTE(SUBSTITUTE(MID(L916,SEARCH("(",L916)+1,SEARCH(")",L916)-SEARCH("(",L916)-1),"$",""),",","")," ","")),0),0))</f>
        <v>0</v>
      </c>
    </row>
    <row r="917" spans="1:27">
      <c r="A917" s="76">
        <v>45930</v>
      </c>
      <c r="B917" s="77" t="s">
        <v>3401</v>
      </c>
      <c r="C917" s="77" t="s">
        <v>3402</v>
      </c>
      <c r="D917" s="77" t="s">
        <v>112</v>
      </c>
      <c r="E917" s="77">
        <v>85379</v>
      </c>
      <c r="F917" s="77" t="s">
        <v>3403</v>
      </c>
      <c r="G917" s="77" t="s">
        <v>3404</v>
      </c>
      <c r="H917" s="77" t="s">
        <v>719</v>
      </c>
      <c r="I917" s="77" t="s">
        <v>243</v>
      </c>
      <c r="J917" s="77" t="s">
        <v>37</v>
      </c>
      <c r="K917" s="77" t="s">
        <v>37</v>
      </c>
      <c r="L917" s="77" t="s">
        <v>389</v>
      </c>
      <c r="M917" s="77" t="s">
        <v>37</v>
      </c>
      <c r="N917" s="77" t="s">
        <v>37</v>
      </c>
      <c r="O917" s="77" t="s">
        <v>38</v>
      </c>
      <c r="P917" s="77" t="s">
        <v>39</v>
      </c>
      <c r="Q917" s="76">
        <v>45960</v>
      </c>
      <c r="R917" s="77"/>
      <c r="S917" s="77"/>
      <c r="T917" s="77"/>
      <c r="U917" s="77"/>
      <c r="V917" s="78"/>
      <c r="W917" s="79"/>
      <c r="X917" s="78"/>
      <c r="Y917" s="78"/>
      <c r="Z917" s="78"/>
      <c r="AA917">
        <f>IF(COUNTIF('Call Queue'!$H$6:$H$20,V917)&gt;0,0,IF(AND(ISNUMBER(N917),N917&gt;0),10000000+N917,IF(ISNUMBER(N917*1),IF(N917*1&gt;0,10000000+N917*1,0),0))+IF(ISNUMBER(SEARCH("(",L917)),1000000+IFERROR(VALUE(SUBSTITUTE(SUBSTITUTE(SUBSTITUTE(MID(L917,SEARCH("(",L917)+1,SEARCH(")",L917)-SEARCH("(",L917)-1),"$",""),",","")," ","")),0),0))</f>
        <v>0</v>
      </c>
    </row>
    <row r="918" spans="1:27">
      <c r="A918" s="76">
        <v>45930</v>
      </c>
      <c r="B918" s="77" t="s">
        <v>3405</v>
      </c>
      <c r="C918" s="77" t="s">
        <v>1093</v>
      </c>
      <c r="D918" s="77" t="s">
        <v>125</v>
      </c>
      <c r="E918" s="77">
        <v>85266</v>
      </c>
      <c r="F918" s="77" t="s">
        <v>3406</v>
      </c>
      <c r="G918" s="77" t="s">
        <v>3404</v>
      </c>
      <c r="H918" s="77">
        <v>1816340000</v>
      </c>
      <c r="I918" s="77" t="s">
        <v>36</v>
      </c>
      <c r="J918" s="77" t="s">
        <v>37</v>
      </c>
      <c r="K918" s="77" t="s">
        <v>37</v>
      </c>
      <c r="L918" s="77" t="s">
        <v>38</v>
      </c>
      <c r="M918" s="77" t="s">
        <v>37</v>
      </c>
      <c r="N918" s="77" t="s">
        <v>37</v>
      </c>
      <c r="O918" s="77" t="s">
        <v>38</v>
      </c>
      <c r="P918" s="77" t="s">
        <v>39</v>
      </c>
      <c r="Q918" s="76">
        <v>45960</v>
      </c>
      <c r="R918" s="77"/>
      <c r="S918" s="77"/>
      <c r="T918" s="77"/>
      <c r="U918" s="77"/>
      <c r="V918" s="78" t="s">
        <v>5432</v>
      </c>
      <c r="W918" s="79">
        <v>46074</v>
      </c>
      <c r="X918" s="78" t="s">
        <v>38</v>
      </c>
      <c r="Y918" s="78"/>
      <c r="Z918" s="78" t="s">
        <v>5458</v>
      </c>
      <c r="AA918">
        <f>IF(COUNTIF('Call Queue'!$H$6:$H$20,V918)&gt;0,0,IF(AND(ISNUMBER(N918),N918&gt;0),10000000+N918,IF(ISNUMBER(N918*1),IF(N918*1&gt;0,10000000+N918*1,0),0))+IF(ISNUMBER(SEARCH("(",L918)),1000000+IFERROR(VALUE(SUBSTITUTE(SUBSTITUTE(SUBSTITUTE(MID(L918,SEARCH("(",L918)+1,SEARCH(")",L918)-SEARCH("(",L918)-1),"$",""),",","")," ","")),0),0))</f>
        <v>0</v>
      </c>
    </row>
    <row r="919" spans="1:27">
      <c r="A919" s="76">
        <v>45930</v>
      </c>
      <c r="B919" s="77" t="s">
        <v>1271</v>
      </c>
      <c r="C919" s="77" t="s">
        <v>124</v>
      </c>
      <c r="D919" s="77" t="s">
        <v>93</v>
      </c>
      <c r="E919" s="77">
        <v>85351</v>
      </c>
      <c r="F919" s="77" t="s">
        <v>3408</v>
      </c>
      <c r="G919" s="77" t="s">
        <v>3404</v>
      </c>
      <c r="H919" s="77">
        <v>2786739945</v>
      </c>
      <c r="I919" s="77" t="s">
        <v>250</v>
      </c>
      <c r="J919" s="77" t="s">
        <v>37</v>
      </c>
      <c r="K919" s="77" t="s">
        <v>37</v>
      </c>
      <c r="L919" s="77" t="s">
        <v>38</v>
      </c>
      <c r="M919" s="77" t="s">
        <v>37</v>
      </c>
      <c r="N919" s="77" t="s">
        <v>37</v>
      </c>
      <c r="O919" s="77" t="s">
        <v>38</v>
      </c>
      <c r="P919" s="77" t="s">
        <v>39</v>
      </c>
      <c r="Q919" s="76">
        <v>45960</v>
      </c>
      <c r="R919" s="77" t="s">
        <v>3410</v>
      </c>
      <c r="S919" s="77"/>
      <c r="T919" s="77"/>
      <c r="U919" s="77"/>
      <c r="V919" s="78"/>
      <c r="W919" s="79"/>
      <c r="X919" s="78"/>
      <c r="Y919" s="78"/>
      <c r="Z919" s="78"/>
      <c r="AA919">
        <f>IF(COUNTIF('Call Queue'!$H$6:$H$20,V919)&gt;0,0,IF(AND(ISNUMBER(N919),N919&gt;0),10000000+N919,IF(ISNUMBER(N919*1),IF(N919*1&gt;0,10000000+N919*1,0),0))+IF(ISNUMBER(SEARCH("(",L919)),1000000+IFERROR(VALUE(SUBSTITUTE(SUBSTITUTE(SUBSTITUTE(MID(L919,SEARCH("(",L919)+1,SEARCH(")",L919)-SEARCH("(",L919)-1),"$",""),",","")," ","")),0),0))</f>
        <v>0</v>
      </c>
    </row>
    <row r="920" spans="1:27">
      <c r="A920" s="76">
        <v>45930</v>
      </c>
      <c r="B920" s="77" t="s">
        <v>3411</v>
      </c>
      <c r="C920" s="77" t="s">
        <v>284</v>
      </c>
      <c r="D920" s="77" t="s">
        <v>2109</v>
      </c>
      <c r="E920" s="77">
        <v>86327</v>
      </c>
      <c r="F920" s="77" t="s">
        <v>3412</v>
      </c>
      <c r="G920" s="77" t="s">
        <v>3404</v>
      </c>
      <c r="H920" s="77">
        <v>4078611000</v>
      </c>
      <c r="I920" s="77" t="s">
        <v>73</v>
      </c>
      <c r="J920" s="77" t="s">
        <v>37</v>
      </c>
      <c r="K920" s="77" t="s">
        <v>37</v>
      </c>
      <c r="L920" s="77" t="s">
        <v>3414</v>
      </c>
      <c r="M920" s="77" t="s">
        <v>37</v>
      </c>
      <c r="N920" s="77" t="s">
        <v>37</v>
      </c>
      <c r="O920" s="77" t="s">
        <v>38</v>
      </c>
      <c r="P920" s="77" t="s">
        <v>39</v>
      </c>
      <c r="Q920" s="76">
        <v>45960</v>
      </c>
      <c r="R920" s="77" t="s">
        <v>3415</v>
      </c>
      <c r="S920" s="77"/>
      <c r="T920" s="77"/>
      <c r="U920" s="77"/>
      <c r="V920" s="78" t="s">
        <v>5432</v>
      </c>
      <c r="W920" s="79">
        <v>46053</v>
      </c>
      <c r="X920" s="78" t="s">
        <v>38</v>
      </c>
      <c r="Y920" s="78"/>
      <c r="Z920" s="78" t="s">
        <v>5555</v>
      </c>
      <c r="AA920">
        <f>IF(COUNTIF('Call Queue'!$H$6:$H$20,V920)&gt;0,0,IF(AND(ISNUMBER(N920),N920&gt;0),10000000+N920,IF(ISNUMBER(N920*1),IF(N920*1&gt;0,10000000+N920*1,0),0))+IF(ISNUMBER(SEARCH("(",L920)),1000000+IFERROR(VALUE(SUBSTITUTE(SUBSTITUTE(SUBSTITUTE(MID(L920,SEARCH("(",L920)+1,SEARCH(")",L920)-SEARCH("(",L920)-1),"$",""),",","")," ","")),0),0))</f>
        <v>0</v>
      </c>
    </row>
    <row r="921" spans="1:27">
      <c r="A921" s="76">
        <v>45930</v>
      </c>
      <c r="B921" s="77" t="s">
        <v>3416</v>
      </c>
      <c r="C921" s="77" t="s">
        <v>3417</v>
      </c>
      <c r="D921" s="77" t="s">
        <v>202</v>
      </c>
      <c r="E921" s="77">
        <v>85345</v>
      </c>
      <c r="F921" s="77" t="s">
        <v>310</v>
      </c>
      <c r="G921" s="77" t="s">
        <v>3404</v>
      </c>
      <c r="H921" s="77">
        <v>7903115868</v>
      </c>
      <c r="I921" s="77" t="s">
        <v>196</v>
      </c>
      <c r="J921" s="77" t="s">
        <v>37</v>
      </c>
      <c r="K921" s="77" t="s">
        <v>37</v>
      </c>
      <c r="L921" s="77" t="s">
        <v>3419</v>
      </c>
      <c r="M921" s="77" t="s">
        <v>37</v>
      </c>
      <c r="N921" s="77" t="s">
        <v>37</v>
      </c>
      <c r="O921" s="77" t="s">
        <v>38</v>
      </c>
      <c r="P921" s="77">
        <v>45940</v>
      </c>
      <c r="Q921" s="76">
        <v>45960</v>
      </c>
      <c r="R921" s="77" t="s">
        <v>3420</v>
      </c>
      <c r="S921" s="77"/>
      <c r="T921" s="77"/>
      <c r="U921" s="77"/>
      <c r="V921" s="78" t="s">
        <v>5432</v>
      </c>
      <c r="W921" s="79">
        <v>46053</v>
      </c>
      <c r="X921" s="78" t="s">
        <v>38</v>
      </c>
      <c r="Y921" s="78"/>
      <c r="Z921" s="78" t="s">
        <v>5555</v>
      </c>
      <c r="AA921">
        <f>IF(COUNTIF('Call Queue'!$H$6:$H$20,V921)&gt;0,0,IF(AND(ISNUMBER(N921),N921&gt;0),10000000+N921,IF(ISNUMBER(N921*1),IF(N921*1&gt;0,10000000+N921*1,0),0))+IF(ISNUMBER(SEARCH("(",L921)),1000000+IFERROR(VALUE(SUBSTITUTE(SUBSTITUTE(SUBSTITUTE(MID(L921,SEARCH("(",L921)+1,SEARCH(")",L921)-SEARCH("(",L921)-1),"$",""),",","")," ","")),0),0))</f>
        <v>0</v>
      </c>
    </row>
    <row r="922" spans="1:27">
      <c r="A922" s="76">
        <v>45930</v>
      </c>
      <c r="B922" s="77" t="s">
        <v>3421</v>
      </c>
      <c r="C922" s="77" t="s">
        <v>2273</v>
      </c>
      <c r="D922" s="77" t="s">
        <v>169</v>
      </c>
      <c r="E922" s="77">
        <v>85395</v>
      </c>
      <c r="F922" s="77" t="s">
        <v>3422</v>
      </c>
      <c r="G922" s="77" t="s">
        <v>3404</v>
      </c>
      <c r="H922" s="77">
        <v>5307870697</v>
      </c>
      <c r="I922" s="77" t="s">
        <v>46</v>
      </c>
      <c r="J922" s="77" t="s">
        <v>37</v>
      </c>
      <c r="K922" s="77" t="s">
        <v>37</v>
      </c>
      <c r="L922" s="77" t="s">
        <v>3424</v>
      </c>
      <c r="M922" s="77" t="s">
        <v>37</v>
      </c>
      <c r="N922" s="77" t="s">
        <v>37</v>
      </c>
      <c r="O922" s="77" t="s">
        <v>38</v>
      </c>
      <c r="P922" s="77" t="s">
        <v>39</v>
      </c>
      <c r="Q922" s="76">
        <v>45960</v>
      </c>
      <c r="R922" s="77"/>
      <c r="S922" s="77"/>
      <c r="T922" s="77"/>
      <c r="U922" s="77"/>
      <c r="V922" s="78" t="s">
        <v>5432</v>
      </c>
      <c r="W922" s="79">
        <v>46053</v>
      </c>
      <c r="X922" s="78" t="s">
        <v>37</v>
      </c>
      <c r="Y922" s="78" t="s">
        <v>5442</v>
      </c>
      <c r="Z922" s="78"/>
      <c r="AA922">
        <f>IF(COUNTIF('Call Queue'!$H$6:$H$20,V922)&gt;0,0,IF(AND(ISNUMBER(N922),N922&gt;0),10000000+N922,IF(ISNUMBER(N922*1),IF(N922*1&gt;0,10000000+N922*1,0),0))+IF(ISNUMBER(SEARCH("(",L922)),1000000+IFERROR(VALUE(SUBSTITUTE(SUBSTITUTE(SUBSTITUTE(MID(L922,SEARCH("(",L922)+1,SEARCH(")",L922)-SEARCH("(",L922)-1),"$",""),",","")," ","")),0),0))</f>
        <v>0</v>
      </c>
    </row>
    <row r="923" spans="1:27">
      <c r="A923" s="76">
        <v>45930</v>
      </c>
      <c r="B923" s="77" t="s">
        <v>3425</v>
      </c>
      <c r="C923" s="77" t="s">
        <v>3426</v>
      </c>
      <c r="D923" s="77" t="s">
        <v>174</v>
      </c>
      <c r="E923" s="77">
        <v>85396</v>
      </c>
      <c r="F923" s="77" t="s">
        <v>3427</v>
      </c>
      <c r="G923" s="77" t="s">
        <v>3428</v>
      </c>
      <c r="H923" s="77">
        <v>9738841000</v>
      </c>
      <c r="I923" s="77" t="s">
        <v>1040</v>
      </c>
      <c r="J923" s="77" t="s">
        <v>37</v>
      </c>
      <c r="K923" s="77" t="s">
        <v>37</v>
      </c>
      <c r="L923" s="77" t="s">
        <v>3430</v>
      </c>
      <c r="M923" s="77" t="s">
        <v>37</v>
      </c>
      <c r="N923" s="77" t="s">
        <v>37</v>
      </c>
      <c r="O923" s="77" t="s">
        <v>38</v>
      </c>
      <c r="P923" s="77" t="s">
        <v>39</v>
      </c>
      <c r="Q923" s="76">
        <v>45960</v>
      </c>
      <c r="R923" s="77"/>
      <c r="S923" s="77"/>
      <c r="T923" s="77"/>
      <c r="U923" s="77"/>
      <c r="V923" s="78" t="s">
        <v>5432</v>
      </c>
      <c r="W923" s="79">
        <v>46053</v>
      </c>
      <c r="X923" s="78" t="s">
        <v>37</v>
      </c>
      <c r="Y923" s="78" t="s">
        <v>5442</v>
      </c>
      <c r="Z923" s="78" t="s">
        <v>5434</v>
      </c>
      <c r="AA923">
        <f>IF(COUNTIF('Call Queue'!$H$6:$H$20,V923)&gt;0,0,IF(AND(ISNUMBER(N923),N923&gt;0),10000000+N923,IF(ISNUMBER(N923*1),IF(N923*1&gt;0,10000000+N923*1,0),0))+IF(ISNUMBER(SEARCH("(",L923)),1000000+IFERROR(VALUE(SUBSTITUTE(SUBSTITUTE(SUBSTITUTE(MID(L923,SEARCH("(",L923)+1,SEARCH(")",L923)-SEARCH("(",L923)-1),"$",""),",","")," ","")),0),0))</f>
        <v>0</v>
      </c>
    </row>
    <row r="924" spans="1:27">
      <c r="A924" s="76">
        <v>45932</v>
      </c>
      <c r="B924" s="77" t="s">
        <v>3435</v>
      </c>
      <c r="C924" s="77" t="s">
        <v>3436</v>
      </c>
      <c r="D924" s="77" t="s">
        <v>30</v>
      </c>
      <c r="E924" s="77" t="s">
        <v>30</v>
      </c>
      <c r="F924" s="77" t="s">
        <v>3437</v>
      </c>
      <c r="G924" s="77" t="s">
        <v>3438</v>
      </c>
      <c r="H924" s="77">
        <v>6829562710</v>
      </c>
      <c r="I924" s="77" t="s">
        <v>541</v>
      </c>
      <c r="J924" s="77" t="s">
        <v>37</v>
      </c>
      <c r="K924" s="77" t="s">
        <v>37</v>
      </c>
      <c r="L924" s="77" t="s">
        <v>389</v>
      </c>
      <c r="M924" s="77" t="s">
        <v>38</v>
      </c>
      <c r="N924" s="77">
        <v>170.45</v>
      </c>
      <c r="O924" s="77" t="s">
        <v>38</v>
      </c>
      <c r="P924" s="77" t="s">
        <v>39</v>
      </c>
      <c r="Q924" s="76">
        <v>45960</v>
      </c>
      <c r="R924" s="77"/>
      <c r="S924" s="77"/>
      <c r="T924" s="77"/>
      <c r="U924" s="77"/>
      <c r="V924" s="78" t="s">
        <v>5432</v>
      </c>
      <c r="W924" s="79">
        <v>46032</v>
      </c>
      <c r="X924" s="78" t="s">
        <v>38</v>
      </c>
      <c r="Y924" s="78"/>
      <c r="Z924" s="78" t="s">
        <v>5434</v>
      </c>
      <c r="AA924">
        <f>IF(COUNTIF('Call Queue'!$H$6:$H$20,V924)&gt;0,0,IF(AND(ISNUMBER(N924),N924&gt;0),10000000+N924,IF(ISNUMBER(N924*1),IF(N924*1&gt;0,10000000+N924*1,0),0))+IF(ISNUMBER(SEARCH("(",L924)),1000000+IFERROR(VALUE(SUBSTITUTE(SUBSTITUTE(SUBSTITUTE(MID(L924,SEARCH("(",L924)+1,SEARCH(")",L924)-SEARCH("(",L924)-1),"$",""),",","")," ","")),0),0))</f>
        <v>0</v>
      </c>
    </row>
    <row r="925" spans="1:27">
      <c r="A925" s="76">
        <v>45932</v>
      </c>
      <c r="B925" s="77" t="s">
        <v>3440</v>
      </c>
      <c r="C925" s="77" t="s">
        <v>3441</v>
      </c>
      <c r="D925" s="77" t="s">
        <v>129</v>
      </c>
      <c r="E925" s="77">
        <v>85233</v>
      </c>
      <c r="F925" s="77" t="s">
        <v>310</v>
      </c>
      <c r="G925" s="77" t="s">
        <v>3442</v>
      </c>
      <c r="H925" s="77">
        <v>7789171149</v>
      </c>
      <c r="I925" s="77" t="s">
        <v>243</v>
      </c>
      <c r="J925" s="77" t="s">
        <v>37</v>
      </c>
      <c r="K925" s="77" t="s">
        <v>37</v>
      </c>
      <c r="L925" s="77" t="s">
        <v>389</v>
      </c>
      <c r="M925" s="77" t="s">
        <v>37</v>
      </c>
      <c r="N925" s="77" t="s">
        <v>37</v>
      </c>
      <c r="O925" s="77" t="s">
        <v>38</v>
      </c>
      <c r="P925" s="77" t="s">
        <v>39</v>
      </c>
      <c r="Q925" s="76">
        <v>45960</v>
      </c>
      <c r="R925" s="77"/>
      <c r="S925" s="77"/>
      <c r="T925" s="77"/>
      <c r="U925" s="77"/>
      <c r="V925" s="78"/>
      <c r="W925" s="79"/>
      <c r="X925" s="78"/>
      <c r="Y925" s="78"/>
      <c r="Z925" s="78"/>
      <c r="AA925">
        <f>IF(COUNTIF('Call Queue'!$H$6:$H$20,V925)&gt;0,0,IF(AND(ISNUMBER(N925),N925&gt;0),10000000+N925,IF(ISNUMBER(N925*1),IF(N925*1&gt;0,10000000+N925*1,0),0))+IF(ISNUMBER(SEARCH("(",L925)),1000000+IFERROR(VALUE(SUBSTITUTE(SUBSTITUTE(SUBSTITUTE(MID(L925,SEARCH("(",L925)+1,SEARCH(")",L925)-SEARCH("(",L925)-1),"$",""),",","")," ","")),0),0))</f>
        <v>0</v>
      </c>
    </row>
    <row r="926" spans="1:27">
      <c r="A926" s="76">
        <v>45932</v>
      </c>
      <c r="B926" s="77" t="s">
        <v>528</v>
      </c>
      <c r="C926" s="77" t="s">
        <v>3395</v>
      </c>
      <c r="D926" s="77" t="s">
        <v>63</v>
      </c>
      <c r="E926" s="77">
        <v>85085</v>
      </c>
      <c r="F926" s="77" t="s">
        <v>3444</v>
      </c>
      <c r="G926" s="77" t="s">
        <v>3442</v>
      </c>
      <c r="H926" s="77">
        <v>9539410000</v>
      </c>
      <c r="I926" s="77" t="s">
        <v>1040</v>
      </c>
      <c r="J926" s="77" t="s">
        <v>37</v>
      </c>
      <c r="K926" s="77" t="s">
        <v>37</v>
      </c>
      <c r="L926" s="77" t="s">
        <v>401</v>
      </c>
      <c r="M926" s="77" t="s">
        <v>37</v>
      </c>
      <c r="N926" s="77" t="s">
        <v>37</v>
      </c>
      <c r="O926" s="77" t="s">
        <v>38</v>
      </c>
      <c r="P926" s="77" t="s">
        <v>39</v>
      </c>
      <c r="Q926" s="76">
        <v>45960</v>
      </c>
      <c r="R926" s="77" t="s">
        <v>3446</v>
      </c>
      <c r="S926" s="77"/>
      <c r="T926" s="77"/>
      <c r="U926" s="77"/>
      <c r="V926" s="78" t="s">
        <v>5432</v>
      </c>
      <c r="W926" s="79">
        <v>46053</v>
      </c>
      <c r="X926" s="78" t="s">
        <v>37</v>
      </c>
      <c r="Y926" s="78" t="s">
        <v>5442</v>
      </c>
      <c r="Z926" s="78"/>
      <c r="AA926">
        <f>IF(COUNTIF('Call Queue'!$H$6:$H$20,V926)&gt;0,0,IF(AND(ISNUMBER(N926),N926&gt;0),10000000+N926,IF(ISNUMBER(N926*1),IF(N926*1&gt;0,10000000+N926*1,0),0))+IF(ISNUMBER(SEARCH("(",L926)),1000000+IFERROR(VALUE(SUBSTITUTE(SUBSTITUTE(SUBSTITUTE(MID(L926,SEARCH("(",L926)+1,SEARCH(")",L926)-SEARCH("(",L926)-1),"$",""),",","")," ","")),0),0))</f>
        <v>0</v>
      </c>
    </row>
    <row r="927" spans="1:27">
      <c r="A927" s="76">
        <v>45933</v>
      </c>
      <c r="B927" s="77" t="s">
        <v>800</v>
      </c>
      <c r="C927" s="77" t="s">
        <v>801</v>
      </c>
      <c r="D927" s="77" t="s">
        <v>30</v>
      </c>
      <c r="E927" s="77" t="s">
        <v>30</v>
      </c>
      <c r="F927" s="77" t="s">
        <v>3447</v>
      </c>
      <c r="G927" s="77" t="s">
        <v>3448</v>
      </c>
      <c r="H927" s="77">
        <v>4949150000</v>
      </c>
      <c r="I927" s="77" t="s">
        <v>73</v>
      </c>
      <c r="J927" s="77" t="s">
        <v>37</v>
      </c>
      <c r="K927" s="77" t="s">
        <v>37</v>
      </c>
      <c r="L927" s="77" t="s">
        <v>38</v>
      </c>
      <c r="M927" s="77" t="s">
        <v>37</v>
      </c>
      <c r="N927" s="77" t="s">
        <v>37</v>
      </c>
      <c r="O927" s="77" t="s">
        <v>38</v>
      </c>
      <c r="P927" s="77" t="s">
        <v>39</v>
      </c>
      <c r="Q927" s="76">
        <v>45960</v>
      </c>
      <c r="R927" s="77"/>
      <c r="S927" s="77"/>
      <c r="T927" s="77"/>
      <c r="U927" s="77"/>
      <c r="V927" s="78"/>
      <c r="W927" s="79"/>
      <c r="X927" s="78"/>
      <c r="Y927" s="78"/>
      <c r="Z927" s="78"/>
      <c r="AA927">
        <f>IF(COUNTIF('Call Queue'!$H$6:$H$20,V927)&gt;0,0,IF(AND(ISNUMBER(N927),N927&gt;0),10000000+N927,IF(ISNUMBER(N927*1),IF(N927*1&gt;0,10000000+N927*1,0),0))+IF(ISNUMBER(SEARCH("(",L927)),1000000+IFERROR(VALUE(SUBSTITUTE(SUBSTITUTE(SUBSTITUTE(MID(L927,SEARCH("(",L927)+1,SEARCH(")",L927)-SEARCH("(",L927)-1),"$",""),",","")," ","")),0),0))</f>
        <v>0</v>
      </c>
    </row>
    <row r="928" spans="1:27">
      <c r="A928" s="76">
        <v>45933</v>
      </c>
      <c r="B928" s="77" t="s">
        <v>134</v>
      </c>
      <c r="C928" s="77" t="s">
        <v>363</v>
      </c>
      <c r="D928" s="77" t="s">
        <v>30</v>
      </c>
      <c r="E928" s="77" t="s">
        <v>30</v>
      </c>
      <c r="F928" s="77" t="s">
        <v>31</v>
      </c>
      <c r="G928" s="77" t="s">
        <v>3448</v>
      </c>
      <c r="H928" s="77" t="s">
        <v>209</v>
      </c>
      <c r="I928" s="77"/>
      <c r="J928" s="77"/>
      <c r="K928" s="77"/>
      <c r="L928" s="77"/>
      <c r="M928" s="77"/>
      <c r="N928" s="77"/>
      <c r="O928" s="77"/>
      <c r="P928" s="77"/>
      <c r="Q928" s="76"/>
      <c r="R928" s="77"/>
      <c r="S928" s="77"/>
      <c r="T928" s="77"/>
      <c r="U928" s="77"/>
      <c r="V928" s="78"/>
      <c r="W928" s="79"/>
      <c r="X928" s="78"/>
      <c r="Y928" s="78"/>
      <c r="Z928" s="78"/>
      <c r="AA928">
        <f>IF(COUNTIF('Call Queue'!$H$6:$H$20,V928)&gt;0,0,IF(AND(ISNUMBER(N928),N928&gt;0),10000000+N928,IF(ISNUMBER(N928*1),IF(N928*1&gt;0,10000000+N928*1,0),0))+IF(ISNUMBER(SEARCH("(",L928)),1000000+IFERROR(VALUE(SUBSTITUTE(SUBSTITUTE(SUBSTITUTE(MID(L928,SEARCH("(",L928)+1,SEARCH(")",L928)-SEARCH("(",L928)-1),"$",""),",","")," ","")),0),0))</f>
        <v>0</v>
      </c>
    </row>
    <row r="929" spans="1:27">
      <c r="A929" s="76">
        <v>45933</v>
      </c>
      <c r="B929" s="77" t="s">
        <v>3450</v>
      </c>
      <c r="C929" s="77" t="s">
        <v>88</v>
      </c>
      <c r="D929" s="77" t="s">
        <v>68</v>
      </c>
      <c r="E929" s="77">
        <v>85331</v>
      </c>
      <c r="F929" s="77" t="s">
        <v>3451</v>
      </c>
      <c r="G929" s="77" t="s">
        <v>3452</v>
      </c>
      <c r="H929" s="77">
        <v>8072751000</v>
      </c>
      <c r="I929" s="77" t="s">
        <v>36</v>
      </c>
      <c r="J929" s="77" t="s">
        <v>37</v>
      </c>
      <c r="K929" s="77" t="s">
        <v>37</v>
      </c>
      <c r="L929" s="77" t="s">
        <v>38</v>
      </c>
      <c r="M929" s="77" t="s">
        <v>37</v>
      </c>
      <c r="N929" s="77" t="s">
        <v>37</v>
      </c>
      <c r="O929" s="77" t="s">
        <v>38</v>
      </c>
      <c r="P929" s="77" t="s">
        <v>39</v>
      </c>
      <c r="Q929" s="76">
        <v>45960</v>
      </c>
      <c r="R929" s="77"/>
      <c r="S929" s="77"/>
      <c r="T929" s="77"/>
      <c r="U929" s="77"/>
      <c r="V929" s="78" t="s">
        <v>5432</v>
      </c>
      <c r="W929" s="79">
        <v>46074</v>
      </c>
      <c r="X929" s="78" t="s">
        <v>37</v>
      </c>
      <c r="Y929" s="78" t="s">
        <v>5527</v>
      </c>
      <c r="Z929" s="78" t="s">
        <v>5579</v>
      </c>
      <c r="AA929">
        <f>IF(COUNTIF('Call Queue'!$H$6:$H$20,V929)&gt;0,0,IF(AND(ISNUMBER(N929),N929&gt;0),10000000+N929,IF(ISNUMBER(N929*1),IF(N929*1&gt;0,10000000+N929*1,0),0))+IF(ISNUMBER(SEARCH("(",L929)),1000000+IFERROR(VALUE(SUBSTITUTE(SUBSTITUTE(SUBSTITUTE(MID(L929,SEARCH("(",L929)+1,SEARCH(")",L929)-SEARCH("(",L929)-1),"$",""),",","")," ","")),0),0))</f>
        <v>0</v>
      </c>
    </row>
    <row r="930" spans="1:27">
      <c r="A930" s="76">
        <v>45934</v>
      </c>
      <c r="B930" s="77" t="s">
        <v>3454</v>
      </c>
      <c r="C930" s="77" t="s">
        <v>1354</v>
      </c>
      <c r="D930" s="77" t="s">
        <v>370</v>
      </c>
      <c r="E930" s="77">
        <v>85225</v>
      </c>
      <c r="F930" s="77" t="s">
        <v>3455</v>
      </c>
      <c r="G930" s="77" t="s">
        <v>3456</v>
      </c>
      <c r="H930" s="77" t="s">
        <v>719</v>
      </c>
      <c r="I930" s="77" t="s">
        <v>3457</v>
      </c>
      <c r="J930" s="77" t="s">
        <v>37</v>
      </c>
      <c r="K930" s="77" t="s">
        <v>37</v>
      </c>
      <c r="L930" s="77" t="s">
        <v>3458</v>
      </c>
      <c r="M930" s="77" t="s">
        <v>37</v>
      </c>
      <c r="N930" s="77" t="s">
        <v>37</v>
      </c>
      <c r="O930" s="77" t="s">
        <v>38</v>
      </c>
      <c r="P930" s="77" t="s">
        <v>39</v>
      </c>
      <c r="Q930" s="76">
        <v>45954</v>
      </c>
      <c r="R930" s="77"/>
      <c r="S930" s="77"/>
      <c r="T930" s="77"/>
      <c r="U930" s="77"/>
      <c r="V930" s="78"/>
      <c r="W930" s="79"/>
      <c r="X930" s="78"/>
      <c r="Y930" s="78"/>
      <c r="Z930" s="78"/>
      <c r="AA930">
        <f>IF(COUNTIF('Call Queue'!$H$6:$H$20,V930)&gt;0,0,IF(AND(ISNUMBER(N930),N930&gt;0),10000000+N930,IF(ISNUMBER(N930*1),IF(N930*1&gt;0,10000000+N930*1,0),0))+IF(ISNUMBER(SEARCH("(",L930)),1000000+IFERROR(VALUE(SUBSTITUTE(SUBSTITUTE(SUBSTITUTE(MID(L930,SEARCH("(",L930)+1,SEARCH(")",L930)-SEARCH("(",L930)-1),"$",""),",","")," ","")),0),0))</f>
        <v>0</v>
      </c>
    </row>
    <row r="931" spans="1:27">
      <c r="A931" s="76">
        <v>45934</v>
      </c>
      <c r="B931" s="77" t="s">
        <v>3459</v>
      </c>
      <c r="C931" s="77" t="s">
        <v>320</v>
      </c>
      <c r="D931" s="77" t="s">
        <v>63</v>
      </c>
      <c r="E931" s="77">
        <v>85032</v>
      </c>
      <c r="F931" s="77" t="s">
        <v>3460</v>
      </c>
      <c r="G931" s="77" t="s">
        <v>3456</v>
      </c>
      <c r="H931" s="77">
        <v>9524460000</v>
      </c>
      <c r="I931" s="77" t="s">
        <v>36</v>
      </c>
      <c r="J931" s="77" t="s">
        <v>38</v>
      </c>
      <c r="K931" s="77" t="s">
        <v>37</v>
      </c>
      <c r="L931" s="77" t="s">
        <v>38</v>
      </c>
      <c r="M931" s="77" t="s">
        <v>37</v>
      </c>
      <c r="N931" s="77" t="s">
        <v>37</v>
      </c>
      <c r="O931" s="77" t="s">
        <v>38</v>
      </c>
      <c r="P931" s="77" t="s">
        <v>39</v>
      </c>
      <c r="Q931" s="76">
        <v>45954</v>
      </c>
      <c r="R931" s="77"/>
      <c r="S931" s="77"/>
      <c r="T931" s="77"/>
      <c r="U931" s="77"/>
      <c r="V931" s="78"/>
      <c r="W931" s="79"/>
      <c r="X931" s="78"/>
      <c r="Y931" s="78"/>
      <c r="Z931" s="78"/>
      <c r="AA931">
        <f>IF(COUNTIF('Call Queue'!$H$6:$H$20,V931)&gt;0,0,IF(AND(ISNUMBER(N931),N931&gt;0),10000000+N931,IF(ISNUMBER(N931*1),IF(N931*1&gt;0,10000000+N931*1,0),0))+IF(ISNUMBER(SEARCH("(",L931)),1000000+IFERROR(VALUE(SUBSTITUTE(SUBSTITUTE(SUBSTITUTE(MID(L931,SEARCH("(",L931)+1,SEARCH(")",L931)-SEARCH("(",L931)-1),"$",""),",","")," ","")),0),0))</f>
        <v>0</v>
      </c>
    </row>
    <row r="932" spans="1:27">
      <c r="A932" s="76">
        <v>45934</v>
      </c>
      <c r="B932" s="77" t="s">
        <v>34</v>
      </c>
      <c r="C932" s="77" t="s">
        <v>2273</v>
      </c>
      <c r="D932" s="77" t="s">
        <v>261</v>
      </c>
      <c r="E932" s="77">
        <v>86314</v>
      </c>
      <c r="F932" s="77" t="s">
        <v>3462</v>
      </c>
      <c r="G932" s="77" t="s">
        <v>3456</v>
      </c>
      <c r="H932" s="77">
        <v>6543951000</v>
      </c>
      <c r="I932" s="77" t="s">
        <v>196</v>
      </c>
      <c r="J932" s="77" t="s">
        <v>37</v>
      </c>
      <c r="K932" s="77" t="s">
        <v>37</v>
      </c>
      <c r="L932" s="77" t="s">
        <v>3464</v>
      </c>
      <c r="M932" s="77" t="s">
        <v>37</v>
      </c>
      <c r="N932" s="77" t="s">
        <v>37</v>
      </c>
      <c r="O932" s="77" t="s">
        <v>38</v>
      </c>
      <c r="P932" s="77" t="s">
        <v>39</v>
      </c>
      <c r="Q932" s="76">
        <v>45954</v>
      </c>
      <c r="R932" s="77"/>
      <c r="S932" s="77"/>
      <c r="T932" s="77"/>
      <c r="U932" s="77"/>
      <c r="V932" s="78" t="s">
        <v>5432</v>
      </c>
      <c r="W932" s="79">
        <v>46053</v>
      </c>
      <c r="X932" s="78" t="s">
        <v>38</v>
      </c>
      <c r="Y932" s="78"/>
      <c r="Z932" s="78" t="s">
        <v>5555</v>
      </c>
      <c r="AA932">
        <f>IF(COUNTIF('Call Queue'!$H$6:$H$20,V932)&gt;0,0,IF(AND(ISNUMBER(N932),N932&gt;0),10000000+N932,IF(ISNUMBER(N932*1),IF(N932*1&gt;0,10000000+N932*1,0),0))+IF(ISNUMBER(SEARCH("(",L932)),1000000+IFERROR(VALUE(SUBSTITUTE(SUBSTITUTE(SUBSTITUTE(MID(L932,SEARCH("(",L932)+1,SEARCH(")",L932)-SEARCH("(",L932)-1),"$",""),",","")," ","")),0),0))</f>
        <v>0</v>
      </c>
    </row>
    <row r="933" spans="1:27">
      <c r="A933" s="76">
        <v>45935</v>
      </c>
      <c r="B933" s="77" t="s">
        <v>1210</v>
      </c>
      <c r="C933" s="77" t="s">
        <v>3465</v>
      </c>
      <c r="D933" s="77" t="s">
        <v>737</v>
      </c>
      <c r="E933" s="77">
        <v>86326</v>
      </c>
      <c r="F933" s="77" t="s">
        <v>3466</v>
      </c>
      <c r="G933" s="77" t="s">
        <v>3456</v>
      </c>
      <c r="H933" s="77">
        <v>770620000</v>
      </c>
      <c r="I933" s="77" t="s">
        <v>243</v>
      </c>
      <c r="J933" s="77" t="s">
        <v>37</v>
      </c>
      <c r="K933" s="77" t="s">
        <v>37</v>
      </c>
      <c r="L933" s="77" t="s">
        <v>389</v>
      </c>
      <c r="M933" s="77" t="s">
        <v>37</v>
      </c>
      <c r="N933" s="77" t="s">
        <v>37</v>
      </c>
      <c r="O933" s="77" t="s">
        <v>38</v>
      </c>
      <c r="P933" s="77" t="s">
        <v>39</v>
      </c>
      <c r="Q933" s="76">
        <v>45954</v>
      </c>
      <c r="R933" s="77"/>
      <c r="S933" s="77"/>
      <c r="T933" s="77"/>
      <c r="U933" s="77"/>
      <c r="V933" s="78"/>
      <c r="W933" s="79"/>
      <c r="X933" s="78"/>
      <c r="Y933" s="78"/>
      <c r="Z933" s="78"/>
      <c r="AA933">
        <f>IF(COUNTIF('Call Queue'!$H$6:$H$20,V933)&gt;0,0,IF(AND(ISNUMBER(N933),N933&gt;0),10000000+N933,IF(ISNUMBER(N933*1),IF(N933*1&gt;0,10000000+N933*1,0),0))+IF(ISNUMBER(SEARCH("(",L933)),1000000+IFERROR(VALUE(SUBSTITUTE(SUBSTITUTE(SUBSTITUTE(MID(L933,SEARCH("(",L933)+1,SEARCH(")",L933)-SEARCH("(",L933)-1),"$",""),",","")," ","")),0),0))</f>
        <v>0</v>
      </c>
    </row>
    <row r="934" spans="1:27">
      <c r="A934" s="76">
        <v>45935</v>
      </c>
      <c r="B934" s="77" t="s">
        <v>3469</v>
      </c>
      <c r="C934" s="77" t="s">
        <v>1089</v>
      </c>
      <c r="D934" s="77" t="s">
        <v>3470</v>
      </c>
      <c r="E934" s="77">
        <v>86324</v>
      </c>
      <c r="F934" s="77" t="s">
        <v>31</v>
      </c>
      <c r="G934" s="77" t="s">
        <v>3456</v>
      </c>
      <c r="H934" s="77">
        <v>1471520000</v>
      </c>
      <c r="I934" s="77" t="s">
        <v>73</v>
      </c>
      <c r="J934" s="77" t="s">
        <v>37</v>
      </c>
      <c r="K934" s="77" t="s">
        <v>37</v>
      </c>
      <c r="L934" s="77" t="s">
        <v>38</v>
      </c>
      <c r="M934" s="77" t="s">
        <v>37</v>
      </c>
      <c r="N934" s="77" t="s">
        <v>37</v>
      </c>
      <c r="O934" s="77" t="s">
        <v>38</v>
      </c>
      <c r="P934" s="77" t="s">
        <v>39</v>
      </c>
      <c r="Q934" s="76">
        <v>45954</v>
      </c>
      <c r="R934" s="77" t="s">
        <v>3415</v>
      </c>
      <c r="S934" s="77"/>
      <c r="T934" s="77"/>
      <c r="U934" s="77"/>
      <c r="V934" s="78" t="s">
        <v>5432</v>
      </c>
      <c r="W934" s="79">
        <v>46074</v>
      </c>
      <c r="X934" s="78" t="s">
        <v>38</v>
      </c>
      <c r="Y934" s="78"/>
      <c r="Z934" s="78" t="s">
        <v>5458</v>
      </c>
      <c r="AA934">
        <f>IF(COUNTIF('Call Queue'!$H$6:$H$20,V934)&gt;0,0,IF(AND(ISNUMBER(N934),N934&gt;0),10000000+N934,IF(ISNUMBER(N934*1),IF(N934*1&gt;0,10000000+N934*1,0),0))+IF(ISNUMBER(SEARCH("(",L934)),1000000+IFERROR(VALUE(SUBSTITUTE(SUBSTITUTE(SUBSTITUTE(MID(L934,SEARCH("(",L934)+1,SEARCH(")",L934)-SEARCH("(",L934)-1),"$",""),",","")," ","")),0),0))</f>
        <v>0</v>
      </c>
    </row>
    <row r="935" spans="1:27">
      <c r="A935" s="76">
        <v>45937</v>
      </c>
      <c r="B935" s="77" t="s">
        <v>3477</v>
      </c>
      <c r="C935" s="77" t="s">
        <v>3478</v>
      </c>
      <c r="D935" s="77" t="s">
        <v>169</v>
      </c>
      <c r="E935" s="77">
        <v>85338</v>
      </c>
      <c r="F935" s="77" t="s">
        <v>3479</v>
      </c>
      <c r="G935" s="77" t="s">
        <v>3456</v>
      </c>
      <c r="H935" s="77">
        <v>4195950000</v>
      </c>
      <c r="I935" s="77" t="s">
        <v>541</v>
      </c>
      <c r="J935" s="77" t="s">
        <v>38</v>
      </c>
      <c r="K935" s="77" t="s">
        <v>37</v>
      </c>
      <c r="L935" s="77" t="s">
        <v>389</v>
      </c>
      <c r="M935" s="77" t="s">
        <v>37</v>
      </c>
      <c r="N935" s="77" t="s">
        <v>37</v>
      </c>
      <c r="O935" s="77" t="s">
        <v>38</v>
      </c>
      <c r="P935" s="77" t="s">
        <v>39</v>
      </c>
      <c r="Q935" s="76">
        <v>45954</v>
      </c>
      <c r="R935" s="77"/>
      <c r="S935" s="77"/>
      <c r="T935" s="77"/>
      <c r="U935" s="77"/>
      <c r="V935" s="78"/>
      <c r="W935" s="79"/>
      <c r="X935" s="78"/>
      <c r="Y935" s="78"/>
      <c r="Z935" s="78"/>
      <c r="AA935">
        <f>IF(COUNTIF('Call Queue'!$H$6:$H$20,V935)&gt;0,0,IF(AND(ISNUMBER(N935),N935&gt;0),10000000+N935,IF(ISNUMBER(N935*1),IF(N935*1&gt;0,10000000+N935*1,0),0))+IF(ISNUMBER(SEARCH("(",L935)),1000000+IFERROR(VALUE(SUBSTITUTE(SUBSTITUTE(SUBSTITUTE(MID(L935,SEARCH("(",L935)+1,SEARCH(")",L935)-SEARCH("(",L935)-1),"$",""),",","")," ","")),0),0))</f>
        <v>0</v>
      </c>
    </row>
    <row r="936" spans="1:27">
      <c r="A936" s="76">
        <v>45938</v>
      </c>
      <c r="B936" s="77" t="s">
        <v>3483</v>
      </c>
      <c r="C936" s="77" t="s">
        <v>3484</v>
      </c>
      <c r="D936" s="77" t="s">
        <v>125</v>
      </c>
      <c r="E936" s="77">
        <v>85258</v>
      </c>
      <c r="F936" s="77" t="s">
        <v>3485</v>
      </c>
      <c r="G936" s="77" t="s">
        <v>3158</v>
      </c>
      <c r="H936" s="77">
        <v>6232280000</v>
      </c>
      <c r="I936" s="77" t="s">
        <v>36</v>
      </c>
      <c r="J936" s="77" t="s">
        <v>37</v>
      </c>
      <c r="K936" s="77" t="s">
        <v>37</v>
      </c>
      <c r="L936" s="77" t="s">
        <v>38</v>
      </c>
      <c r="M936" s="77" t="s">
        <v>37</v>
      </c>
      <c r="N936" s="77" t="s">
        <v>37</v>
      </c>
      <c r="O936" s="77" t="s">
        <v>38</v>
      </c>
      <c r="P936" s="77" t="s">
        <v>39</v>
      </c>
      <c r="Q936" s="76">
        <v>45954</v>
      </c>
      <c r="R936" s="77"/>
      <c r="S936" s="77"/>
      <c r="T936" s="77"/>
      <c r="U936" s="77"/>
      <c r="V936" s="78" t="s">
        <v>5432</v>
      </c>
      <c r="W936" s="79">
        <v>46074</v>
      </c>
      <c r="X936" s="78" t="s">
        <v>38</v>
      </c>
      <c r="Y936" s="78"/>
      <c r="Z936" s="78" t="s">
        <v>5458</v>
      </c>
      <c r="AA936">
        <f>IF(COUNTIF('Call Queue'!$H$6:$H$20,V936)&gt;0,0,IF(AND(ISNUMBER(N936),N936&gt;0),10000000+N936,IF(ISNUMBER(N936*1),IF(N936*1&gt;0,10000000+N936*1,0),0))+IF(ISNUMBER(SEARCH("(",L936)),1000000+IFERROR(VALUE(SUBSTITUTE(SUBSTITUTE(SUBSTITUTE(MID(L936,SEARCH("(",L936)+1,SEARCH(")",L936)-SEARCH("(",L936)-1),"$",""),",","")," ","")),0),0))</f>
        <v>0</v>
      </c>
    </row>
    <row r="937" spans="1:27">
      <c r="A937" s="76">
        <v>45938</v>
      </c>
      <c r="B937" s="77" t="s">
        <v>3487</v>
      </c>
      <c r="C937" s="77" t="s">
        <v>2040</v>
      </c>
      <c r="D937" s="77" t="s">
        <v>30</v>
      </c>
      <c r="E937" s="77" t="s">
        <v>30</v>
      </c>
      <c r="F937" s="77" t="s">
        <v>3488</v>
      </c>
      <c r="G937" s="77" t="s">
        <v>3158</v>
      </c>
      <c r="H937" s="77">
        <v>4762621000</v>
      </c>
      <c r="I937" s="77" t="s">
        <v>57</v>
      </c>
      <c r="J937" s="77" t="s">
        <v>37</v>
      </c>
      <c r="K937" s="77" t="s">
        <v>37</v>
      </c>
      <c r="L937" s="77" t="s">
        <v>3490</v>
      </c>
      <c r="M937" s="77" t="s">
        <v>37</v>
      </c>
      <c r="N937" s="77" t="s">
        <v>37</v>
      </c>
      <c r="O937" s="77" t="s">
        <v>38</v>
      </c>
      <c r="P937" s="77" t="s">
        <v>39</v>
      </c>
      <c r="Q937" s="76">
        <v>45954</v>
      </c>
      <c r="R937" s="77"/>
      <c r="S937" s="77"/>
      <c r="T937" s="77"/>
      <c r="U937" s="77"/>
      <c r="V937" s="78" t="s">
        <v>5432</v>
      </c>
      <c r="W937" s="79">
        <v>46053</v>
      </c>
      <c r="X937" s="78" t="s">
        <v>38</v>
      </c>
      <c r="Y937" s="78"/>
      <c r="Z937" s="78" t="s">
        <v>5555</v>
      </c>
      <c r="AA937">
        <f>IF(COUNTIF('Call Queue'!$H$6:$H$20,V937)&gt;0,0,IF(AND(ISNUMBER(N937),N937&gt;0),10000000+N937,IF(ISNUMBER(N937*1),IF(N937*1&gt;0,10000000+N937*1,0),0))+IF(ISNUMBER(SEARCH("(",L937)),1000000+IFERROR(VALUE(SUBSTITUTE(SUBSTITUTE(SUBSTITUTE(MID(L937,SEARCH("(",L937)+1,SEARCH(")",L937)-SEARCH("(",L937)-1),"$",""),",","")," ","")),0),0))</f>
        <v>0</v>
      </c>
    </row>
    <row r="938" spans="1:27">
      <c r="A938" s="76">
        <v>45938</v>
      </c>
      <c r="B938" s="77" t="s">
        <v>3491</v>
      </c>
      <c r="C938" s="77" t="s">
        <v>3492</v>
      </c>
      <c r="D938" s="77" t="s">
        <v>125</v>
      </c>
      <c r="E938" s="77">
        <v>85258</v>
      </c>
      <c r="F938" s="77" t="s">
        <v>3493</v>
      </c>
      <c r="G938" s="77" t="s">
        <v>3494</v>
      </c>
      <c r="H938" s="77">
        <v>857783306</v>
      </c>
      <c r="I938" s="77" t="s">
        <v>36</v>
      </c>
      <c r="J938" s="77" t="s">
        <v>37</v>
      </c>
      <c r="K938" s="77" t="s">
        <v>37</v>
      </c>
      <c r="L938" s="77" t="s">
        <v>38</v>
      </c>
      <c r="M938" s="77" t="s">
        <v>37</v>
      </c>
      <c r="N938" s="77" t="s">
        <v>37</v>
      </c>
      <c r="O938" s="77" t="s">
        <v>38</v>
      </c>
      <c r="P938" s="77" t="s">
        <v>39</v>
      </c>
      <c r="Q938" s="76">
        <v>45954</v>
      </c>
      <c r="R938" s="77"/>
      <c r="S938" s="77"/>
      <c r="T938" s="77"/>
      <c r="U938" s="77"/>
      <c r="V938" s="78" t="s">
        <v>5432</v>
      </c>
      <c r="W938" s="79">
        <v>46074</v>
      </c>
      <c r="X938" s="78" t="s">
        <v>38</v>
      </c>
      <c r="Y938" s="78"/>
      <c r="Z938" s="78" t="s">
        <v>5458</v>
      </c>
      <c r="AA938">
        <f>IF(COUNTIF('Call Queue'!$H$6:$H$20,V938)&gt;0,0,IF(AND(ISNUMBER(N938),N938&gt;0),10000000+N938,IF(ISNUMBER(N938*1),IF(N938*1&gt;0,10000000+N938*1,0),0))+IF(ISNUMBER(SEARCH("(",L938)),1000000+IFERROR(VALUE(SUBSTITUTE(SUBSTITUTE(SUBSTITUTE(MID(L938,SEARCH("(",L938)+1,SEARCH(")",L938)-SEARCH("(",L938)-1),"$",""),",","")," ","")),0),0))</f>
        <v>0</v>
      </c>
    </row>
    <row r="939" spans="1:27">
      <c r="A939" s="76">
        <v>45938</v>
      </c>
      <c r="B939" s="77" t="s">
        <v>447</v>
      </c>
      <c r="C939" s="77" t="s">
        <v>1223</v>
      </c>
      <c r="D939" s="77" t="s">
        <v>3501</v>
      </c>
      <c r="E939" s="77">
        <v>85541</v>
      </c>
      <c r="F939" s="77" t="s">
        <v>3502</v>
      </c>
      <c r="G939" s="77" t="s">
        <v>3494</v>
      </c>
      <c r="H939" s="77">
        <v>3480611000</v>
      </c>
      <c r="I939" s="77" t="s">
        <v>73</v>
      </c>
      <c r="J939" s="77" t="s">
        <v>37</v>
      </c>
      <c r="K939" s="77" t="s">
        <v>37</v>
      </c>
      <c r="L939" s="77" t="s">
        <v>38</v>
      </c>
      <c r="M939" s="77" t="s">
        <v>37</v>
      </c>
      <c r="N939" s="77" t="s">
        <v>37</v>
      </c>
      <c r="O939" s="77" t="s">
        <v>38</v>
      </c>
      <c r="P939" s="77" t="s">
        <v>39</v>
      </c>
      <c r="Q939" s="76">
        <v>45954</v>
      </c>
      <c r="R939" s="77"/>
      <c r="S939" s="77"/>
      <c r="T939" s="77"/>
      <c r="U939" s="77"/>
      <c r="V939" s="78"/>
      <c r="W939" s="79"/>
      <c r="X939" s="78"/>
      <c r="Y939" s="78"/>
      <c r="Z939" s="78"/>
      <c r="AA939">
        <f>IF(COUNTIF('Call Queue'!$H$6:$H$20,V939)&gt;0,0,IF(AND(ISNUMBER(N939),N939&gt;0),10000000+N939,IF(ISNUMBER(N939*1),IF(N939*1&gt;0,10000000+N939*1,0),0))+IF(ISNUMBER(SEARCH("(",L939)),1000000+IFERROR(VALUE(SUBSTITUTE(SUBSTITUTE(SUBSTITUTE(MID(L939,SEARCH("(",L939)+1,SEARCH(")",L939)-SEARCH("(",L939)-1),"$",""),",","")," ","")),0),0))</f>
        <v>0</v>
      </c>
    </row>
    <row r="940" spans="1:27">
      <c r="A940" s="76">
        <v>45939</v>
      </c>
      <c r="B940" s="77" t="s">
        <v>3505</v>
      </c>
      <c r="C940" s="77" t="s">
        <v>3506</v>
      </c>
      <c r="D940" s="77" t="s">
        <v>202</v>
      </c>
      <c r="E940" s="77">
        <v>85382</v>
      </c>
      <c r="F940" s="77" t="s">
        <v>3507</v>
      </c>
      <c r="G940" s="77" t="s">
        <v>3494</v>
      </c>
      <c r="H940" s="77">
        <v>2713960000</v>
      </c>
      <c r="I940" s="77" t="s">
        <v>36</v>
      </c>
      <c r="J940" s="77" t="s">
        <v>37</v>
      </c>
      <c r="K940" s="77" t="s">
        <v>37</v>
      </c>
      <c r="L940" s="77" t="s">
        <v>38</v>
      </c>
      <c r="M940" s="77" t="s">
        <v>37</v>
      </c>
      <c r="N940" s="77" t="s">
        <v>37</v>
      </c>
      <c r="O940" s="77" t="s">
        <v>38</v>
      </c>
      <c r="P940" s="77" t="s">
        <v>39</v>
      </c>
      <c r="Q940" s="76">
        <v>45954</v>
      </c>
      <c r="R940" s="77"/>
      <c r="S940" s="77"/>
      <c r="T940" s="77"/>
      <c r="U940" s="77"/>
      <c r="V940" s="78" t="s">
        <v>5432</v>
      </c>
      <c r="W940" s="79">
        <v>46074</v>
      </c>
      <c r="X940" s="78" t="s">
        <v>38</v>
      </c>
      <c r="Y940" s="78"/>
      <c r="Z940" s="78" t="s">
        <v>5458</v>
      </c>
      <c r="AA940">
        <f>IF(COUNTIF('Call Queue'!$H$6:$H$20,V940)&gt;0,0,IF(AND(ISNUMBER(N940),N940&gt;0),10000000+N940,IF(ISNUMBER(N940*1),IF(N940*1&gt;0,10000000+N940*1,0),0))+IF(ISNUMBER(SEARCH("(",L940)),1000000+IFERROR(VALUE(SUBSTITUTE(SUBSTITUTE(SUBSTITUTE(MID(L940,SEARCH("(",L940)+1,SEARCH(")",L940)-SEARCH("(",L940)-1),"$",""),",","")," ","")),0),0))</f>
        <v>0</v>
      </c>
    </row>
    <row r="941" spans="1:27">
      <c r="A941" s="76">
        <v>45940</v>
      </c>
      <c r="B941" s="77" t="s">
        <v>91</v>
      </c>
      <c r="C941" s="77" t="s">
        <v>3513</v>
      </c>
      <c r="D941" s="77" t="s">
        <v>93</v>
      </c>
      <c r="E941" s="77">
        <v>85351</v>
      </c>
      <c r="F941" s="77" t="s">
        <v>3514</v>
      </c>
      <c r="G941" s="77" t="s">
        <v>3512</v>
      </c>
      <c r="H941" s="77">
        <v>1163301000</v>
      </c>
      <c r="I941" s="77" t="s">
        <v>73</v>
      </c>
      <c r="J941" s="77" t="s">
        <v>37</v>
      </c>
      <c r="K941" s="77" t="s">
        <v>37</v>
      </c>
      <c r="L941" s="77" t="s">
        <v>38</v>
      </c>
      <c r="M941" s="77" t="s">
        <v>37</v>
      </c>
      <c r="N941" s="77" t="s">
        <v>37</v>
      </c>
      <c r="O941" s="77" t="s">
        <v>38</v>
      </c>
      <c r="P941" s="77" t="s">
        <v>39</v>
      </c>
      <c r="Q941" s="76">
        <v>45954</v>
      </c>
      <c r="R941" s="77" t="s">
        <v>3516</v>
      </c>
      <c r="S941" s="77"/>
      <c r="T941" s="77"/>
      <c r="U941" s="77"/>
      <c r="V941" s="78"/>
      <c r="W941" s="79"/>
      <c r="X941" s="78"/>
      <c r="Y941" s="78"/>
      <c r="Z941" s="78"/>
      <c r="AA941">
        <f>IF(COUNTIF('Call Queue'!$H$6:$H$20,V941)&gt;0,0,IF(AND(ISNUMBER(N941),N941&gt;0),10000000+N941,IF(ISNUMBER(N941*1),IF(N941*1&gt;0,10000000+N941*1,0),0))+IF(ISNUMBER(SEARCH("(",L941)),1000000+IFERROR(VALUE(SUBSTITUTE(SUBSTITUTE(SUBSTITUTE(MID(L941,SEARCH("(",L941)+1,SEARCH(")",L941)-SEARCH("(",L941)-1),"$",""),",","")," ","")),0),0))</f>
        <v>0</v>
      </c>
    </row>
    <row r="942" spans="1:27">
      <c r="A942" s="76">
        <v>45940</v>
      </c>
      <c r="B942" s="77" t="s">
        <v>3517</v>
      </c>
      <c r="C942" s="77" t="s">
        <v>1729</v>
      </c>
      <c r="D942" s="77" t="s">
        <v>2429</v>
      </c>
      <c r="E942" s="77">
        <v>85132</v>
      </c>
      <c r="F942" s="77" t="s">
        <v>3518</v>
      </c>
      <c r="G942" s="77" t="s">
        <v>3512</v>
      </c>
      <c r="H942" s="77">
        <v>1790274066</v>
      </c>
      <c r="I942" s="77" t="s">
        <v>250</v>
      </c>
      <c r="J942" s="77" t="s">
        <v>37</v>
      </c>
      <c r="K942" s="77" t="s">
        <v>37</v>
      </c>
      <c r="L942" s="77" t="s">
        <v>38</v>
      </c>
      <c r="M942" s="77" t="s">
        <v>37</v>
      </c>
      <c r="N942" s="77" t="s">
        <v>37</v>
      </c>
      <c r="O942" s="77" t="s">
        <v>38</v>
      </c>
      <c r="P942" s="77" t="s">
        <v>39</v>
      </c>
      <c r="Q942" s="76">
        <v>45954</v>
      </c>
      <c r="R942" s="77"/>
      <c r="S942" s="77"/>
      <c r="T942" s="77"/>
      <c r="U942" s="77"/>
      <c r="V942" s="78" t="s">
        <v>5432</v>
      </c>
      <c r="W942" s="79">
        <v>46074</v>
      </c>
      <c r="X942" s="78" t="s">
        <v>37</v>
      </c>
      <c r="Y942" s="78" t="s">
        <v>5442</v>
      </c>
      <c r="Z942" s="78" t="s">
        <v>5475</v>
      </c>
      <c r="AA942">
        <f>IF(COUNTIF('Call Queue'!$H$6:$H$20,V942)&gt;0,0,IF(AND(ISNUMBER(N942),N942&gt;0),10000000+N942,IF(ISNUMBER(N942*1),IF(N942*1&gt;0,10000000+N942*1,0),0))+IF(ISNUMBER(SEARCH("(",L942)),1000000+IFERROR(VALUE(SUBSTITUTE(SUBSTITUTE(SUBSTITUTE(MID(L942,SEARCH("(",L942)+1,SEARCH(")",L942)-SEARCH("(",L942)-1),"$",""),",","")," ","")),0),0))</f>
        <v>0</v>
      </c>
    </row>
    <row r="943" spans="1:27">
      <c r="A943" s="76">
        <v>45940</v>
      </c>
      <c r="B943" s="77" t="s">
        <v>3520</v>
      </c>
      <c r="C943" s="77" t="s">
        <v>420</v>
      </c>
      <c r="D943" s="77" t="s">
        <v>539</v>
      </c>
      <c r="E943" s="77">
        <v>85122</v>
      </c>
      <c r="F943" s="77" t="s">
        <v>3521</v>
      </c>
      <c r="G943" s="77" t="s">
        <v>3512</v>
      </c>
      <c r="H943" s="77">
        <v>3317467505</v>
      </c>
      <c r="I943" s="77" t="s">
        <v>36</v>
      </c>
      <c r="J943" s="77" t="s">
        <v>37</v>
      </c>
      <c r="K943" s="77" t="s">
        <v>37</v>
      </c>
      <c r="L943" s="77" t="s">
        <v>38</v>
      </c>
      <c r="M943" s="77" t="s">
        <v>37</v>
      </c>
      <c r="N943" s="77" t="s">
        <v>37</v>
      </c>
      <c r="O943" s="77" t="s">
        <v>38</v>
      </c>
      <c r="P943" s="77" t="s">
        <v>39</v>
      </c>
      <c r="Q943" s="76">
        <v>45954</v>
      </c>
      <c r="R943" s="77" t="s">
        <v>3523</v>
      </c>
      <c r="S943" s="77"/>
      <c r="T943" s="77"/>
      <c r="U943" s="77"/>
      <c r="V943" s="78" t="s">
        <v>5432</v>
      </c>
      <c r="W943" s="79">
        <v>46074</v>
      </c>
      <c r="X943" s="78" t="s">
        <v>37</v>
      </c>
      <c r="Y943" s="78" t="s">
        <v>5442</v>
      </c>
      <c r="Z943" s="78" t="s">
        <v>5475</v>
      </c>
      <c r="AA943">
        <f>IF(COUNTIF('Call Queue'!$H$6:$H$20,V943)&gt;0,0,IF(AND(ISNUMBER(N943),N943&gt;0),10000000+N943,IF(ISNUMBER(N943*1),IF(N943*1&gt;0,10000000+N943*1,0),0))+IF(ISNUMBER(SEARCH("(",L943)),1000000+IFERROR(VALUE(SUBSTITUTE(SUBSTITUTE(SUBSTITUTE(MID(L943,SEARCH("(",L943)+1,SEARCH(")",L943)-SEARCH("(",L943)-1),"$",""),",","")," ","")),0),0))</f>
        <v>0</v>
      </c>
    </row>
    <row r="944" spans="1:27">
      <c r="A944" s="76">
        <v>45940</v>
      </c>
      <c r="B944" s="77" t="s">
        <v>3520</v>
      </c>
      <c r="C944" s="77" t="s">
        <v>597</v>
      </c>
      <c r="D944" s="77" t="s">
        <v>539</v>
      </c>
      <c r="E944" s="77">
        <v>85122</v>
      </c>
      <c r="F944" s="77" t="s">
        <v>3524</v>
      </c>
      <c r="G944" s="77" t="s">
        <v>3512</v>
      </c>
      <c r="H944" s="77">
        <v>3317467505</v>
      </c>
      <c r="I944" s="77" t="s">
        <v>36</v>
      </c>
      <c r="J944" s="77" t="s">
        <v>37</v>
      </c>
      <c r="K944" s="77" t="s">
        <v>37</v>
      </c>
      <c r="L944" s="77" t="s">
        <v>38</v>
      </c>
      <c r="M944" s="77" t="s">
        <v>37</v>
      </c>
      <c r="N944" s="77" t="s">
        <v>37</v>
      </c>
      <c r="O944" s="77" t="s">
        <v>38</v>
      </c>
      <c r="P944" s="77" t="s">
        <v>39</v>
      </c>
      <c r="Q944" s="76">
        <v>45954</v>
      </c>
      <c r="R944" s="77" t="s">
        <v>3523</v>
      </c>
      <c r="S944" s="77"/>
      <c r="T944" s="77"/>
      <c r="U944" s="77"/>
      <c r="V944" s="78"/>
      <c r="W944" s="79"/>
      <c r="X944" s="78"/>
      <c r="Y944" s="78"/>
      <c r="Z944" s="78"/>
      <c r="AA944">
        <f>IF(COUNTIF('Call Queue'!$H$6:$H$20,V944)&gt;0,0,IF(AND(ISNUMBER(N944),N944&gt;0),10000000+N944,IF(ISNUMBER(N944*1),IF(N944*1&gt;0,10000000+N944*1,0),0))+IF(ISNUMBER(SEARCH("(",L944)),1000000+IFERROR(VALUE(SUBSTITUTE(SUBSTITUTE(SUBSTITUTE(MID(L944,SEARCH("(",L944)+1,SEARCH(")",L944)-SEARCH("(",L944)-1),"$",""),",","")," ","")),0),0))</f>
        <v>0</v>
      </c>
    </row>
    <row r="945" spans="1:27">
      <c r="A945" s="76">
        <v>45942</v>
      </c>
      <c r="B945" s="77" t="s">
        <v>3526</v>
      </c>
      <c r="C945" s="77" t="s">
        <v>145</v>
      </c>
      <c r="D945" s="77" t="s">
        <v>539</v>
      </c>
      <c r="E945" s="77">
        <v>85122</v>
      </c>
      <c r="F945" s="77" t="s">
        <v>3527</v>
      </c>
      <c r="G945" s="77" t="s">
        <v>3512</v>
      </c>
      <c r="H945" s="77">
        <v>9713723488</v>
      </c>
      <c r="I945" s="77" t="s">
        <v>36</v>
      </c>
      <c r="J945" s="77" t="s">
        <v>37</v>
      </c>
      <c r="K945" s="77" t="s">
        <v>37</v>
      </c>
      <c r="L945" s="77" t="s">
        <v>38</v>
      </c>
      <c r="M945" s="77" t="s">
        <v>37</v>
      </c>
      <c r="N945" s="77" t="s">
        <v>37</v>
      </c>
      <c r="O945" s="77" t="s">
        <v>38</v>
      </c>
      <c r="P945" s="77" t="s">
        <v>39</v>
      </c>
      <c r="Q945" s="76">
        <v>45954</v>
      </c>
      <c r="R945" s="77"/>
      <c r="S945" s="77"/>
      <c r="T945" s="77"/>
      <c r="U945" s="77"/>
      <c r="V945" s="78"/>
      <c r="W945" s="79"/>
      <c r="X945" s="78"/>
      <c r="Y945" s="78"/>
      <c r="Z945" s="78"/>
      <c r="AA945">
        <f>IF(COUNTIF('Call Queue'!$H$6:$H$20,V945)&gt;0,0,IF(AND(ISNUMBER(N945),N945&gt;0),10000000+N945,IF(ISNUMBER(N945*1),IF(N945*1&gt;0,10000000+N945*1,0),0))+IF(ISNUMBER(SEARCH("(",L945)),1000000+IFERROR(VALUE(SUBSTITUTE(SUBSTITUTE(SUBSTITUTE(MID(L945,SEARCH("(",L945)+1,SEARCH(")",L945)-SEARCH("(",L945)-1),"$",""),",","")," ","")),0),0))</f>
        <v>0</v>
      </c>
    </row>
    <row r="946" spans="1:27">
      <c r="A946" s="76">
        <v>45939</v>
      </c>
      <c r="B946" s="77" t="s">
        <v>3529</v>
      </c>
      <c r="C946" s="77" t="s">
        <v>3530</v>
      </c>
      <c r="D946" s="77" t="s">
        <v>63</v>
      </c>
      <c r="E946" s="77">
        <v>85050</v>
      </c>
      <c r="F946" s="77" t="s">
        <v>3531</v>
      </c>
      <c r="G946" s="77" t="s">
        <v>3512</v>
      </c>
      <c r="H946" s="77">
        <v>2707161000</v>
      </c>
      <c r="I946" s="77" t="s">
        <v>3533</v>
      </c>
      <c r="J946" s="77" t="s">
        <v>37</v>
      </c>
      <c r="K946" s="77" t="s">
        <v>37</v>
      </c>
      <c r="L946" s="77" t="s">
        <v>389</v>
      </c>
      <c r="M946" s="77" t="s">
        <v>37</v>
      </c>
      <c r="N946" s="77" t="s">
        <v>37</v>
      </c>
      <c r="O946" s="77" t="s">
        <v>38</v>
      </c>
      <c r="P946" s="77" t="s">
        <v>39</v>
      </c>
      <c r="Q946" s="76">
        <v>45954</v>
      </c>
      <c r="R946" s="77"/>
      <c r="S946" s="77"/>
      <c r="T946" s="77"/>
      <c r="U946" s="77"/>
      <c r="V946" s="78" t="s">
        <v>5432</v>
      </c>
      <c r="W946" s="79">
        <v>46074</v>
      </c>
      <c r="X946" s="78" t="s">
        <v>37</v>
      </c>
      <c r="Y946" s="78" t="s">
        <v>5442</v>
      </c>
      <c r="Z946" s="78" t="s">
        <v>5475</v>
      </c>
      <c r="AA946">
        <f>IF(COUNTIF('Call Queue'!$H$6:$H$20,V946)&gt;0,0,IF(AND(ISNUMBER(N946),N946&gt;0),10000000+N946,IF(ISNUMBER(N946*1),IF(N946*1&gt;0,10000000+N946*1,0),0))+IF(ISNUMBER(SEARCH("(",L946)),1000000+IFERROR(VALUE(SUBSTITUTE(SUBSTITUTE(SUBSTITUTE(MID(L946,SEARCH("(",L946)+1,SEARCH(")",L946)-SEARCH("(",L946)-1),"$",""),",","")," ","")),0),0))</f>
        <v>0</v>
      </c>
    </row>
    <row r="947" spans="1:27">
      <c r="A947" s="76">
        <v>45940</v>
      </c>
      <c r="B947" s="77" t="s">
        <v>3534</v>
      </c>
      <c r="C947" s="77" t="s">
        <v>2772</v>
      </c>
      <c r="D947" s="77" t="s">
        <v>2542</v>
      </c>
      <c r="E947" s="77">
        <v>86325</v>
      </c>
      <c r="F947" s="77" t="s">
        <v>3535</v>
      </c>
      <c r="G947" s="77" t="s">
        <v>3512</v>
      </c>
      <c r="H947" s="77">
        <v>4322390000</v>
      </c>
      <c r="I947" s="77" t="s">
        <v>73</v>
      </c>
      <c r="J947" s="77" t="s">
        <v>38</v>
      </c>
      <c r="K947" s="77" t="s">
        <v>37</v>
      </c>
      <c r="L947" s="77" t="s">
        <v>1420</v>
      </c>
      <c r="M947" s="77" t="s">
        <v>37</v>
      </c>
      <c r="N947" s="77" t="s">
        <v>37</v>
      </c>
      <c r="O947" s="77" t="s">
        <v>38</v>
      </c>
      <c r="P947" s="77" t="s">
        <v>39</v>
      </c>
      <c r="Q947" s="76">
        <v>45954</v>
      </c>
      <c r="R947" s="77" t="s">
        <v>3537</v>
      </c>
      <c r="S947" s="77"/>
      <c r="T947" s="77"/>
      <c r="U947" s="77"/>
      <c r="V947" s="78" t="s">
        <v>5432</v>
      </c>
      <c r="W947" s="79">
        <v>46067</v>
      </c>
      <c r="X947" s="78" t="s">
        <v>37</v>
      </c>
      <c r="Y947" s="78" t="s">
        <v>5442</v>
      </c>
      <c r="Z947" s="78"/>
      <c r="AA947">
        <f>IF(COUNTIF('Call Queue'!$H$6:$H$20,V947)&gt;0,0,IF(AND(ISNUMBER(N947),N947&gt;0),10000000+N947,IF(ISNUMBER(N947*1),IF(N947*1&gt;0,10000000+N947*1,0),0))+IF(ISNUMBER(SEARCH("(",L947)),1000000+IFERROR(VALUE(SUBSTITUTE(SUBSTITUTE(SUBSTITUTE(MID(L947,SEARCH("(",L947)+1,SEARCH(")",L947)-SEARCH("(",L947)-1),"$",""),",","")," ","")),0),0))</f>
        <v>0</v>
      </c>
    </row>
    <row r="948" spans="1:27">
      <c r="A948" s="76">
        <v>45940</v>
      </c>
      <c r="B948" s="77" t="s">
        <v>3541</v>
      </c>
      <c r="C948" s="77" t="s">
        <v>3542</v>
      </c>
      <c r="D948" s="77" t="s">
        <v>63</v>
      </c>
      <c r="E948" s="77">
        <v>85029</v>
      </c>
      <c r="F948" s="77" t="s">
        <v>3531</v>
      </c>
      <c r="G948" s="77" t="s">
        <v>3512</v>
      </c>
      <c r="H948" s="77">
        <v>9543902054</v>
      </c>
      <c r="I948" s="77" t="s">
        <v>418</v>
      </c>
      <c r="J948" s="77" t="s">
        <v>37</v>
      </c>
      <c r="K948" s="77" t="s">
        <v>37</v>
      </c>
      <c r="L948" s="77" t="s">
        <v>389</v>
      </c>
      <c r="M948" s="77" t="s">
        <v>38</v>
      </c>
      <c r="N948" s="77">
        <v>288.29000000000002</v>
      </c>
      <c r="O948" s="77" t="s">
        <v>38</v>
      </c>
      <c r="P948" s="77" t="s">
        <v>39</v>
      </c>
      <c r="Q948" s="76">
        <v>45954</v>
      </c>
      <c r="R948" s="77"/>
      <c r="S948" s="77"/>
      <c r="T948" s="77"/>
      <c r="U948" s="77"/>
      <c r="V948" s="78" t="s">
        <v>5432</v>
      </c>
      <c r="W948" s="79">
        <v>45997</v>
      </c>
      <c r="X948" s="78" t="s">
        <v>38</v>
      </c>
      <c r="Y948" s="78"/>
      <c r="Z948" s="78" t="s">
        <v>5434</v>
      </c>
      <c r="AA948">
        <f>IF(COUNTIF('Call Queue'!$H$6:$H$20,V948)&gt;0,0,IF(AND(ISNUMBER(N948),N948&gt;0),10000000+N948,IF(ISNUMBER(N948*1),IF(N948*1&gt;0,10000000+N948*1,0),0))+IF(ISNUMBER(SEARCH("(",L948)),1000000+IFERROR(VALUE(SUBSTITUTE(SUBSTITUTE(SUBSTITUTE(MID(L948,SEARCH("(",L948)+1,SEARCH(")",L948)-SEARCH("(",L948)-1),"$",""),",","")," ","")),0),0))</f>
        <v>0</v>
      </c>
    </row>
    <row r="949" spans="1:27">
      <c r="A949" s="76">
        <v>45940</v>
      </c>
      <c r="B949" s="77" t="s">
        <v>3544</v>
      </c>
      <c r="C949" s="77" t="s">
        <v>3023</v>
      </c>
      <c r="D949" s="77" t="s">
        <v>93</v>
      </c>
      <c r="E949" s="77">
        <v>85373</v>
      </c>
      <c r="F949" s="77" t="s">
        <v>3531</v>
      </c>
      <c r="G949" s="77" t="s">
        <v>3512</v>
      </c>
      <c r="H949" s="77">
        <v>4057076823</v>
      </c>
      <c r="I949" s="77" t="s">
        <v>57</v>
      </c>
      <c r="J949" s="77" t="s">
        <v>38</v>
      </c>
      <c r="K949" s="77" t="s">
        <v>37</v>
      </c>
      <c r="L949" s="77" t="s">
        <v>3546</v>
      </c>
      <c r="M949" s="77" t="s">
        <v>37</v>
      </c>
      <c r="N949" s="77" t="s">
        <v>37</v>
      </c>
      <c r="O949" s="77" t="s">
        <v>38</v>
      </c>
      <c r="P949" s="77">
        <v>45945</v>
      </c>
      <c r="Q949" s="76">
        <v>45954</v>
      </c>
      <c r="R949" s="77" t="s">
        <v>2440</v>
      </c>
      <c r="S949" s="77"/>
      <c r="T949" s="77"/>
      <c r="U949" s="77"/>
      <c r="V949" s="78" t="s">
        <v>5432</v>
      </c>
      <c r="W949" s="79">
        <v>46032</v>
      </c>
      <c r="X949" s="78" t="s">
        <v>38</v>
      </c>
      <c r="Y949" s="78"/>
      <c r="Z949" s="78" t="s">
        <v>5543</v>
      </c>
      <c r="AA949">
        <f>IF(COUNTIF('Call Queue'!$H$6:$H$20,V949)&gt;0,0,IF(AND(ISNUMBER(N949),N949&gt;0),10000000+N949,IF(ISNUMBER(N949*1),IF(N949*1&gt;0,10000000+N949*1,0),0))+IF(ISNUMBER(SEARCH("(",L949)),1000000+IFERROR(VALUE(SUBSTITUTE(SUBSTITUTE(SUBSTITUTE(MID(L949,SEARCH("(",L949)+1,SEARCH(")",L949)-SEARCH("(",L949)-1),"$",""),",","")," ","")),0),0))</f>
        <v>0</v>
      </c>
    </row>
    <row r="950" spans="1:27">
      <c r="A950" s="76">
        <v>45940</v>
      </c>
      <c r="B950" s="77" t="s">
        <v>3547</v>
      </c>
      <c r="C950" s="77" t="s">
        <v>3548</v>
      </c>
      <c r="D950" s="77" t="s">
        <v>68</v>
      </c>
      <c r="E950" s="77">
        <v>85331</v>
      </c>
      <c r="F950" s="77" t="s">
        <v>3531</v>
      </c>
      <c r="G950" s="77" t="s">
        <v>3512</v>
      </c>
      <c r="H950" s="77">
        <v>2725650087</v>
      </c>
      <c r="I950" s="77" t="s">
        <v>46</v>
      </c>
      <c r="J950" s="77" t="s">
        <v>37</v>
      </c>
      <c r="K950" s="77" t="s">
        <v>37</v>
      </c>
      <c r="L950" s="77" t="s">
        <v>401</v>
      </c>
      <c r="M950" s="77" t="s">
        <v>37</v>
      </c>
      <c r="N950" s="77" t="s">
        <v>37</v>
      </c>
      <c r="O950" s="77" t="s">
        <v>38</v>
      </c>
      <c r="P950" s="77" t="s">
        <v>39</v>
      </c>
      <c r="Q950" s="76">
        <v>45954</v>
      </c>
      <c r="R950" s="77" t="s">
        <v>3550</v>
      </c>
      <c r="S950" s="77"/>
      <c r="T950" s="77"/>
      <c r="U950" s="77"/>
      <c r="V950" s="78" t="s">
        <v>5432</v>
      </c>
      <c r="W950" s="79">
        <v>46053</v>
      </c>
      <c r="X950" s="78" t="s">
        <v>37</v>
      </c>
      <c r="Y950" s="78" t="s">
        <v>5442</v>
      </c>
      <c r="Z950" s="78"/>
      <c r="AA950">
        <f>IF(COUNTIF('Call Queue'!$H$6:$H$20,V950)&gt;0,0,IF(AND(ISNUMBER(N950),N950&gt;0),10000000+N950,IF(ISNUMBER(N950*1),IF(N950*1&gt;0,10000000+N950*1,0),0))+IF(ISNUMBER(SEARCH("(",L950)),1000000+IFERROR(VALUE(SUBSTITUTE(SUBSTITUTE(SUBSTITUTE(MID(L950,SEARCH("(",L950)+1,SEARCH(")",L950)-SEARCH("(",L950)-1),"$",""),",","")," ","")),0),0))</f>
        <v>0</v>
      </c>
    </row>
    <row r="951" spans="1:27">
      <c r="A951" s="76">
        <v>45940</v>
      </c>
      <c r="B951" s="77" t="s">
        <v>3551</v>
      </c>
      <c r="C951" s="77" t="s">
        <v>307</v>
      </c>
      <c r="D951" s="77" t="s">
        <v>63</v>
      </c>
      <c r="E951" s="77">
        <v>85050</v>
      </c>
      <c r="F951" s="77" t="s">
        <v>3531</v>
      </c>
      <c r="G951" s="77" t="s">
        <v>3512</v>
      </c>
      <c r="H951" s="77">
        <v>9804331000</v>
      </c>
      <c r="I951" s="77" t="s">
        <v>541</v>
      </c>
      <c r="J951" s="77" t="s">
        <v>37</v>
      </c>
      <c r="K951" s="77" t="s">
        <v>37</v>
      </c>
      <c r="L951" s="77" t="s">
        <v>389</v>
      </c>
      <c r="M951" s="77" t="s">
        <v>37</v>
      </c>
      <c r="N951" s="77" t="s">
        <v>37</v>
      </c>
      <c r="O951" s="77" t="s">
        <v>38</v>
      </c>
      <c r="P951" s="77" t="s">
        <v>39</v>
      </c>
      <c r="Q951" s="76">
        <v>45954</v>
      </c>
      <c r="R951" s="77"/>
      <c r="S951" s="77"/>
      <c r="T951" s="77"/>
      <c r="U951" s="77"/>
      <c r="V951" s="78"/>
      <c r="W951" s="79"/>
      <c r="X951" s="78"/>
      <c r="Y951" s="78"/>
      <c r="Z951" s="78"/>
      <c r="AA951">
        <f>IF(COUNTIF('Call Queue'!$H$6:$H$20,V951)&gt;0,0,IF(AND(ISNUMBER(N951),N951&gt;0),10000000+N951,IF(ISNUMBER(N951*1),IF(N951*1&gt;0,10000000+N951*1,0),0))+IF(ISNUMBER(SEARCH("(",L951)),1000000+IFERROR(VALUE(SUBSTITUTE(SUBSTITUTE(SUBSTITUTE(MID(L951,SEARCH("(",L951)+1,SEARCH(")",L951)-SEARCH("(",L951)-1),"$",""),",","")," ","")),0),0))</f>
        <v>0</v>
      </c>
    </row>
    <row r="952" spans="1:27">
      <c r="A952" s="76">
        <v>45940</v>
      </c>
      <c r="B952" s="77" t="s">
        <v>3553</v>
      </c>
      <c r="C952" s="77" t="s">
        <v>3554</v>
      </c>
      <c r="D952" s="77" t="s">
        <v>125</v>
      </c>
      <c r="E952" s="77">
        <v>85254</v>
      </c>
      <c r="F952" s="77" t="s">
        <v>3531</v>
      </c>
      <c r="G952" s="77" t="s">
        <v>3512</v>
      </c>
      <c r="H952" s="77">
        <v>5596059869</v>
      </c>
      <c r="I952" s="77" t="s">
        <v>196</v>
      </c>
      <c r="J952" s="77" t="s">
        <v>37</v>
      </c>
      <c r="K952" s="77" t="s">
        <v>37</v>
      </c>
      <c r="L952" s="77" t="s">
        <v>3556</v>
      </c>
      <c r="M952" s="77" t="s">
        <v>38</v>
      </c>
      <c r="N952" s="77">
        <v>2463.12</v>
      </c>
      <c r="O952" s="77" t="s">
        <v>38</v>
      </c>
      <c r="P952" s="77">
        <v>45945</v>
      </c>
      <c r="Q952" s="76">
        <v>45954</v>
      </c>
      <c r="R952" s="77" t="s">
        <v>3557</v>
      </c>
      <c r="S952" s="77"/>
      <c r="T952" s="77"/>
      <c r="U952" s="77"/>
      <c r="V952" s="78" t="s">
        <v>5432</v>
      </c>
      <c r="W952" s="79">
        <v>46032</v>
      </c>
      <c r="X952" s="78"/>
      <c r="Y952" s="78" t="s">
        <v>5527</v>
      </c>
      <c r="Z952" s="78" t="s">
        <v>5579</v>
      </c>
      <c r="AA952">
        <f>IF(COUNTIF('Call Queue'!$H$6:$H$20,V952)&gt;0,0,IF(AND(ISNUMBER(N952),N952&gt;0),10000000+N952,IF(ISNUMBER(N952*1),IF(N952*1&gt;0,10000000+N952*1,0),0))+IF(ISNUMBER(SEARCH("(",L952)),1000000+IFERROR(VALUE(SUBSTITUTE(SUBSTITUTE(SUBSTITUTE(MID(L952,SEARCH("(",L952)+1,SEARCH(")",L952)-SEARCH("(",L952)-1),"$",""),",","")," ","")),0),0))</f>
        <v>0</v>
      </c>
    </row>
    <row r="953" spans="1:27">
      <c r="A953" s="76">
        <v>45944</v>
      </c>
      <c r="B953" s="77" t="s">
        <v>3561</v>
      </c>
      <c r="C953" s="77" t="s">
        <v>481</v>
      </c>
      <c r="D953" s="77" t="s">
        <v>30</v>
      </c>
      <c r="E953" s="77" t="s">
        <v>30</v>
      </c>
      <c r="F953" s="77" t="s">
        <v>3562</v>
      </c>
      <c r="G953" s="77" t="s">
        <v>3563</v>
      </c>
      <c r="H953" s="77" t="s">
        <v>209</v>
      </c>
      <c r="I953" s="77"/>
      <c r="J953" s="77"/>
      <c r="K953" s="77"/>
      <c r="L953" s="77"/>
      <c r="M953" s="77"/>
      <c r="N953" s="77"/>
      <c r="O953" s="77"/>
      <c r="P953" s="77"/>
      <c r="Q953" s="76"/>
      <c r="R953" s="77"/>
      <c r="S953" s="77"/>
      <c r="T953" s="77"/>
      <c r="U953" s="77"/>
      <c r="V953" s="78"/>
      <c r="W953" s="79"/>
      <c r="X953" s="78"/>
      <c r="Y953" s="78"/>
      <c r="Z953" s="78"/>
      <c r="AA953">
        <f>IF(COUNTIF('Call Queue'!$H$6:$H$20,V953)&gt;0,0,IF(AND(ISNUMBER(N953),N953&gt;0),10000000+N953,IF(ISNUMBER(N953*1),IF(N953*1&gt;0,10000000+N953*1,0),0))+IF(ISNUMBER(SEARCH("(",L953)),1000000+IFERROR(VALUE(SUBSTITUTE(SUBSTITUTE(SUBSTITUTE(MID(L953,SEARCH("(",L953)+1,SEARCH(")",L953)-SEARCH("(",L953)-1),"$",""),",","")," ","")),0),0))</f>
        <v>0</v>
      </c>
    </row>
    <row r="954" spans="1:27">
      <c r="A954" s="76">
        <v>45944</v>
      </c>
      <c r="B954" s="77" t="s">
        <v>3564</v>
      </c>
      <c r="C954" s="77" t="s">
        <v>3565</v>
      </c>
      <c r="D954" s="77" t="s">
        <v>63</v>
      </c>
      <c r="E954" s="77">
        <v>85032</v>
      </c>
      <c r="F954" s="77" t="s">
        <v>3531</v>
      </c>
      <c r="G954" s="77" t="s">
        <v>3563</v>
      </c>
      <c r="H954" s="77">
        <v>5687941000</v>
      </c>
      <c r="I954" s="77" t="s">
        <v>36</v>
      </c>
      <c r="J954" s="77" t="s">
        <v>37</v>
      </c>
      <c r="K954" s="77" t="s">
        <v>37</v>
      </c>
      <c r="L954" s="77" t="s">
        <v>1586</v>
      </c>
      <c r="M954" s="77" t="s">
        <v>37</v>
      </c>
      <c r="N954" s="77" t="s">
        <v>37</v>
      </c>
      <c r="O954" s="77" t="s">
        <v>38</v>
      </c>
      <c r="P954" s="77" t="s">
        <v>39</v>
      </c>
      <c r="Q954" s="76">
        <v>45954</v>
      </c>
      <c r="R954" s="77"/>
      <c r="S954" s="77"/>
      <c r="T954" s="77"/>
      <c r="U954" s="77"/>
      <c r="V954" s="78"/>
      <c r="W954" s="79"/>
      <c r="X954" s="78"/>
      <c r="Y954" s="78"/>
      <c r="Z954" s="78"/>
      <c r="AA954">
        <f>IF(COUNTIF('Call Queue'!$H$6:$H$20,V954)&gt;0,0,IF(AND(ISNUMBER(N954),N954&gt;0),10000000+N954,IF(ISNUMBER(N954*1),IF(N954*1&gt;0,10000000+N954*1,0),0))+IF(ISNUMBER(SEARCH("(",L954)),1000000+IFERROR(VALUE(SUBSTITUTE(SUBSTITUTE(SUBSTITUTE(MID(L954,SEARCH("(",L954)+1,SEARCH(")",L954)-SEARCH("(",L954)-1),"$",""),",","")," ","")),0),0))</f>
        <v>0</v>
      </c>
    </row>
    <row r="955" spans="1:27">
      <c r="A955" s="76">
        <v>45944</v>
      </c>
      <c r="B955" s="77" t="s">
        <v>3567</v>
      </c>
      <c r="C955" s="77" t="s">
        <v>3568</v>
      </c>
      <c r="D955" s="77" t="s">
        <v>93</v>
      </c>
      <c r="E955" s="77">
        <v>85351</v>
      </c>
      <c r="F955" s="77" t="s">
        <v>3569</v>
      </c>
      <c r="G955" s="77" t="s">
        <v>3563</v>
      </c>
      <c r="H955" s="77">
        <v>4095570000</v>
      </c>
      <c r="I955" s="77" t="s">
        <v>36</v>
      </c>
      <c r="J955" s="77" t="s">
        <v>37</v>
      </c>
      <c r="K955" s="77" t="s">
        <v>37</v>
      </c>
      <c r="L955" s="77" t="s">
        <v>1586</v>
      </c>
      <c r="M955" s="77" t="s">
        <v>37</v>
      </c>
      <c r="N955" s="77" t="s">
        <v>37</v>
      </c>
      <c r="O955" s="77" t="s">
        <v>38</v>
      </c>
      <c r="P955" s="77" t="s">
        <v>39</v>
      </c>
      <c r="Q955" s="76">
        <v>45954</v>
      </c>
      <c r="R955" s="77"/>
      <c r="S955" s="77"/>
      <c r="T955" s="77"/>
      <c r="U955" s="77"/>
      <c r="V955" s="78" t="s">
        <v>5432</v>
      </c>
      <c r="W955" s="79">
        <v>46067</v>
      </c>
      <c r="X955" s="78" t="s">
        <v>37</v>
      </c>
      <c r="Y955" s="78"/>
      <c r="Z955" s="78" t="s">
        <v>5579</v>
      </c>
      <c r="AA955">
        <f>IF(COUNTIF('Call Queue'!$H$6:$H$20,V955)&gt;0,0,IF(AND(ISNUMBER(N955),N955&gt;0),10000000+N955,IF(ISNUMBER(N955*1),IF(N955*1&gt;0,10000000+N955*1,0),0))+IF(ISNUMBER(SEARCH("(",L955)),1000000+IFERROR(VALUE(SUBSTITUTE(SUBSTITUTE(SUBSTITUTE(MID(L955,SEARCH("(",L955)+1,SEARCH(")",L955)-SEARCH("(",L955)-1),"$",""),",","")," ","")),0),0))</f>
        <v>0</v>
      </c>
    </row>
    <row r="956" spans="1:27">
      <c r="A956" s="76">
        <v>45944</v>
      </c>
      <c r="B956" s="77" t="s">
        <v>3571</v>
      </c>
      <c r="C956" s="77" t="s">
        <v>3540</v>
      </c>
      <c r="D956" s="77" t="s">
        <v>93</v>
      </c>
      <c r="E956" s="77">
        <v>85351</v>
      </c>
      <c r="F956" s="77" t="s">
        <v>3569</v>
      </c>
      <c r="G956" s="77" t="s">
        <v>3563</v>
      </c>
      <c r="H956" s="77">
        <v>4095570000</v>
      </c>
      <c r="I956" s="77" t="s">
        <v>36</v>
      </c>
      <c r="J956" s="77" t="s">
        <v>37</v>
      </c>
      <c r="K956" s="77" t="s">
        <v>37</v>
      </c>
      <c r="L956" s="77" t="s">
        <v>1586</v>
      </c>
      <c r="M956" s="77" t="s">
        <v>37</v>
      </c>
      <c r="N956" s="77" t="s">
        <v>37</v>
      </c>
      <c r="O956" s="77" t="s">
        <v>38</v>
      </c>
      <c r="P956" s="77" t="s">
        <v>39</v>
      </c>
      <c r="Q956" s="76">
        <v>45954</v>
      </c>
      <c r="R956" s="77"/>
      <c r="S956" s="77"/>
      <c r="T956" s="77"/>
      <c r="U956" s="77"/>
      <c r="V956" s="78" t="s">
        <v>5432</v>
      </c>
      <c r="W956" s="79">
        <v>46067</v>
      </c>
      <c r="X956" s="78" t="s">
        <v>37</v>
      </c>
      <c r="Y956" s="78" t="s">
        <v>5442</v>
      </c>
      <c r="Z956" s="78" t="s">
        <v>5610</v>
      </c>
      <c r="AA956">
        <f>IF(COUNTIF('Call Queue'!$H$6:$H$20,V956)&gt;0,0,IF(AND(ISNUMBER(N956),N956&gt;0),10000000+N956,IF(ISNUMBER(N956*1),IF(N956*1&gt;0,10000000+N956*1,0),0))+IF(ISNUMBER(SEARCH("(",L956)),1000000+IFERROR(VALUE(SUBSTITUTE(SUBSTITUTE(SUBSTITUTE(MID(L956,SEARCH("(",L956)+1,SEARCH(")",L956)-SEARCH("(",L956)-1),"$",""),",","")," ","")),0),0))</f>
        <v>0</v>
      </c>
    </row>
    <row r="957" spans="1:27">
      <c r="A957" s="76">
        <v>45944</v>
      </c>
      <c r="B957" s="77" t="s">
        <v>3534</v>
      </c>
      <c r="C957" s="77" t="s">
        <v>2772</v>
      </c>
      <c r="D957" s="77" t="s">
        <v>2542</v>
      </c>
      <c r="E957" s="77">
        <v>86325</v>
      </c>
      <c r="F957" s="77" t="s">
        <v>3572</v>
      </c>
      <c r="G957" s="77" t="s">
        <v>3563</v>
      </c>
      <c r="H957" s="77">
        <v>4322390000</v>
      </c>
      <c r="I957" s="77" t="s">
        <v>73</v>
      </c>
      <c r="J957" s="77" t="s">
        <v>38</v>
      </c>
      <c r="K957" s="77" t="s">
        <v>37</v>
      </c>
      <c r="L957" s="77" t="s">
        <v>1420</v>
      </c>
      <c r="M957" s="77" t="s">
        <v>37</v>
      </c>
      <c r="N957" s="77" t="s">
        <v>37</v>
      </c>
      <c r="O957" s="77" t="s">
        <v>38</v>
      </c>
      <c r="P957" s="77" t="s">
        <v>39</v>
      </c>
      <c r="Q957" s="76">
        <v>45954</v>
      </c>
      <c r="R957" s="77" t="s">
        <v>3537</v>
      </c>
      <c r="S957" s="77"/>
      <c r="T957" s="77"/>
      <c r="U957" s="77"/>
      <c r="V957" s="78"/>
      <c r="W957" s="79"/>
      <c r="X957" s="78"/>
      <c r="Y957" s="78"/>
      <c r="Z957" s="78"/>
      <c r="AA957">
        <f>IF(COUNTIF('Call Queue'!$H$6:$H$20,V957)&gt;0,0,IF(AND(ISNUMBER(N957),N957&gt;0),10000000+N957,IF(ISNUMBER(N957*1),IF(N957*1&gt;0,10000000+N957*1,0),0))+IF(ISNUMBER(SEARCH("(",L957)),1000000+IFERROR(VALUE(SUBSTITUTE(SUBSTITUTE(SUBSTITUTE(MID(L957,SEARCH("(",L957)+1,SEARCH(")",L957)-SEARCH("(",L957)-1),"$",""),",","")," ","")),0),0))</f>
        <v>0</v>
      </c>
    </row>
    <row r="958" spans="1:27">
      <c r="A958" s="76">
        <v>45945</v>
      </c>
      <c r="B958" s="77" t="s">
        <v>3573</v>
      </c>
      <c r="C958" s="77" t="s">
        <v>184</v>
      </c>
      <c r="D958" s="77" t="s">
        <v>2265</v>
      </c>
      <c r="E958" s="77">
        <v>85603</v>
      </c>
      <c r="F958" s="77" t="s">
        <v>3574</v>
      </c>
      <c r="G958" s="77" t="s">
        <v>3575</v>
      </c>
      <c r="H958" s="77">
        <v>5427869471</v>
      </c>
      <c r="I958" s="77" t="s">
        <v>196</v>
      </c>
      <c r="J958" s="77" t="s">
        <v>37</v>
      </c>
      <c r="K958" s="77" t="s">
        <v>37</v>
      </c>
      <c r="L958" s="77" t="s">
        <v>3577</v>
      </c>
      <c r="M958" s="77" t="s">
        <v>37</v>
      </c>
      <c r="N958" s="77" t="s">
        <v>37</v>
      </c>
      <c r="O958" s="77" t="s">
        <v>38</v>
      </c>
      <c r="P958" s="77">
        <v>45947</v>
      </c>
      <c r="Q958" s="76">
        <v>45954</v>
      </c>
      <c r="R958" s="77" t="s">
        <v>3578</v>
      </c>
      <c r="S958" s="77"/>
      <c r="T958" s="77"/>
      <c r="U958" s="77"/>
      <c r="V958" s="78" t="s">
        <v>5432</v>
      </c>
      <c r="W958" s="79">
        <v>46032</v>
      </c>
      <c r="X958" s="78" t="s">
        <v>38</v>
      </c>
      <c r="Y958" s="78"/>
      <c r="Z958" s="78" t="s">
        <v>5611</v>
      </c>
      <c r="AA958">
        <f>IF(COUNTIF('Call Queue'!$H$6:$H$20,V958)&gt;0,0,IF(AND(ISNUMBER(N958),N958&gt;0),10000000+N958,IF(ISNUMBER(N958*1),IF(N958*1&gt;0,10000000+N958*1,0),0))+IF(ISNUMBER(SEARCH("(",L958)),1000000+IFERROR(VALUE(SUBSTITUTE(SUBSTITUTE(SUBSTITUTE(MID(L958,SEARCH("(",L958)+1,SEARCH(")",L958)-SEARCH("(",L958)-1),"$",""),",","")," ","")),0),0))</f>
        <v>0</v>
      </c>
    </row>
    <row r="959" spans="1:27">
      <c r="A959" s="76">
        <v>45944</v>
      </c>
      <c r="B959" s="77" t="s">
        <v>3579</v>
      </c>
      <c r="C959" s="77" t="s">
        <v>747</v>
      </c>
      <c r="D959" s="77" t="s">
        <v>63</v>
      </c>
      <c r="E959" s="77">
        <v>85032</v>
      </c>
      <c r="F959" s="77" t="s">
        <v>3531</v>
      </c>
      <c r="G959" s="77" t="s">
        <v>3580</v>
      </c>
      <c r="H959" s="77">
        <v>6013821000</v>
      </c>
      <c r="I959" s="77" t="s">
        <v>196</v>
      </c>
      <c r="J959" s="77" t="s">
        <v>37</v>
      </c>
      <c r="K959" s="77"/>
      <c r="L959" s="77" t="s">
        <v>3582</v>
      </c>
      <c r="M959" s="77"/>
      <c r="N959" s="77"/>
      <c r="O959" s="77" t="s">
        <v>38</v>
      </c>
      <c r="P959" s="77" t="s">
        <v>39</v>
      </c>
      <c r="Q959" s="76"/>
      <c r="R959" s="77" t="s">
        <v>3583</v>
      </c>
      <c r="S959" s="77"/>
      <c r="T959" s="77"/>
      <c r="U959" s="77"/>
      <c r="V959" s="78" t="s">
        <v>5432</v>
      </c>
      <c r="W959" s="79">
        <v>46032</v>
      </c>
      <c r="X959" s="78" t="s">
        <v>38</v>
      </c>
      <c r="Y959" s="78"/>
      <c r="Z959" s="78" t="s">
        <v>5611</v>
      </c>
      <c r="AA959">
        <f>IF(COUNTIF('Call Queue'!$H$6:$H$20,V959)&gt;0,0,IF(AND(ISNUMBER(N959),N959&gt;0),10000000+N959,IF(ISNUMBER(N959*1),IF(N959*1&gt;0,10000000+N959*1,0),0))+IF(ISNUMBER(SEARCH("(",L959)),1000000+IFERROR(VALUE(SUBSTITUTE(SUBSTITUTE(SUBSTITUTE(MID(L959,SEARCH("(",L959)+1,SEARCH(")",L959)-SEARCH("(",L959)-1),"$",""),",","")," ","")),0),0))</f>
        <v>0</v>
      </c>
    </row>
    <row r="960" spans="1:27">
      <c r="A960" s="76">
        <v>45944</v>
      </c>
      <c r="B960" s="77" t="s">
        <v>3584</v>
      </c>
      <c r="C960" s="77" t="s">
        <v>685</v>
      </c>
      <c r="D960" s="77" t="s">
        <v>63</v>
      </c>
      <c r="E960" s="77">
        <v>85015</v>
      </c>
      <c r="F960" s="77" t="s">
        <v>3531</v>
      </c>
      <c r="G960" s="77" t="s">
        <v>3580</v>
      </c>
      <c r="H960" s="77">
        <v>4855301000</v>
      </c>
      <c r="I960" s="77" t="s">
        <v>57</v>
      </c>
      <c r="J960" s="77" t="s">
        <v>37</v>
      </c>
      <c r="K960" s="77" t="s">
        <v>37</v>
      </c>
      <c r="L960" s="77" t="s">
        <v>3586</v>
      </c>
      <c r="M960" s="77" t="s">
        <v>37</v>
      </c>
      <c r="N960" s="77" t="s">
        <v>37</v>
      </c>
      <c r="O960" s="77" t="s">
        <v>38</v>
      </c>
      <c r="P960" s="77">
        <v>45947</v>
      </c>
      <c r="Q960" s="76">
        <v>45954</v>
      </c>
      <c r="R960" s="77" t="s">
        <v>3587</v>
      </c>
      <c r="S960" s="77"/>
      <c r="T960" s="77"/>
      <c r="U960" s="77"/>
      <c r="V960" s="78" t="s">
        <v>5432</v>
      </c>
      <c r="W960" s="79">
        <v>46032</v>
      </c>
      <c r="X960" s="78"/>
      <c r="Y960" s="78" t="s">
        <v>5442</v>
      </c>
      <c r="Z960" s="78" t="s">
        <v>5543</v>
      </c>
      <c r="AA960">
        <f>IF(COUNTIF('Call Queue'!$H$6:$H$20,V960)&gt;0,0,IF(AND(ISNUMBER(N960),N960&gt;0),10000000+N960,IF(ISNUMBER(N960*1),IF(N960*1&gt;0,10000000+N960*1,0),0))+IF(ISNUMBER(SEARCH("(",L960)),1000000+IFERROR(VALUE(SUBSTITUTE(SUBSTITUTE(SUBSTITUTE(MID(L960,SEARCH("(",L960)+1,SEARCH(")",L960)-SEARCH("(",L960)-1),"$",""),",","")," ","")),0),0))</f>
        <v>0</v>
      </c>
    </row>
    <row r="961" spans="1:27">
      <c r="A961" s="76">
        <v>45944</v>
      </c>
      <c r="B961" s="77" t="s">
        <v>3593</v>
      </c>
      <c r="C961" s="77" t="s">
        <v>225</v>
      </c>
      <c r="D961" s="77" t="s">
        <v>63</v>
      </c>
      <c r="E961" s="77">
        <v>85032</v>
      </c>
      <c r="F961" s="77" t="s">
        <v>3531</v>
      </c>
      <c r="G961" s="77" t="s">
        <v>3580</v>
      </c>
      <c r="H961" s="77">
        <v>6922736019</v>
      </c>
      <c r="I961" s="77" t="s">
        <v>46</v>
      </c>
      <c r="J961" s="77" t="s">
        <v>37</v>
      </c>
      <c r="K961" s="77" t="s">
        <v>37</v>
      </c>
      <c r="L961" s="77" t="s">
        <v>1586</v>
      </c>
      <c r="M961" s="77" t="s">
        <v>37</v>
      </c>
      <c r="N961" s="77" t="s">
        <v>37</v>
      </c>
      <c r="O961" s="77" t="s">
        <v>38</v>
      </c>
      <c r="P961" s="77" t="s">
        <v>39</v>
      </c>
      <c r="Q961" s="76">
        <v>45954</v>
      </c>
      <c r="R961" s="77" t="s">
        <v>3595</v>
      </c>
      <c r="S961" s="77"/>
      <c r="T961" s="77"/>
      <c r="U961" s="77"/>
      <c r="V961" s="78" t="s">
        <v>5432</v>
      </c>
      <c r="W961" s="79">
        <v>46067</v>
      </c>
      <c r="X961" s="78" t="s">
        <v>38</v>
      </c>
      <c r="Y961" s="78"/>
      <c r="Z961" s="78" t="s">
        <v>5467</v>
      </c>
      <c r="AA961">
        <f>IF(COUNTIF('Call Queue'!$H$6:$H$20,V961)&gt;0,0,IF(AND(ISNUMBER(N961),N961&gt;0),10000000+N961,IF(ISNUMBER(N961*1),IF(N961*1&gt;0,10000000+N961*1,0),0))+IF(ISNUMBER(SEARCH("(",L961)),1000000+IFERROR(VALUE(SUBSTITUTE(SUBSTITUTE(SUBSTITUTE(MID(L961,SEARCH("(",L961)+1,SEARCH(")",L961)-SEARCH("(",L961)-1),"$",""),",","")," ","")),0),0))</f>
        <v>0</v>
      </c>
    </row>
    <row r="962" spans="1:27">
      <c r="A962" s="76">
        <v>45944</v>
      </c>
      <c r="B962" s="77" t="s">
        <v>167</v>
      </c>
      <c r="C962" s="77" t="s">
        <v>3596</v>
      </c>
      <c r="D962" s="77" t="s">
        <v>63</v>
      </c>
      <c r="E962" s="77">
        <v>85007</v>
      </c>
      <c r="F962" s="77" t="s">
        <v>3531</v>
      </c>
      <c r="G962" s="77" t="s">
        <v>3580</v>
      </c>
      <c r="H962" s="77">
        <v>370184572</v>
      </c>
      <c r="I962" s="77" t="s">
        <v>36</v>
      </c>
      <c r="J962" s="77" t="s">
        <v>37</v>
      </c>
      <c r="K962" s="77" t="s">
        <v>37</v>
      </c>
      <c r="L962" s="77" t="s">
        <v>1586</v>
      </c>
      <c r="M962" s="77" t="s">
        <v>37</v>
      </c>
      <c r="N962" s="77" t="s">
        <v>37</v>
      </c>
      <c r="O962" s="77" t="s">
        <v>38</v>
      </c>
      <c r="P962" s="77" t="s">
        <v>39</v>
      </c>
      <c r="Q962" s="76">
        <v>45954</v>
      </c>
      <c r="R962" s="77" t="s">
        <v>3583</v>
      </c>
      <c r="S962" s="77"/>
      <c r="T962" s="77"/>
      <c r="U962" s="77"/>
      <c r="V962" s="78"/>
      <c r="W962" s="79"/>
      <c r="X962" s="78"/>
      <c r="Y962" s="78"/>
      <c r="Z962" s="78"/>
      <c r="AA962">
        <f>IF(COUNTIF('Call Queue'!$H$6:$H$20,V962)&gt;0,0,IF(AND(ISNUMBER(N962),N962&gt;0),10000000+N962,IF(ISNUMBER(N962*1),IF(N962*1&gt;0,10000000+N962*1,0),0))+IF(ISNUMBER(SEARCH("(",L962)),1000000+IFERROR(VALUE(SUBSTITUTE(SUBSTITUTE(SUBSTITUTE(MID(L962,SEARCH("(",L962)+1,SEARCH(")",L962)-SEARCH("(",L962)-1),"$",""),",","")," ","")),0),0))</f>
        <v>0</v>
      </c>
    </row>
    <row r="963" spans="1:27">
      <c r="A963" s="76">
        <v>45945</v>
      </c>
      <c r="B963" s="77" t="s">
        <v>3601</v>
      </c>
      <c r="C963" s="77" t="s">
        <v>440</v>
      </c>
      <c r="D963" s="77" t="s">
        <v>3602</v>
      </c>
      <c r="E963" s="77">
        <v>86337</v>
      </c>
      <c r="F963" s="77" t="s">
        <v>3603</v>
      </c>
      <c r="G963" s="77" t="s">
        <v>3604</v>
      </c>
      <c r="H963" s="77">
        <v>9297010000</v>
      </c>
      <c r="I963" s="77" t="s">
        <v>418</v>
      </c>
      <c r="J963" s="77" t="s">
        <v>37</v>
      </c>
      <c r="K963" s="77" t="s">
        <v>37</v>
      </c>
      <c r="L963" s="77" t="s">
        <v>389</v>
      </c>
      <c r="M963" s="77" t="s">
        <v>37</v>
      </c>
      <c r="N963" s="77" t="s">
        <v>37</v>
      </c>
      <c r="O963" s="77" t="s">
        <v>38</v>
      </c>
      <c r="P963" s="77" t="s">
        <v>39</v>
      </c>
      <c r="Q963" s="76">
        <v>45954</v>
      </c>
      <c r="R963" s="77"/>
      <c r="S963" s="77"/>
      <c r="T963" s="77"/>
      <c r="U963" s="77"/>
      <c r="V963" s="78" t="s">
        <v>5432</v>
      </c>
      <c r="W963" s="79">
        <v>46067</v>
      </c>
      <c r="X963" s="78" t="s">
        <v>37</v>
      </c>
      <c r="Y963" s="78" t="s">
        <v>5441</v>
      </c>
      <c r="Z963" s="78" t="s">
        <v>5563</v>
      </c>
      <c r="AA963">
        <f>IF(COUNTIF('Call Queue'!$H$6:$H$20,V963)&gt;0,0,IF(AND(ISNUMBER(N963),N963&gt;0),10000000+N963,IF(ISNUMBER(N963*1),IF(N963*1&gt;0,10000000+N963*1,0),0))+IF(ISNUMBER(SEARCH("(",L963)),1000000+IFERROR(VALUE(SUBSTITUTE(SUBSTITUTE(SUBSTITUTE(MID(L963,SEARCH("(",L963)+1,SEARCH(")",L963)-SEARCH("(",L963)-1),"$",""),",","")," ","")),0),0))</f>
        <v>0</v>
      </c>
    </row>
    <row r="964" spans="1:27">
      <c r="A964" s="76">
        <v>45945</v>
      </c>
      <c r="B964" s="77" t="s">
        <v>3606</v>
      </c>
      <c r="C964" s="77" t="s">
        <v>3273</v>
      </c>
      <c r="D964" s="77" t="s">
        <v>3607</v>
      </c>
      <c r="E964" s="77">
        <v>85650</v>
      </c>
      <c r="F964" s="77" t="s">
        <v>3608</v>
      </c>
      <c r="G964" s="77" t="s">
        <v>3604</v>
      </c>
      <c r="H964" s="77">
        <v>7395790000</v>
      </c>
      <c r="I964" s="77" t="s">
        <v>36</v>
      </c>
      <c r="J964" s="77" t="s">
        <v>37</v>
      </c>
      <c r="K964" s="77" t="s">
        <v>37</v>
      </c>
      <c r="L964" s="77" t="s">
        <v>1586</v>
      </c>
      <c r="M964" s="77" t="s">
        <v>37</v>
      </c>
      <c r="N964" s="77" t="s">
        <v>37</v>
      </c>
      <c r="O964" s="77" t="s">
        <v>38</v>
      </c>
      <c r="P964" s="77" t="s">
        <v>39</v>
      </c>
      <c r="Q964" s="76">
        <v>45954</v>
      </c>
      <c r="R964" s="77"/>
      <c r="S964" s="77"/>
      <c r="T964" s="77"/>
      <c r="U964" s="77"/>
      <c r="V964" s="78"/>
      <c r="W964" s="79"/>
      <c r="X964" s="78"/>
      <c r="Y964" s="78"/>
      <c r="Z964" s="78"/>
      <c r="AA964">
        <f>IF(COUNTIF('Call Queue'!$H$6:$H$20,V964)&gt;0,0,IF(AND(ISNUMBER(N964),N964&gt;0),10000000+N964,IF(ISNUMBER(N964*1),IF(N964*1&gt;0,10000000+N964*1,0),0))+IF(ISNUMBER(SEARCH("(",L964)),1000000+IFERROR(VALUE(SUBSTITUTE(SUBSTITUTE(SUBSTITUTE(MID(L964,SEARCH("(",L964)+1,SEARCH(")",L964)-SEARCH("(",L964)-1),"$",""),",","")," ","")),0),0))</f>
        <v>0</v>
      </c>
    </row>
    <row r="965" spans="1:27">
      <c r="A965" s="76">
        <v>45946</v>
      </c>
      <c r="B965" s="77" t="s">
        <v>3612</v>
      </c>
      <c r="C965" s="77" t="s">
        <v>747</v>
      </c>
      <c r="D965" s="77" t="s">
        <v>3613</v>
      </c>
      <c r="E965" s="77">
        <v>85553</v>
      </c>
      <c r="F965" s="77" t="s">
        <v>3614</v>
      </c>
      <c r="G965" s="77" t="s">
        <v>3615</v>
      </c>
      <c r="H965" s="77">
        <v>9988610610</v>
      </c>
      <c r="I965" s="77" t="s">
        <v>541</v>
      </c>
      <c r="J965" s="77" t="s">
        <v>37</v>
      </c>
      <c r="K965" s="77" t="s">
        <v>37</v>
      </c>
      <c r="L965" s="77" t="s">
        <v>389</v>
      </c>
      <c r="M965" s="77" t="s">
        <v>37</v>
      </c>
      <c r="N965" s="77" t="s">
        <v>37</v>
      </c>
      <c r="O965" s="77" t="s">
        <v>38</v>
      </c>
      <c r="P965" s="77" t="s">
        <v>39</v>
      </c>
      <c r="Q965" s="76">
        <v>45954</v>
      </c>
      <c r="R965" s="77"/>
      <c r="S965" s="77"/>
      <c r="T965" s="77"/>
      <c r="U965" s="77"/>
      <c r="V965" s="78" t="s">
        <v>5432</v>
      </c>
      <c r="W965" s="79">
        <v>46067</v>
      </c>
      <c r="X965" s="78" t="s">
        <v>38</v>
      </c>
      <c r="Y965" s="78"/>
      <c r="Z965" s="78" t="s">
        <v>5467</v>
      </c>
      <c r="AA965">
        <f>IF(COUNTIF('Call Queue'!$H$6:$H$20,V965)&gt;0,0,IF(AND(ISNUMBER(N965),N965&gt;0),10000000+N965,IF(ISNUMBER(N965*1),IF(N965*1&gt;0,10000000+N965*1,0),0))+IF(ISNUMBER(SEARCH("(",L965)),1000000+IFERROR(VALUE(SUBSTITUTE(SUBSTITUTE(SUBSTITUTE(MID(L965,SEARCH("(",L965)+1,SEARCH(")",L965)-SEARCH("(",L965)-1),"$",""),",","")," ","")),0),0))</f>
        <v>0</v>
      </c>
    </row>
    <row r="966" spans="1:27">
      <c r="A966" s="76">
        <v>45946</v>
      </c>
      <c r="B966" s="77" t="s">
        <v>990</v>
      </c>
      <c r="C966" s="77" t="s">
        <v>3617</v>
      </c>
      <c r="D966" s="77" t="s">
        <v>63</v>
      </c>
      <c r="E966" s="77">
        <v>85024</v>
      </c>
      <c r="F966" s="77" t="s">
        <v>3618</v>
      </c>
      <c r="G966" s="77" t="s">
        <v>3619</v>
      </c>
      <c r="H966" s="77">
        <v>7948393933</v>
      </c>
      <c r="I966" s="77" t="s">
        <v>36</v>
      </c>
      <c r="J966" s="77" t="s">
        <v>37</v>
      </c>
      <c r="K966" s="77" t="s">
        <v>37</v>
      </c>
      <c r="L966" s="77" t="s">
        <v>1586</v>
      </c>
      <c r="M966" s="77" t="s">
        <v>37</v>
      </c>
      <c r="N966" s="77" t="s">
        <v>37</v>
      </c>
      <c r="O966" s="77" t="s">
        <v>38</v>
      </c>
      <c r="P966" s="77" t="s">
        <v>39</v>
      </c>
      <c r="Q966" s="76">
        <v>45954</v>
      </c>
      <c r="R966" s="77"/>
      <c r="S966" s="77"/>
      <c r="T966" s="77"/>
      <c r="U966" s="77"/>
      <c r="V966" s="78"/>
      <c r="W966" s="79"/>
      <c r="X966" s="78"/>
      <c r="Y966" s="78"/>
      <c r="Z966" s="78"/>
      <c r="AA966">
        <f>IF(COUNTIF('Call Queue'!$H$6:$H$20,V966)&gt;0,0,IF(AND(ISNUMBER(N966),N966&gt;0),10000000+N966,IF(ISNUMBER(N966*1),IF(N966*1&gt;0,10000000+N966*1,0),0))+IF(ISNUMBER(SEARCH("(",L966)),1000000+IFERROR(VALUE(SUBSTITUTE(SUBSTITUTE(SUBSTITUTE(MID(L966,SEARCH("(",L966)+1,SEARCH(")",L966)-SEARCH("(",L966)-1),"$",""),",","")," ","")),0),0))</f>
        <v>0</v>
      </c>
    </row>
    <row r="967" spans="1:27">
      <c r="A967" s="76">
        <v>45946</v>
      </c>
      <c r="B967" s="77" t="s">
        <v>3431</v>
      </c>
      <c r="C967" s="77" t="s">
        <v>3621</v>
      </c>
      <c r="D967" s="77" t="s">
        <v>816</v>
      </c>
      <c r="E967" s="77">
        <v>86301</v>
      </c>
      <c r="F967" s="77" t="s">
        <v>3622</v>
      </c>
      <c r="G967" s="77" t="s">
        <v>3623</v>
      </c>
      <c r="H967" s="77">
        <v>8909137526</v>
      </c>
      <c r="I967" s="77" t="s">
        <v>36</v>
      </c>
      <c r="J967" s="77" t="s">
        <v>37</v>
      </c>
      <c r="K967" s="77" t="s">
        <v>37</v>
      </c>
      <c r="L967" s="77" t="s">
        <v>1586</v>
      </c>
      <c r="M967" s="77" t="s">
        <v>37</v>
      </c>
      <c r="N967" s="77" t="s">
        <v>37</v>
      </c>
      <c r="O967" s="77" t="s">
        <v>38</v>
      </c>
      <c r="P967" s="77" t="s">
        <v>39</v>
      </c>
      <c r="Q967" s="76">
        <v>45954</v>
      </c>
      <c r="R967" s="77"/>
      <c r="S967" s="77"/>
      <c r="T967" s="77"/>
      <c r="U967" s="77"/>
      <c r="V967" s="78" t="s">
        <v>5432</v>
      </c>
      <c r="W967" s="79">
        <v>46067</v>
      </c>
      <c r="X967" s="78" t="s">
        <v>38</v>
      </c>
      <c r="Y967" s="78"/>
      <c r="Z967" s="78" t="s">
        <v>5467</v>
      </c>
      <c r="AA967">
        <f>IF(COUNTIF('Call Queue'!$H$6:$H$20,V967)&gt;0,0,IF(AND(ISNUMBER(N967),N967&gt;0),10000000+N967,IF(ISNUMBER(N967*1),IF(N967*1&gt;0,10000000+N967*1,0),0))+IF(ISNUMBER(SEARCH("(",L967)),1000000+IFERROR(VALUE(SUBSTITUTE(SUBSTITUTE(SUBSTITUTE(MID(L967,SEARCH("(",L967)+1,SEARCH(")",L967)-SEARCH("(",L967)-1),"$",""),",","")," ","")),0),0))</f>
        <v>0</v>
      </c>
    </row>
    <row r="968" spans="1:27">
      <c r="A968" s="76">
        <v>45946</v>
      </c>
      <c r="B968" s="77" t="s">
        <v>3625</v>
      </c>
      <c r="C968" s="77" t="s">
        <v>382</v>
      </c>
      <c r="D968" s="77" t="s">
        <v>619</v>
      </c>
      <c r="E968" s="77">
        <v>85364</v>
      </c>
      <c r="F968" s="77" t="s">
        <v>3626</v>
      </c>
      <c r="G968" s="77" t="s">
        <v>3623</v>
      </c>
      <c r="H968" s="77">
        <v>4797590000</v>
      </c>
      <c r="I968" s="77" t="s">
        <v>46</v>
      </c>
      <c r="J968" s="77" t="s">
        <v>37</v>
      </c>
      <c r="K968" s="77" t="s">
        <v>37</v>
      </c>
      <c r="L968" s="77" t="s">
        <v>3628</v>
      </c>
      <c r="M968" s="77" t="s">
        <v>37</v>
      </c>
      <c r="N968" s="77" t="s">
        <v>37</v>
      </c>
      <c r="O968" s="77" t="s">
        <v>38</v>
      </c>
      <c r="P968" s="77" t="s">
        <v>39</v>
      </c>
      <c r="Q968" s="76">
        <v>45954</v>
      </c>
      <c r="R968" s="77" t="s">
        <v>3629</v>
      </c>
      <c r="S968" s="77"/>
      <c r="T968" s="77"/>
      <c r="U968" s="77"/>
      <c r="V968" s="78" t="s">
        <v>5432</v>
      </c>
      <c r="W968" s="79">
        <v>46039</v>
      </c>
      <c r="X968" s="78" t="s">
        <v>38</v>
      </c>
      <c r="Y968" s="78"/>
      <c r="Z968" s="78" t="s">
        <v>5434</v>
      </c>
      <c r="AA968">
        <f>IF(COUNTIF('Call Queue'!$H$6:$H$20,V968)&gt;0,0,IF(AND(ISNUMBER(N968),N968&gt;0),10000000+N968,IF(ISNUMBER(N968*1),IF(N968*1&gt;0,10000000+N968*1,0),0))+IF(ISNUMBER(SEARCH("(",L968)),1000000+IFERROR(VALUE(SUBSTITUTE(SUBSTITUTE(SUBSTITUTE(MID(L968,SEARCH("(",L968)+1,SEARCH(")",L968)-SEARCH("(",L968)-1),"$",""),",","")," ","")),0),0))</f>
        <v>0</v>
      </c>
    </row>
    <row r="969" spans="1:27">
      <c r="A969" s="76">
        <v>45946</v>
      </c>
      <c r="B969" s="77" t="s">
        <v>1134</v>
      </c>
      <c r="C969" s="77" t="s">
        <v>991</v>
      </c>
      <c r="D969" s="77" t="s">
        <v>63</v>
      </c>
      <c r="E969" s="77">
        <v>85006</v>
      </c>
      <c r="F969" s="77" t="s">
        <v>3632</v>
      </c>
      <c r="G969" s="77" t="s">
        <v>3623</v>
      </c>
      <c r="H969" s="77">
        <v>6641580000</v>
      </c>
      <c r="I969" s="77" t="s">
        <v>541</v>
      </c>
      <c r="J969" s="77" t="s">
        <v>37</v>
      </c>
      <c r="K969" s="77" t="s">
        <v>37</v>
      </c>
      <c r="L969" s="77" t="s">
        <v>389</v>
      </c>
      <c r="M969" s="77" t="s">
        <v>37</v>
      </c>
      <c r="N969" s="77" t="s">
        <v>37</v>
      </c>
      <c r="O969" s="77" t="s">
        <v>38</v>
      </c>
      <c r="P969" s="77" t="s">
        <v>39</v>
      </c>
      <c r="Q969" s="76">
        <v>45954</v>
      </c>
      <c r="R969" s="77"/>
      <c r="S969" s="77"/>
      <c r="T969" s="77"/>
      <c r="U969" s="77"/>
      <c r="V969" s="78" t="s">
        <v>5432</v>
      </c>
      <c r="W969" s="79">
        <v>46067</v>
      </c>
      <c r="X969" s="78" t="s">
        <v>38</v>
      </c>
      <c r="Y969" s="78"/>
      <c r="Z969" s="78" t="s">
        <v>5467</v>
      </c>
      <c r="AA969">
        <f>IF(COUNTIF('Call Queue'!$H$6:$H$20,V969)&gt;0,0,IF(AND(ISNUMBER(N969),N969&gt;0),10000000+N969,IF(ISNUMBER(N969*1),IF(N969*1&gt;0,10000000+N969*1,0),0))+IF(ISNUMBER(SEARCH("(",L969)),1000000+IFERROR(VALUE(SUBSTITUTE(SUBSTITUTE(SUBSTITUTE(MID(L969,SEARCH("(",L969)+1,SEARCH(")",L969)-SEARCH("(",L969)-1),"$",""),",","")," ","")),0),0))</f>
        <v>0</v>
      </c>
    </row>
    <row r="970" spans="1:27">
      <c r="A970" s="76">
        <v>45946</v>
      </c>
      <c r="B970" s="77" t="s">
        <v>3634</v>
      </c>
      <c r="C970" s="77" t="s">
        <v>3635</v>
      </c>
      <c r="D970" s="77" t="s">
        <v>504</v>
      </c>
      <c r="E970" s="77">
        <v>86005</v>
      </c>
      <c r="F970" s="77" t="s">
        <v>3636</v>
      </c>
      <c r="G970" s="77" t="s">
        <v>3623</v>
      </c>
      <c r="H970" s="77">
        <v>8253620000</v>
      </c>
      <c r="I970" s="77" t="s">
        <v>126</v>
      </c>
      <c r="J970" s="77" t="s">
        <v>37</v>
      </c>
      <c r="K970" s="77" t="s">
        <v>37</v>
      </c>
      <c r="L970" s="77" t="s">
        <v>3638</v>
      </c>
      <c r="M970" s="77" t="s">
        <v>37</v>
      </c>
      <c r="N970" s="77" t="s">
        <v>37</v>
      </c>
      <c r="O970" s="77" t="s">
        <v>38</v>
      </c>
      <c r="P970" s="77" t="s">
        <v>39</v>
      </c>
      <c r="Q970" s="76">
        <v>45954</v>
      </c>
      <c r="R970" s="77"/>
      <c r="S970" s="77"/>
      <c r="T970" s="77"/>
      <c r="U970" s="77"/>
      <c r="V970" s="78" t="s">
        <v>5432</v>
      </c>
      <c r="W970" s="79">
        <v>45997</v>
      </c>
      <c r="X970" s="78" t="s">
        <v>38</v>
      </c>
      <c r="Y970" s="78"/>
      <c r="Z970" s="78" t="s">
        <v>5476</v>
      </c>
      <c r="AA970">
        <f>IF(COUNTIF('Call Queue'!$H$6:$H$20,V970)&gt;0,0,IF(AND(ISNUMBER(N970),N970&gt;0),10000000+N970,IF(ISNUMBER(N970*1),IF(N970*1&gt;0,10000000+N970*1,0),0))+IF(ISNUMBER(SEARCH("(",L970)),1000000+IFERROR(VALUE(SUBSTITUTE(SUBSTITUTE(SUBSTITUTE(MID(L970,SEARCH("(",L970)+1,SEARCH(")",L970)-SEARCH("(",L970)-1),"$",""),",","")," ","")),0),0))</f>
        <v>0</v>
      </c>
    </row>
    <row r="971" spans="1:27">
      <c r="A971" s="76">
        <v>45946</v>
      </c>
      <c r="B971" s="77" t="s">
        <v>419</v>
      </c>
      <c r="C971" s="77" t="s">
        <v>3639</v>
      </c>
      <c r="D971" s="77" t="s">
        <v>63</v>
      </c>
      <c r="E971" s="77">
        <v>85029</v>
      </c>
      <c r="F971" s="77" t="s">
        <v>3640</v>
      </c>
      <c r="G971" s="77" t="s">
        <v>3623</v>
      </c>
      <c r="H971" s="77">
        <v>1460051272</v>
      </c>
      <c r="I971" s="77" t="s">
        <v>126</v>
      </c>
      <c r="J971" s="77" t="s">
        <v>37</v>
      </c>
      <c r="K971" s="77" t="s">
        <v>37</v>
      </c>
      <c r="L971" s="77" t="s">
        <v>1586</v>
      </c>
      <c r="M971" s="77" t="s">
        <v>37</v>
      </c>
      <c r="N971" s="77" t="s">
        <v>37</v>
      </c>
      <c r="O971" s="77" t="s">
        <v>38</v>
      </c>
      <c r="P971" s="77" t="s">
        <v>39</v>
      </c>
      <c r="Q971" s="76">
        <v>45954</v>
      </c>
      <c r="R971" s="77"/>
      <c r="S971" s="77"/>
      <c r="T971" s="77"/>
      <c r="U971" s="77"/>
      <c r="V971" s="78" t="s">
        <v>5432</v>
      </c>
      <c r="W971" s="79">
        <v>46060</v>
      </c>
      <c r="X971" s="78" t="s">
        <v>37</v>
      </c>
      <c r="Y971" s="78" t="s">
        <v>5442</v>
      </c>
      <c r="Z971" s="78"/>
      <c r="AA971">
        <f>IF(COUNTIF('Call Queue'!$H$6:$H$20,V971)&gt;0,0,IF(AND(ISNUMBER(N971),N971&gt;0),10000000+N971,IF(ISNUMBER(N971*1),IF(N971*1&gt;0,10000000+N971*1,0),0))+IF(ISNUMBER(SEARCH("(",L971)),1000000+IFERROR(VALUE(SUBSTITUTE(SUBSTITUTE(SUBSTITUTE(MID(L971,SEARCH("(",L971)+1,SEARCH(")",L971)-SEARCH("(",L971)-1),"$",""),",","")," ","")),0),0))</f>
        <v>0</v>
      </c>
    </row>
    <row r="972" spans="1:27">
      <c r="A972" s="76">
        <v>45947</v>
      </c>
      <c r="B972" s="77" t="s">
        <v>78</v>
      </c>
      <c r="C972" s="77" t="s">
        <v>79</v>
      </c>
      <c r="D972" s="77" t="s">
        <v>125</v>
      </c>
      <c r="E972" s="77">
        <v>85254</v>
      </c>
      <c r="F972" s="77" t="s">
        <v>3642</v>
      </c>
      <c r="G972" s="77" t="s">
        <v>3643</v>
      </c>
      <c r="H972" s="77">
        <v>7938430000</v>
      </c>
      <c r="I972" s="77" t="s">
        <v>81</v>
      </c>
      <c r="J972" s="77" t="s">
        <v>37</v>
      </c>
      <c r="K972" s="77" t="s">
        <v>37</v>
      </c>
      <c r="L972" s="77" t="s">
        <v>389</v>
      </c>
      <c r="M972" s="77" t="s">
        <v>37</v>
      </c>
      <c r="N972" s="77" t="s">
        <v>37</v>
      </c>
      <c r="O972" s="77" t="s">
        <v>38</v>
      </c>
      <c r="P972" s="77" t="s">
        <v>39</v>
      </c>
      <c r="Q972" s="76">
        <v>45954</v>
      </c>
      <c r="R972" s="77" t="s">
        <v>2873</v>
      </c>
      <c r="S972" s="77"/>
      <c r="T972" s="77"/>
      <c r="U972" s="77"/>
      <c r="V972" s="78"/>
      <c r="W972" s="79"/>
      <c r="X972" s="78"/>
      <c r="Y972" s="78"/>
      <c r="Z972" s="78"/>
      <c r="AA972">
        <f>IF(COUNTIF('Call Queue'!$H$6:$H$20,V972)&gt;0,0,IF(AND(ISNUMBER(N972),N972&gt;0),10000000+N972,IF(ISNUMBER(N972*1),IF(N972*1&gt;0,10000000+N972*1,0),0))+IF(ISNUMBER(SEARCH("(",L972)),1000000+IFERROR(VALUE(SUBSTITUTE(SUBSTITUTE(SUBSTITUTE(MID(L972,SEARCH("(",L972)+1,SEARCH(")",L972)-SEARCH("(",L972)-1),"$",""),",","")," ","")),0),0))</f>
        <v>0</v>
      </c>
    </row>
    <row r="973" spans="1:27">
      <c r="A973" s="76">
        <v>45947</v>
      </c>
      <c r="B973" s="77" t="s">
        <v>3646</v>
      </c>
      <c r="C973" s="77" t="s">
        <v>1714</v>
      </c>
      <c r="D973" s="77" t="s">
        <v>125</v>
      </c>
      <c r="E973" s="77">
        <v>85254</v>
      </c>
      <c r="F973" s="77" t="s">
        <v>3647</v>
      </c>
      <c r="G973" s="77" t="s">
        <v>3643</v>
      </c>
      <c r="H973" s="77">
        <v>474852117</v>
      </c>
      <c r="I973" s="77" t="s">
        <v>73</v>
      </c>
      <c r="J973" s="77" t="s">
        <v>37</v>
      </c>
      <c r="K973" s="77" t="s">
        <v>37</v>
      </c>
      <c r="L973" s="77" t="s">
        <v>1586</v>
      </c>
      <c r="M973" s="77" t="s">
        <v>37</v>
      </c>
      <c r="N973" s="77" t="s">
        <v>37</v>
      </c>
      <c r="O973" s="77" t="s">
        <v>38</v>
      </c>
      <c r="P973" s="77" t="s">
        <v>39</v>
      </c>
      <c r="Q973" s="76">
        <v>45954</v>
      </c>
      <c r="R973" s="77"/>
      <c r="S973" s="77"/>
      <c r="T973" s="77"/>
      <c r="U973" s="77"/>
      <c r="V973" s="78" t="s">
        <v>5432</v>
      </c>
      <c r="W973" s="79">
        <v>46067</v>
      </c>
      <c r="X973" s="78" t="s">
        <v>38</v>
      </c>
      <c r="Y973" s="78"/>
      <c r="Z973" s="78" t="s">
        <v>5467</v>
      </c>
      <c r="AA973">
        <f>IF(COUNTIF('Call Queue'!$H$6:$H$20,V973)&gt;0,0,IF(AND(ISNUMBER(N973),N973&gt;0),10000000+N973,IF(ISNUMBER(N973*1),IF(N973*1&gt;0,10000000+N973*1,0),0))+IF(ISNUMBER(SEARCH("(",L973)),1000000+IFERROR(VALUE(SUBSTITUTE(SUBSTITUTE(SUBSTITUTE(MID(L973,SEARCH("(",L973)+1,SEARCH(")",L973)-SEARCH("(",L973)-1),"$",""),",","")," ","")),0),0))</f>
        <v>0</v>
      </c>
    </row>
    <row r="974" spans="1:27">
      <c r="A974" s="76">
        <v>45951</v>
      </c>
      <c r="B974" s="77" t="s">
        <v>3654</v>
      </c>
      <c r="C974" s="77" t="s">
        <v>88</v>
      </c>
      <c r="D974" s="77" t="s">
        <v>2927</v>
      </c>
      <c r="E974" s="77">
        <v>85344</v>
      </c>
      <c r="F974" s="77" t="s">
        <v>3655</v>
      </c>
      <c r="G974" s="77" t="s">
        <v>3656</v>
      </c>
      <c r="H974" s="77">
        <v>352210000</v>
      </c>
      <c r="I974" s="77" t="s">
        <v>126</v>
      </c>
      <c r="J974" s="77" t="s">
        <v>37</v>
      </c>
      <c r="K974" s="77" t="s">
        <v>37</v>
      </c>
      <c r="L974" s="77"/>
      <c r="M974" s="77" t="s">
        <v>37</v>
      </c>
      <c r="N974" s="77" t="s">
        <v>37</v>
      </c>
      <c r="O974" s="77" t="s">
        <v>38</v>
      </c>
      <c r="P974" s="77" t="s">
        <v>39</v>
      </c>
      <c r="Q974" s="76">
        <v>45954</v>
      </c>
      <c r="R974" s="77" t="s">
        <v>3658</v>
      </c>
      <c r="S974" s="77"/>
      <c r="T974" s="77"/>
      <c r="U974" s="77"/>
      <c r="V974" s="78"/>
      <c r="W974" s="79"/>
      <c r="X974" s="78"/>
      <c r="Y974" s="78"/>
      <c r="Z974" s="78"/>
      <c r="AA974">
        <f>IF(COUNTIF('Call Queue'!$H$6:$H$20,V974)&gt;0,0,IF(AND(ISNUMBER(N974),N974&gt;0),10000000+N974,IF(ISNUMBER(N974*1),IF(N974*1&gt;0,10000000+N974*1,0),0))+IF(ISNUMBER(SEARCH("(",L974)),1000000+IFERROR(VALUE(SUBSTITUTE(SUBSTITUTE(SUBSTITUTE(MID(L974,SEARCH("(",L974)+1,SEARCH(")",L974)-SEARCH("(",L974)-1),"$",""),",","")," ","")),0),0))</f>
        <v>0</v>
      </c>
    </row>
    <row r="975" spans="1:27">
      <c r="A975" s="76">
        <v>45951</v>
      </c>
      <c r="B975" s="77" t="s">
        <v>3659</v>
      </c>
      <c r="C975" s="77" t="s">
        <v>529</v>
      </c>
      <c r="D975" s="77" t="s">
        <v>202</v>
      </c>
      <c r="E975" s="77">
        <v>85383</v>
      </c>
      <c r="F975" s="77" t="s">
        <v>3660</v>
      </c>
      <c r="G975" s="77" t="s">
        <v>3661</v>
      </c>
      <c r="H975" s="77">
        <v>6253965494</v>
      </c>
      <c r="I975" s="77" t="s">
        <v>36</v>
      </c>
      <c r="J975" s="77" t="s">
        <v>37</v>
      </c>
      <c r="K975" s="77" t="s">
        <v>37</v>
      </c>
      <c r="L975" s="77" t="s">
        <v>1586</v>
      </c>
      <c r="M975" s="77" t="s">
        <v>37</v>
      </c>
      <c r="N975" s="77" t="s">
        <v>37</v>
      </c>
      <c r="O975" s="77" t="s">
        <v>38</v>
      </c>
      <c r="P975" s="77" t="s">
        <v>39</v>
      </c>
      <c r="Q975" s="76">
        <v>45954</v>
      </c>
      <c r="R975" s="77"/>
      <c r="S975" s="77"/>
      <c r="T975" s="77"/>
      <c r="U975" s="77"/>
      <c r="V975" s="78" t="s">
        <v>5432</v>
      </c>
      <c r="W975" s="79">
        <v>46067</v>
      </c>
      <c r="X975" s="78" t="s">
        <v>37</v>
      </c>
      <c r="Y975" s="78" t="s">
        <v>5527</v>
      </c>
      <c r="Z975" s="78" t="s">
        <v>5612</v>
      </c>
      <c r="AA975">
        <f>IF(COUNTIF('Call Queue'!$H$6:$H$20,V975)&gt;0,0,IF(AND(ISNUMBER(N975),N975&gt;0),10000000+N975,IF(ISNUMBER(N975*1),IF(N975*1&gt;0,10000000+N975*1,0),0))+IF(ISNUMBER(SEARCH("(",L975)),1000000+IFERROR(VALUE(SUBSTITUTE(SUBSTITUTE(SUBSTITUTE(MID(L975,SEARCH("(",L975)+1,SEARCH(")",L975)-SEARCH("(",L975)-1),"$",""),",","")," ","")),0),0))</f>
        <v>0</v>
      </c>
    </row>
    <row r="976" spans="1:27">
      <c r="A976" s="76">
        <v>45951</v>
      </c>
      <c r="B976" s="77" t="s">
        <v>3663</v>
      </c>
      <c r="C976" s="77" t="s">
        <v>597</v>
      </c>
      <c r="D976" s="77" t="s">
        <v>169</v>
      </c>
      <c r="E976" s="77">
        <v>85338</v>
      </c>
      <c r="F976" s="77" t="s">
        <v>3664</v>
      </c>
      <c r="G976" s="77" t="s">
        <v>3661</v>
      </c>
      <c r="H976" s="77">
        <v>5084150000</v>
      </c>
      <c r="I976" s="77" t="s">
        <v>418</v>
      </c>
      <c r="J976" s="77" t="s">
        <v>37</v>
      </c>
      <c r="K976" s="77" t="s">
        <v>37</v>
      </c>
      <c r="L976" s="77" t="s">
        <v>389</v>
      </c>
      <c r="M976" s="77" t="s">
        <v>37</v>
      </c>
      <c r="N976" s="77" t="s">
        <v>37</v>
      </c>
      <c r="O976" s="77" t="s">
        <v>38</v>
      </c>
      <c r="P976" s="77" t="s">
        <v>39</v>
      </c>
      <c r="Q976" s="76">
        <v>45954</v>
      </c>
      <c r="R976" s="77"/>
      <c r="S976" s="77"/>
      <c r="T976" s="77"/>
      <c r="U976" s="77"/>
      <c r="V976" s="78"/>
      <c r="W976" s="79"/>
      <c r="X976" s="78"/>
      <c r="Y976" s="78"/>
      <c r="Z976" s="78"/>
      <c r="AA976">
        <f>IF(COUNTIF('Call Queue'!$H$6:$H$20,V976)&gt;0,0,IF(AND(ISNUMBER(N976),N976&gt;0),10000000+N976,IF(ISNUMBER(N976*1),IF(N976*1&gt;0,10000000+N976*1,0),0))+IF(ISNUMBER(SEARCH("(",L976)),1000000+IFERROR(VALUE(SUBSTITUTE(SUBSTITUTE(SUBSTITUTE(MID(L976,SEARCH("(",L976)+1,SEARCH(")",L976)-SEARCH("(",L976)-1),"$",""),",","")," ","")),0),0))</f>
        <v>0</v>
      </c>
    </row>
    <row r="977" spans="1:27">
      <c r="A977" s="76">
        <v>45952</v>
      </c>
      <c r="B977" s="77" t="s">
        <v>3670</v>
      </c>
      <c r="C977" s="77" t="s">
        <v>3671</v>
      </c>
      <c r="D977" s="77" t="s">
        <v>63</v>
      </c>
      <c r="E977" s="77">
        <v>85012</v>
      </c>
      <c r="F977" s="77" t="s">
        <v>3672</v>
      </c>
      <c r="G977" s="77" t="s">
        <v>3668</v>
      </c>
      <c r="H977" s="77">
        <v>1507948531</v>
      </c>
      <c r="I977" s="77" t="s">
        <v>73</v>
      </c>
      <c r="J977" s="77" t="s">
        <v>37</v>
      </c>
      <c r="K977" s="77" t="s">
        <v>37</v>
      </c>
      <c r="L977" s="77" t="s">
        <v>3674</v>
      </c>
      <c r="M977" s="77" t="s">
        <v>37</v>
      </c>
      <c r="N977" s="77" t="s">
        <v>37</v>
      </c>
      <c r="O977" s="77" t="s">
        <v>38</v>
      </c>
      <c r="P977" s="77" t="s">
        <v>39</v>
      </c>
      <c r="Q977" s="76">
        <v>45954</v>
      </c>
      <c r="R977" s="77"/>
      <c r="S977" s="77"/>
      <c r="T977" s="77"/>
      <c r="U977" s="77"/>
      <c r="V977" s="78" t="s">
        <v>5432</v>
      </c>
      <c r="W977" s="79">
        <v>46039</v>
      </c>
      <c r="X977" s="78" t="s">
        <v>38</v>
      </c>
      <c r="Y977" s="78"/>
      <c r="Z977" s="78" t="s">
        <v>5476</v>
      </c>
      <c r="AA977">
        <f>IF(COUNTIF('Call Queue'!$H$6:$H$20,V977)&gt;0,0,IF(AND(ISNUMBER(N977),N977&gt;0),10000000+N977,IF(ISNUMBER(N977*1),IF(N977*1&gt;0,10000000+N977*1,0),0))+IF(ISNUMBER(SEARCH("(",L977)),1000000+IFERROR(VALUE(SUBSTITUTE(SUBSTITUTE(SUBSTITUTE(MID(L977,SEARCH("(",L977)+1,SEARCH(")",L977)-SEARCH("(",L977)-1),"$",""),",","")," ","")),0),0))</f>
        <v>0</v>
      </c>
    </row>
    <row r="978" spans="1:27">
      <c r="A978" s="76">
        <v>45952</v>
      </c>
      <c r="B978" s="77" t="s">
        <v>3678</v>
      </c>
      <c r="C978" s="77" t="s">
        <v>3679</v>
      </c>
      <c r="D978" s="77" t="s">
        <v>63</v>
      </c>
      <c r="E978" s="77">
        <v>85023</v>
      </c>
      <c r="F978" s="77" t="s">
        <v>3680</v>
      </c>
      <c r="G978" s="77" t="s">
        <v>3681</v>
      </c>
      <c r="H978" s="77">
        <v>1189841000</v>
      </c>
      <c r="I978" s="77" t="s">
        <v>36</v>
      </c>
      <c r="J978" s="77" t="s">
        <v>37</v>
      </c>
      <c r="K978" s="77" t="s">
        <v>38</v>
      </c>
      <c r="L978" s="77" t="s">
        <v>1586</v>
      </c>
      <c r="M978" s="77" t="s">
        <v>37</v>
      </c>
      <c r="N978" s="77" t="s">
        <v>37</v>
      </c>
      <c r="O978" s="77" t="s">
        <v>38</v>
      </c>
      <c r="P978" s="77" t="s">
        <v>39</v>
      </c>
      <c r="Q978" s="76">
        <v>45954</v>
      </c>
      <c r="R978" s="77"/>
      <c r="S978" s="77"/>
      <c r="T978" s="77"/>
      <c r="U978" s="77"/>
      <c r="V978" s="78"/>
      <c r="W978" s="79"/>
      <c r="X978" s="78"/>
      <c r="Y978" s="78"/>
      <c r="Z978" s="78"/>
      <c r="AA978">
        <f>IF(COUNTIF('Call Queue'!$H$6:$H$20,V978)&gt;0,0,IF(AND(ISNUMBER(N978),N978&gt;0),10000000+N978,IF(ISNUMBER(N978*1),IF(N978*1&gt;0,10000000+N978*1,0),0))+IF(ISNUMBER(SEARCH("(",L978)),1000000+IFERROR(VALUE(SUBSTITUTE(SUBSTITUTE(SUBSTITUTE(MID(L978,SEARCH("(",L978)+1,SEARCH(")",L978)-SEARCH("(",L978)-1),"$",""),",","")," ","")),0),0))</f>
        <v>0</v>
      </c>
    </row>
    <row r="979" spans="1:27">
      <c r="A979" s="76">
        <v>45952</v>
      </c>
      <c r="B979" s="77" t="s">
        <v>3683</v>
      </c>
      <c r="C979" s="77" t="s">
        <v>2454</v>
      </c>
      <c r="D979" s="77" t="s">
        <v>174</v>
      </c>
      <c r="E979" s="77">
        <v>85396</v>
      </c>
      <c r="F979" s="77" t="s">
        <v>3684</v>
      </c>
      <c r="G979" s="77" t="s">
        <v>3685</v>
      </c>
      <c r="H979" s="77" t="s">
        <v>3686</v>
      </c>
      <c r="I979" s="77" t="s">
        <v>81</v>
      </c>
      <c r="J979" s="77" t="s">
        <v>37</v>
      </c>
      <c r="K979" s="77" t="s">
        <v>37</v>
      </c>
      <c r="L979" s="77" t="s">
        <v>389</v>
      </c>
      <c r="M979" s="77" t="s">
        <v>37</v>
      </c>
      <c r="N979" s="77" t="s">
        <v>37</v>
      </c>
      <c r="O979" s="77" t="s">
        <v>38</v>
      </c>
      <c r="P979" s="77" t="s">
        <v>39</v>
      </c>
      <c r="Q979" s="76">
        <v>45954</v>
      </c>
      <c r="R979" s="77"/>
      <c r="S979" s="77"/>
      <c r="T979" s="77"/>
      <c r="U979" s="77"/>
      <c r="V979" s="78" t="s">
        <v>5432</v>
      </c>
      <c r="W979" s="79">
        <v>46067</v>
      </c>
      <c r="X979" s="78" t="s">
        <v>37</v>
      </c>
      <c r="Y979" s="78" t="s">
        <v>5441</v>
      </c>
      <c r="Z979" s="78" t="s">
        <v>5563</v>
      </c>
      <c r="AA979">
        <f>IF(COUNTIF('Call Queue'!$H$6:$H$20,V979)&gt;0,0,IF(AND(ISNUMBER(N979),N979&gt;0),10000000+N979,IF(ISNUMBER(N979*1),IF(N979*1&gt;0,10000000+N979*1,0),0))+IF(ISNUMBER(SEARCH("(",L979)),1000000+IFERROR(VALUE(SUBSTITUTE(SUBSTITUTE(SUBSTITUTE(MID(L979,SEARCH("(",L979)+1,SEARCH(")",L979)-SEARCH("(",L979)-1),"$",""),",","")," ","")),0),0))</f>
        <v>0</v>
      </c>
    </row>
    <row r="980" spans="1:27">
      <c r="A980" s="76">
        <v>45952</v>
      </c>
      <c r="B980" s="77" t="s">
        <v>617</v>
      </c>
      <c r="C980" s="77" t="s">
        <v>3687</v>
      </c>
      <c r="D980" s="77" t="s">
        <v>174</v>
      </c>
      <c r="E980" s="77">
        <v>85326</v>
      </c>
      <c r="F980" s="77" t="s">
        <v>3688</v>
      </c>
      <c r="G980" s="77" t="s">
        <v>3685</v>
      </c>
      <c r="H980" s="77" t="s">
        <v>209</v>
      </c>
      <c r="I980" s="77"/>
      <c r="J980" s="77"/>
      <c r="K980" s="77"/>
      <c r="L980" s="77"/>
      <c r="M980" s="77"/>
      <c r="N980" s="77"/>
      <c r="O980" s="77"/>
      <c r="P980" s="77"/>
      <c r="Q980" s="76"/>
      <c r="R980" s="77"/>
      <c r="S980" s="77"/>
      <c r="T980" s="77"/>
      <c r="U980" s="77"/>
      <c r="V980" s="78"/>
      <c r="W980" s="79"/>
      <c r="X980" s="78"/>
      <c r="Y980" s="78"/>
      <c r="Z980" s="78"/>
      <c r="AA980">
        <f>IF(COUNTIF('Call Queue'!$H$6:$H$20,V980)&gt;0,0,IF(AND(ISNUMBER(N980),N980&gt;0),10000000+N980,IF(ISNUMBER(N980*1),IF(N980*1&gt;0,10000000+N980*1,0),0))+IF(ISNUMBER(SEARCH("(",L980)),1000000+IFERROR(VALUE(SUBSTITUTE(SUBSTITUTE(SUBSTITUTE(MID(L980,SEARCH("(",L980)+1,SEARCH(")",L980)-SEARCH("(",L980)-1),"$",""),",","")," ","")),0),0))</f>
        <v>0</v>
      </c>
    </row>
    <row r="981" spans="1:27">
      <c r="A981" s="76">
        <v>45954</v>
      </c>
      <c r="B981" s="77" t="s">
        <v>3694</v>
      </c>
      <c r="C981" s="77" t="s">
        <v>3695</v>
      </c>
      <c r="D981" s="77" t="s">
        <v>174</v>
      </c>
      <c r="E981" s="77">
        <v>85326</v>
      </c>
      <c r="F981" s="77" t="s">
        <v>3696</v>
      </c>
      <c r="G981" s="77" t="s">
        <v>3697</v>
      </c>
      <c r="H981" s="77">
        <v>8709456718</v>
      </c>
      <c r="I981" s="77" t="s">
        <v>46</v>
      </c>
      <c r="J981" s="77" t="s">
        <v>37</v>
      </c>
      <c r="K981" s="77" t="s">
        <v>37</v>
      </c>
      <c r="L981" s="77" t="s">
        <v>1586</v>
      </c>
      <c r="M981" s="77" t="s">
        <v>38</v>
      </c>
      <c r="N981" s="77">
        <v>384.67</v>
      </c>
      <c r="O981" s="77" t="s">
        <v>38</v>
      </c>
      <c r="P981" s="77" t="s">
        <v>39</v>
      </c>
      <c r="Q981" s="76">
        <v>45960</v>
      </c>
      <c r="R981" s="77"/>
      <c r="S981" s="77"/>
      <c r="T981" s="77"/>
      <c r="U981" s="77"/>
      <c r="V981" s="78" t="s">
        <v>5432</v>
      </c>
      <c r="W981" s="79">
        <v>46032</v>
      </c>
      <c r="X981" s="78"/>
      <c r="Y981" s="78" t="s">
        <v>5442</v>
      </c>
      <c r="Z981" s="78" t="s">
        <v>5613</v>
      </c>
      <c r="AA981">
        <f>IF(COUNTIF('Call Queue'!$H$6:$H$20,V981)&gt;0,0,IF(AND(ISNUMBER(N981),N981&gt;0),10000000+N981,IF(ISNUMBER(N981*1),IF(N981*1&gt;0,10000000+N981*1,0),0))+IF(ISNUMBER(SEARCH("(",L981)),1000000+IFERROR(VALUE(SUBSTITUTE(SUBSTITUTE(SUBSTITUTE(MID(L981,SEARCH("(",L981)+1,SEARCH(")",L981)-SEARCH("(",L981)-1),"$",""),",","")," ","")),0),0))</f>
        <v>0</v>
      </c>
    </row>
    <row r="982" spans="1:27">
      <c r="A982" s="76">
        <v>45954</v>
      </c>
      <c r="B982" s="77" t="s">
        <v>3699</v>
      </c>
      <c r="C982" s="77" t="s">
        <v>550</v>
      </c>
      <c r="D982" s="77" t="s">
        <v>202</v>
      </c>
      <c r="E982" s="77">
        <v>85383</v>
      </c>
      <c r="F982" s="77" t="s">
        <v>3700</v>
      </c>
      <c r="G982" s="77" t="s">
        <v>3697</v>
      </c>
      <c r="H982" s="77">
        <v>4263668163</v>
      </c>
      <c r="I982" s="77" t="s">
        <v>36</v>
      </c>
      <c r="J982" s="77" t="s">
        <v>37</v>
      </c>
      <c r="K982" s="77" t="s">
        <v>37</v>
      </c>
      <c r="L982" s="77" t="s">
        <v>1586</v>
      </c>
      <c r="M982" s="77" t="s">
        <v>37</v>
      </c>
      <c r="N982" s="77" t="s">
        <v>37</v>
      </c>
      <c r="O982" s="77" t="s">
        <v>38</v>
      </c>
      <c r="P982" s="77" t="s">
        <v>39</v>
      </c>
      <c r="Q982" s="76">
        <v>45960</v>
      </c>
      <c r="R982" s="77"/>
      <c r="S982" s="77"/>
      <c r="T982" s="77"/>
      <c r="U982" s="77"/>
      <c r="V982" s="78" t="s">
        <v>5432</v>
      </c>
      <c r="W982" s="79">
        <v>46067</v>
      </c>
      <c r="X982" s="78" t="s">
        <v>37</v>
      </c>
      <c r="Y982" s="78" t="s">
        <v>5527</v>
      </c>
      <c r="Z982" s="78" t="s">
        <v>5614</v>
      </c>
      <c r="AA982">
        <f>IF(COUNTIF('Call Queue'!$H$6:$H$20,V982)&gt;0,0,IF(AND(ISNUMBER(N982),N982&gt;0),10000000+N982,IF(ISNUMBER(N982*1),IF(N982*1&gt;0,10000000+N982*1,0),0))+IF(ISNUMBER(SEARCH("(",L982)),1000000+IFERROR(VALUE(SUBSTITUTE(SUBSTITUTE(SUBSTITUTE(MID(L982,SEARCH("(",L982)+1,SEARCH(")",L982)-SEARCH("(",L982)-1),"$",""),",","")," ","")),0),0))</f>
        <v>0</v>
      </c>
    </row>
    <row r="983" spans="1:27">
      <c r="A983" s="76">
        <v>45954</v>
      </c>
      <c r="B983" s="77" t="s">
        <v>3702</v>
      </c>
      <c r="C983" s="77" t="s">
        <v>481</v>
      </c>
      <c r="D983" s="77" t="s">
        <v>169</v>
      </c>
      <c r="E983" s="77">
        <v>85395</v>
      </c>
      <c r="F983" s="77" t="s">
        <v>3703</v>
      </c>
      <c r="G983" s="77" t="s">
        <v>3697</v>
      </c>
      <c r="H983" s="77">
        <v>6573080097</v>
      </c>
      <c r="I983" s="77" t="s">
        <v>418</v>
      </c>
      <c r="J983" s="77" t="s">
        <v>37</v>
      </c>
      <c r="K983" s="77" t="s">
        <v>37</v>
      </c>
      <c r="L983" s="77" t="s">
        <v>389</v>
      </c>
      <c r="M983" s="77" t="s">
        <v>37</v>
      </c>
      <c r="N983" s="77" t="s">
        <v>37</v>
      </c>
      <c r="O983" s="77" t="s">
        <v>38</v>
      </c>
      <c r="P983" s="77" t="s">
        <v>39</v>
      </c>
      <c r="Q983" s="76">
        <v>45960</v>
      </c>
      <c r="R983" s="77"/>
      <c r="S983" s="77"/>
      <c r="T983" s="77"/>
      <c r="U983" s="77"/>
      <c r="V983" s="78"/>
      <c r="W983" s="79"/>
      <c r="X983" s="78"/>
      <c r="Y983" s="78"/>
      <c r="Z983" s="78"/>
      <c r="AA983">
        <f>IF(COUNTIF('Call Queue'!$H$6:$H$20,V983)&gt;0,0,IF(AND(ISNUMBER(N983),N983&gt;0),10000000+N983,IF(ISNUMBER(N983*1),IF(N983*1&gt;0,10000000+N983*1,0),0))+IF(ISNUMBER(SEARCH("(",L983)),1000000+IFERROR(VALUE(SUBSTITUTE(SUBSTITUTE(SUBSTITUTE(MID(L983,SEARCH("(",L983)+1,SEARCH(")",L983)-SEARCH("(",L983)-1),"$",""),",","")," ","")),0),0))</f>
        <v>0</v>
      </c>
    </row>
    <row r="984" spans="1:27">
      <c r="A984" s="76">
        <v>45954</v>
      </c>
      <c r="B984" s="77" t="s">
        <v>3705</v>
      </c>
      <c r="C984" s="77" t="s">
        <v>2601</v>
      </c>
      <c r="D984" s="77" t="s">
        <v>63</v>
      </c>
      <c r="E984" s="77">
        <v>85003</v>
      </c>
      <c r="F984" s="77" t="s">
        <v>3356</v>
      </c>
      <c r="G984" s="77" t="s">
        <v>3706</v>
      </c>
      <c r="H984" s="77">
        <v>1205900735</v>
      </c>
      <c r="I984" s="77" t="s">
        <v>126</v>
      </c>
      <c r="J984" s="77" t="s">
        <v>37</v>
      </c>
      <c r="K984" s="77" t="s">
        <v>37</v>
      </c>
      <c r="L984" s="77" t="s">
        <v>3708</v>
      </c>
      <c r="M984" s="77" t="s">
        <v>38</v>
      </c>
      <c r="N984" s="77">
        <v>398.69</v>
      </c>
      <c r="O984" s="77" t="s">
        <v>38</v>
      </c>
      <c r="P984" s="77" t="s">
        <v>39</v>
      </c>
      <c r="Q984" s="76">
        <v>45960</v>
      </c>
      <c r="R984" s="77"/>
      <c r="S984" s="77"/>
      <c r="T984" s="77"/>
      <c r="U984" s="77"/>
      <c r="V984" s="78" t="s">
        <v>5432</v>
      </c>
      <c r="W984" s="79">
        <v>46032</v>
      </c>
      <c r="X984" s="78" t="s">
        <v>38</v>
      </c>
      <c r="Y984" s="78"/>
      <c r="Z984" s="78" t="s">
        <v>5467</v>
      </c>
      <c r="AA984">
        <f>IF(COUNTIF('Call Queue'!$H$6:$H$20,V984)&gt;0,0,IF(AND(ISNUMBER(N984),N984&gt;0),10000000+N984,IF(ISNUMBER(N984*1),IF(N984*1&gt;0,10000000+N984*1,0),0))+IF(ISNUMBER(SEARCH("(",L984)),1000000+IFERROR(VALUE(SUBSTITUTE(SUBSTITUTE(SUBSTITUTE(MID(L984,SEARCH("(",L984)+1,SEARCH(")",L984)-SEARCH("(",L984)-1),"$",""),",","")," ","")),0),0))</f>
        <v>0</v>
      </c>
    </row>
    <row r="985" spans="1:27">
      <c r="A985" s="76">
        <v>45959</v>
      </c>
      <c r="B985" s="77" t="s">
        <v>3711</v>
      </c>
      <c r="C985" s="77" t="s">
        <v>252</v>
      </c>
      <c r="D985" s="77" t="s">
        <v>63</v>
      </c>
      <c r="E985" s="77">
        <v>85086</v>
      </c>
      <c r="F985" s="77" t="s">
        <v>3531</v>
      </c>
      <c r="G985" s="77" t="s">
        <v>3712</v>
      </c>
      <c r="H985" s="77">
        <v>1039090000</v>
      </c>
      <c r="I985" s="77" t="s">
        <v>36</v>
      </c>
      <c r="J985" s="77" t="s">
        <v>38</v>
      </c>
      <c r="K985" s="77" t="s">
        <v>37</v>
      </c>
      <c r="L985" s="77" t="s">
        <v>3714</v>
      </c>
      <c r="M985" s="77" t="s">
        <v>38</v>
      </c>
      <c r="N985" s="77">
        <v>318.62</v>
      </c>
      <c r="O985" s="77" t="s">
        <v>38</v>
      </c>
      <c r="P985" s="77" t="s">
        <v>39</v>
      </c>
      <c r="Q985" s="76">
        <v>45960</v>
      </c>
      <c r="R985" s="77" t="s">
        <v>3497</v>
      </c>
      <c r="S985" s="77"/>
      <c r="T985" s="77"/>
      <c r="U985" s="77"/>
      <c r="V985" s="78" t="s">
        <v>5432</v>
      </c>
      <c r="W985" s="79">
        <v>46032</v>
      </c>
      <c r="X985" s="78" t="s">
        <v>38</v>
      </c>
      <c r="Y985" s="78"/>
      <c r="Z985" s="78" t="s">
        <v>5467</v>
      </c>
      <c r="AA985">
        <f>IF(COUNTIF('Call Queue'!$H$6:$H$20,V985)&gt;0,0,IF(AND(ISNUMBER(N985),N985&gt;0),10000000+N985,IF(ISNUMBER(N985*1),IF(N985*1&gt;0,10000000+N985*1,0),0))+IF(ISNUMBER(SEARCH("(",L985)),1000000+IFERROR(VALUE(SUBSTITUTE(SUBSTITUTE(SUBSTITUTE(MID(L985,SEARCH("(",L985)+1,SEARCH(")",L985)-SEARCH("(",L985)-1),"$",""),",","")," ","")),0),0))</f>
        <v>0</v>
      </c>
    </row>
    <row r="986" spans="1:27">
      <c r="A986" s="76">
        <v>45959</v>
      </c>
      <c r="B986" s="77" t="s">
        <v>1879</v>
      </c>
      <c r="C986" s="77" t="s">
        <v>3715</v>
      </c>
      <c r="D986" s="77" t="s">
        <v>174</v>
      </c>
      <c r="E986" s="77">
        <v>85396</v>
      </c>
      <c r="F986" s="77" t="s">
        <v>3531</v>
      </c>
      <c r="G986" s="77" t="s">
        <v>3712</v>
      </c>
      <c r="H986" s="77">
        <v>1754570000</v>
      </c>
      <c r="I986" s="77" t="s">
        <v>36</v>
      </c>
      <c r="J986" s="77" t="s">
        <v>37</v>
      </c>
      <c r="K986" s="77" t="s">
        <v>37</v>
      </c>
      <c r="L986" s="77" t="s">
        <v>1586</v>
      </c>
      <c r="M986" s="77" t="s">
        <v>37</v>
      </c>
      <c r="N986" s="77" t="s">
        <v>37</v>
      </c>
      <c r="O986" s="77" t="s">
        <v>38</v>
      </c>
      <c r="P986" s="77" t="s">
        <v>39</v>
      </c>
      <c r="Q986" s="76">
        <v>45960</v>
      </c>
      <c r="R986" s="77" t="s">
        <v>3497</v>
      </c>
      <c r="S986" s="77"/>
      <c r="T986" s="77"/>
      <c r="U986" s="77"/>
      <c r="V986" s="78" t="s">
        <v>5432</v>
      </c>
      <c r="W986" s="79">
        <v>46067</v>
      </c>
      <c r="X986" s="78" t="s">
        <v>38</v>
      </c>
      <c r="Y986" s="78"/>
      <c r="Z986" s="78" t="s">
        <v>5467</v>
      </c>
      <c r="AA986">
        <f>IF(COUNTIF('Call Queue'!$H$6:$H$20,V986)&gt;0,0,IF(AND(ISNUMBER(N986),N986&gt;0),10000000+N986,IF(ISNUMBER(N986*1),IF(N986*1&gt;0,10000000+N986*1,0),0))+IF(ISNUMBER(SEARCH("(",L986)),1000000+IFERROR(VALUE(SUBSTITUTE(SUBSTITUTE(SUBSTITUTE(MID(L986,SEARCH("(",L986)+1,SEARCH(")",L986)-SEARCH("(",L986)-1),"$",""),",","")," ","")),0),0))</f>
        <v>0</v>
      </c>
    </row>
    <row r="987" spans="1:27">
      <c r="A987" s="76">
        <v>45959</v>
      </c>
      <c r="B987" s="77" t="s">
        <v>3720</v>
      </c>
      <c r="C987" s="77" t="s">
        <v>3721</v>
      </c>
      <c r="D987" s="77" t="s">
        <v>112</v>
      </c>
      <c r="E987" s="77">
        <v>85387</v>
      </c>
      <c r="F987" s="77" t="s">
        <v>3531</v>
      </c>
      <c r="G987" s="77" t="s">
        <v>3712</v>
      </c>
      <c r="H987" s="77">
        <v>1383444423</v>
      </c>
      <c r="I987" s="77" t="s">
        <v>36</v>
      </c>
      <c r="J987" s="77" t="s">
        <v>37</v>
      </c>
      <c r="K987" s="77" t="s">
        <v>37</v>
      </c>
      <c r="L987" s="77" t="s">
        <v>1586</v>
      </c>
      <c r="M987" s="77" t="s">
        <v>37</v>
      </c>
      <c r="N987" s="77" t="s">
        <v>37</v>
      </c>
      <c r="O987" s="77" t="s">
        <v>38</v>
      </c>
      <c r="P987" s="77" t="s">
        <v>39</v>
      </c>
      <c r="Q987" s="76">
        <v>45960</v>
      </c>
      <c r="R987" s="77" t="s">
        <v>3497</v>
      </c>
      <c r="S987" s="77"/>
      <c r="T987" s="77"/>
      <c r="U987" s="77"/>
      <c r="V987" s="78"/>
      <c r="W987" s="79"/>
      <c r="X987" s="78"/>
      <c r="Y987" s="78"/>
      <c r="Z987" s="78"/>
      <c r="AA987">
        <f>IF(COUNTIF('Call Queue'!$H$6:$H$20,V987)&gt;0,0,IF(AND(ISNUMBER(N987),N987&gt;0),10000000+N987,IF(ISNUMBER(N987*1),IF(N987*1&gt;0,10000000+N987*1,0),0))+IF(ISNUMBER(SEARCH("(",L987)),1000000+IFERROR(VALUE(SUBSTITUTE(SUBSTITUTE(SUBSTITUTE(MID(L987,SEARCH("(",L987)+1,SEARCH(")",L987)-SEARCH("(",L987)-1),"$",""),",","")," ","")),0),0))</f>
        <v>0</v>
      </c>
    </row>
    <row r="988" spans="1:27">
      <c r="A988" s="76">
        <v>45959</v>
      </c>
      <c r="B988" s="77" t="s">
        <v>3723</v>
      </c>
      <c r="C988" s="77" t="s">
        <v>3724</v>
      </c>
      <c r="D988" s="77" t="s">
        <v>112</v>
      </c>
      <c r="E988" s="77">
        <v>85379</v>
      </c>
      <c r="F988" s="77" t="s">
        <v>3531</v>
      </c>
      <c r="G988" s="77" t="s">
        <v>3712</v>
      </c>
      <c r="H988" s="77">
        <v>5816055793</v>
      </c>
      <c r="I988" s="77" t="s">
        <v>196</v>
      </c>
      <c r="J988" s="77" t="s">
        <v>37</v>
      </c>
      <c r="K988" s="77" t="s">
        <v>37</v>
      </c>
      <c r="L988" s="77" t="s">
        <v>3726</v>
      </c>
      <c r="M988" s="77" t="s">
        <v>37</v>
      </c>
      <c r="N988" s="77" t="s">
        <v>37</v>
      </c>
      <c r="O988" s="77" t="s">
        <v>38</v>
      </c>
      <c r="P988" s="77" t="s">
        <v>39</v>
      </c>
      <c r="Q988" s="76">
        <v>45960</v>
      </c>
      <c r="R988" s="77" t="s">
        <v>3497</v>
      </c>
      <c r="S988" s="77"/>
      <c r="T988" s="77"/>
      <c r="U988" s="77"/>
      <c r="V988" s="78" t="s">
        <v>5432</v>
      </c>
      <c r="W988" s="79">
        <v>46032</v>
      </c>
      <c r="X988" s="78" t="s">
        <v>38</v>
      </c>
      <c r="Y988" s="78"/>
      <c r="Z988" s="78" t="s">
        <v>5576</v>
      </c>
      <c r="AA988">
        <f>IF(COUNTIF('Call Queue'!$H$6:$H$20,V988)&gt;0,0,IF(AND(ISNUMBER(N988),N988&gt;0),10000000+N988,IF(ISNUMBER(N988*1),IF(N988*1&gt;0,10000000+N988*1,0),0))+IF(ISNUMBER(SEARCH("(",L988)),1000000+IFERROR(VALUE(SUBSTITUTE(SUBSTITUTE(SUBSTITUTE(MID(L988,SEARCH("(",L988)+1,SEARCH(")",L988)-SEARCH("(",L988)-1),"$",""),",","")," ","")),0),0))</f>
        <v>0</v>
      </c>
    </row>
    <row r="989" spans="1:27">
      <c r="A989" s="76">
        <v>45959</v>
      </c>
      <c r="B989" s="77" t="s">
        <v>3729</v>
      </c>
      <c r="C989" s="77" t="s">
        <v>3730</v>
      </c>
      <c r="D989" s="77" t="s">
        <v>112</v>
      </c>
      <c r="E989" s="77">
        <v>85379</v>
      </c>
      <c r="F989" s="77" t="s">
        <v>3531</v>
      </c>
      <c r="G989" s="77" t="s">
        <v>3712</v>
      </c>
      <c r="H989" s="77">
        <v>8510901315</v>
      </c>
      <c r="I989" s="77" t="s">
        <v>541</v>
      </c>
      <c r="J989" s="77" t="s">
        <v>37</v>
      </c>
      <c r="K989" s="77" t="s">
        <v>37</v>
      </c>
      <c r="L989" s="77" t="s">
        <v>389</v>
      </c>
      <c r="M989" s="77" t="s">
        <v>37</v>
      </c>
      <c r="N989" s="77" t="s">
        <v>37</v>
      </c>
      <c r="O989" s="77" t="s">
        <v>38</v>
      </c>
      <c r="P989" s="77" t="s">
        <v>39</v>
      </c>
      <c r="Q989" s="76">
        <v>45960</v>
      </c>
      <c r="R989" s="77" t="s">
        <v>3497</v>
      </c>
      <c r="S989" s="77"/>
      <c r="T989" s="77"/>
      <c r="U989" s="77"/>
      <c r="V989" s="78"/>
      <c r="W989" s="79"/>
      <c r="X989" s="78"/>
      <c r="Y989" s="78"/>
      <c r="Z989" s="78"/>
      <c r="AA989">
        <f>IF(COUNTIF('Call Queue'!$H$6:$H$20,V989)&gt;0,0,IF(AND(ISNUMBER(N989),N989&gt;0),10000000+N989,IF(ISNUMBER(N989*1),IF(N989*1&gt;0,10000000+N989*1,0),0))+IF(ISNUMBER(SEARCH("(",L989)),1000000+IFERROR(VALUE(SUBSTITUTE(SUBSTITUTE(SUBSTITUTE(MID(L989,SEARCH("(",L989)+1,SEARCH(")",L989)-SEARCH("(",L989)-1),"$",""),",","")," ","")),0),0))</f>
        <v>0</v>
      </c>
    </row>
    <row r="990" spans="1:27">
      <c r="A990" s="76">
        <v>45959</v>
      </c>
      <c r="B990" s="77" t="s">
        <v>3431</v>
      </c>
      <c r="C990" s="77" t="s">
        <v>1220</v>
      </c>
      <c r="D990" s="77" t="s">
        <v>63</v>
      </c>
      <c r="E990" s="77">
        <v>85020</v>
      </c>
      <c r="F990" s="77" t="s">
        <v>3531</v>
      </c>
      <c r="G990" s="77" t="s">
        <v>3734</v>
      </c>
      <c r="H990" s="77">
        <v>4077484827</v>
      </c>
      <c r="I990" s="77" t="s">
        <v>73</v>
      </c>
      <c r="J990" s="77" t="s">
        <v>37</v>
      </c>
      <c r="K990" s="77" t="s">
        <v>37</v>
      </c>
      <c r="L990" s="77" t="s">
        <v>1586</v>
      </c>
      <c r="M990" s="77" t="s">
        <v>37</v>
      </c>
      <c r="N990" s="77" t="s">
        <v>37</v>
      </c>
      <c r="O990" s="77" t="s">
        <v>38</v>
      </c>
      <c r="P990" s="77" t="s">
        <v>39</v>
      </c>
      <c r="Q990" s="76">
        <v>45960</v>
      </c>
      <c r="R990" s="77"/>
      <c r="S990" s="77"/>
      <c r="T990" s="77"/>
      <c r="U990" s="77"/>
      <c r="V990" s="78" t="s">
        <v>5432</v>
      </c>
      <c r="W990" s="79">
        <v>46067</v>
      </c>
      <c r="X990" s="78" t="s">
        <v>37</v>
      </c>
      <c r="Y990" s="78"/>
      <c r="Z990" s="78" t="s">
        <v>5565</v>
      </c>
      <c r="AA990">
        <f>IF(COUNTIF('Call Queue'!$H$6:$H$20,V990)&gt;0,0,IF(AND(ISNUMBER(N990),N990&gt;0),10000000+N990,IF(ISNUMBER(N990*1),IF(N990*1&gt;0,10000000+N990*1,0),0))+IF(ISNUMBER(SEARCH("(",L990)),1000000+IFERROR(VALUE(SUBSTITUTE(SUBSTITUTE(SUBSTITUTE(MID(L990,SEARCH("(",L990)+1,SEARCH(")",L990)-SEARCH("(",L990)-1),"$",""),",","")," ","")),0),0))</f>
        <v>0</v>
      </c>
    </row>
    <row r="991" spans="1:27">
      <c r="A991" s="76">
        <v>45959</v>
      </c>
      <c r="B991" s="77" t="s">
        <v>3736</v>
      </c>
      <c r="C991" s="77" t="s">
        <v>3737</v>
      </c>
      <c r="D991" s="77" t="s">
        <v>174</v>
      </c>
      <c r="E991" s="77">
        <v>85396</v>
      </c>
      <c r="F991" s="77" t="s">
        <v>3738</v>
      </c>
      <c r="G991" s="77" t="s">
        <v>3739</v>
      </c>
      <c r="H991" s="77">
        <v>1946751000</v>
      </c>
      <c r="I991" s="77" t="s">
        <v>36</v>
      </c>
      <c r="J991" s="77" t="s">
        <v>37</v>
      </c>
      <c r="K991" s="77" t="s">
        <v>37</v>
      </c>
      <c r="L991" s="77" t="s">
        <v>1586</v>
      </c>
      <c r="M991" s="77" t="s">
        <v>37</v>
      </c>
      <c r="N991" s="77" t="s">
        <v>37</v>
      </c>
      <c r="O991" s="77" t="s">
        <v>38</v>
      </c>
      <c r="P991" s="77" t="s">
        <v>39</v>
      </c>
      <c r="Q991" s="76">
        <v>45960</v>
      </c>
      <c r="R991" s="77"/>
      <c r="S991" s="77"/>
      <c r="T991" s="77"/>
      <c r="U991" s="77"/>
      <c r="V991" s="78"/>
      <c r="W991" s="79"/>
      <c r="X991" s="78"/>
      <c r="Y991" s="78"/>
      <c r="Z991" s="78"/>
      <c r="AA991">
        <f>IF(COUNTIF('Call Queue'!$H$6:$H$20,V991)&gt;0,0,IF(AND(ISNUMBER(N991),N991&gt;0),10000000+N991,IF(ISNUMBER(N991*1),IF(N991*1&gt;0,10000000+N991*1,0),0))+IF(ISNUMBER(SEARCH("(",L991)),1000000+IFERROR(VALUE(SUBSTITUTE(SUBSTITUTE(SUBSTITUTE(MID(L991,SEARCH("(",L991)+1,SEARCH(")",L991)-SEARCH("(",L991)-1),"$",""),",","")," ","")),0),0))</f>
        <v>0</v>
      </c>
    </row>
    <row r="992" spans="1:27">
      <c r="A992" s="76">
        <v>45961</v>
      </c>
      <c r="B992" s="77" t="s">
        <v>1686</v>
      </c>
      <c r="C992" s="77" t="s">
        <v>790</v>
      </c>
      <c r="D992" s="77" t="s">
        <v>63</v>
      </c>
      <c r="E992" s="77">
        <v>85083</v>
      </c>
      <c r="F992" s="77" t="s">
        <v>3531</v>
      </c>
      <c r="G992" s="77" t="s">
        <v>3742</v>
      </c>
      <c r="H992" s="77">
        <v>7591331000</v>
      </c>
      <c r="I992" s="77" t="s">
        <v>243</v>
      </c>
      <c r="J992" s="77" t="s">
        <v>37</v>
      </c>
      <c r="K992" s="77" t="s">
        <v>37</v>
      </c>
      <c r="L992" s="77" t="s">
        <v>389</v>
      </c>
      <c r="M992" s="77" t="s">
        <v>37</v>
      </c>
      <c r="N992" s="77" t="s">
        <v>37</v>
      </c>
      <c r="O992" s="77" t="s">
        <v>38</v>
      </c>
      <c r="P992" s="77" t="s">
        <v>39</v>
      </c>
      <c r="Q992" s="76">
        <v>45961</v>
      </c>
      <c r="R992" s="77" t="s">
        <v>3497</v>
      </c>
      <c r="S992" s="77"/>
      <c r="T992" s="77"/>
      <c r="U992" s="77"/>
      <c r="V992" s="78" t="s">
        <v>5432</v>
      </c>
      <c r="W992" s="79">
        <v>46067</v>
      </c>
      <c r="X992" s="78" t="s">
        <v>38</v>
      </c>
      <c r="Y992" s="78"/>
      <c r="Z992" s="78" t="s">
        <v>5467</v>
      </c>
      <c r="AA992">
        <f>IF(COUNTIF('Call Queue'!$H$6:$H$20,V992)&gt;0,0,IF(AND(ISNUMBER(N992),N992&gt;0),10000000+N992,IF(ISNUMBER(N992*1),IF(N992*1&gt;0,10000000+N992*1,0),0))+IF(ISNUMBER(SEARCH("(",L992)),1000000+IFERROR(VALUE(SUBSTITUTE(SUBSTITUTE(SUBSTITUTE(MID(L992,SEARCH("(",L992)+1,SEARCH(")",L992)-SEARCH("(",L992)-1),"$",""),",","")," ","")),0),0))</f>
        <v>0</v>
      </c>
    </row>
    <row r="993" spans="1:27">
      <c r="A993" s="76">
        <v>45961</v>
      </c>
      <c r="B993" s="77" t="s">
        <v>367</v>
      </c>
      <c r="C993" s="77" t="s">
        <v>3746</v>
      </c>
      <c r="D993" s="77" t="s">
        <v>2105</v>
      </c>
      <c r="E993" s="77">
        <v>85128</v>
      </c>
      <c r="F993" s="77" t="s">
        <v>3531</v>
      </c>
      <c r="G993" s="77" t="s">
        <v>3742</v>
      </c>
      <c r="H993" s="77">
        <v>6818845467</v>
      </c>
      <c r="I993" s="77" t="s">
        <v>36</v>
      </c>
      <c r="J993" s="77" t="s">
        <v>37</v>
      </c>
      <c r="K993" s="77" t="s">
        <v>37</v>
      </c>
      <c r="L993" s="77" t="s">
        <v>1586</v>
      </c>
      <c r="M993" s="77" t="s">
        <v>37</v>
      </c>
      <c r="N993" s="77" t="s">
        <v>37</v>
      </c>
      <c r="O993" s="77" t="s">
        <v>38</v>
      </c>
      <c r="P993" s="77" t="s">
        <v>39</v>
      </c>
      <c r="Q993" s="76">
        <v>45961</v>
      </c>
      <c r="R993" s="77" t="s">
        <v>3497</v>
      </c>
      <c r="S993" s="77"/>
      <c r="T993" s="77"/>
      <c r="U993" s="77"/>
      <c r="V993" s="78"/>
      <c r="W993" s="79"/>
      <c r="X993" s="78"/>
      <c r="Y993" s="78"/>
      <c r="Z993" s="78"/>
      <c r="AA993">
        <f>IF(COUNTIF('Call Queue'!$H$6:$H$20,V993)&gt;0,0,IF(AND(ISNUMBER(N993),N993&gt;0),10000000+N993,IF(ISNUMBER(N993*1),IF(N993*1&gt;0,10000000+N993*1,0),0))+IF(ISNUMBER(SEARCH("(",L993)),1000000+IFERROR(VALUE(SUBSTITUTE(SUBSTITUTE(SUBSTITUTE(MID(L993,SEARCH("(",L993)+1,SEARCH(")",L993)-SEARCH("(",L993)-1),"$",""),",","")," ","")),0),0))</f>
        <v>0</v>
      </c>
    </row>
    <row r="994" spans="1:27">
      <c r="A994" s="76">
        <v>45961</v>
      </c>
      <c r="B994" s="77" t="s">
        <v>686</v>
      </c>
      <c r="C994" s="77" t="s">
        <v>648</v>
      </c>
      <c r="D994" s="77" t="s">
        <v>202</v>
      </c>
      <c r="E994" s="77">
        <v>85382</v>
      </c>
      <c r="F994" s="77" t="s">
        <v>3531</v>
      </c>
      <c r="G994" s="77" t="s">
        <v>3742</v>
      </c>
      <c r="H994" s="77">
        <v>3806613194</v>
      </c>
      <c r="I994" s="77" t="s">
        <v>36</v>
      </c>
      <c r="J994" s="77" t="s">
        <v>37</v>
      </c>
      <c r="K994" s="77" t="s">
        <v>37</v>
      </c>
      <c r="L994" s="77" t="s">
        <v>1586</v>
      </c>
      <c r="M994" s="77" t="s">
        <v>37</v>
      </c>
      <c r="N994" s="77" t="s">
        <v>37</v>
      </c>
      <c r="O994" s="77" t="s">
        <v>38</v>
      </c>
      <c r="P994" s="77" t="s">
        <v>39</v>
      </c>
      <c r="Q994" s="76">
        <v>45961</v>
      </c>
      <c r="R994" s="77" t="s">
        <v>3497</v>
      </c>
      <c r="S994" s="77"/>
      <c r="T994" s="77"/>
      <c r="U994" s="77"/>
      <c r="V994" s="78" t="s">
        <v>5432</v>
      </c>
      <c r="W994" s="79">
        <v>46067</v>
      </c>
      <c r="X994" s="78" t="s">
        <v>38</v>
      </c>
      <c r="Y994" s="78"/>
      <c r="Z994" s="78" t="s">
        <v>5467</v>
      </c>
      <c r="AA994">
        <f>IF(COUNTIF('Call Queue'!$H$6:$H$20,V994)&gt;0,0,IF(AND(ISNUMBER(N994),N994&gt;0),10000000+N994,IF(ISNUMBER(N994*1),IF(N994*1&gt;0,10000000+N994*1,0),0))+IF(ISNUMBER(SEARCH("(",L994)),1000000+IFERROR(VALUE(SUBSTITUTE(SUBSTITUTE(SUBSTITUTE(MID(L994,SEARCH("(",L994)+1,SEARCH(")",L994)-SEARCH("(",L994)-1),"$",""),",","")," ","")),0),0))</f>
        <v>0</v>
      </c>
    </row>
    <row r="995" spans="1:27">
      <c r="A995" s="76">
        <v>45961</v>
      </c>
      <c r="B995" s="77" t="s">
        <v>3750</v>
      </c>
      <c r="C995" s="77" t="s">
        <v>3751</v>
      </c>
      <c r="D995" s="77" t="s">
        <v>174</v>
      </c>
      <c r="E995" s="77">
        <v>85326</v>
      </c>
      <c r="F995" s="77" t="s">
        <v>3531</v>
      </c>
      <c r="G995" s="77" t="s">
        <v>3742</v>
      </c>
      <c r="H995" s="77">
        <v>3297731000</v>
      </c>
      <c r="I995" s="77" t="s">
        <v>3753</v>
      </c>
      <c r="J995" s="77" t="s">
        <v>38</v>
      </c>
      <c r="K995" s="77" t="s">
        <v>37</v>
      </c>
      <c r="L995" s="77" t="s">
        <v>389</v>
      </c>
      <c r="M995" s="77" t="s">
        <v>37</v>
      </c>
      <c r="N995" s="77" t="s">
        <v>37</v>
      </c>
      <c r="O995" s="77" t="s">
        <v>38</v>
      </c>
      <c r="P995" s="77" t="s">
        <v>39</v>
      </c>
      <c r="Q995" s="76">
        <v>45961</v>
      </c>
      <c r="R995" s="77" t="s">
        <v>3497</v>
      </c>
      <c r="S995" s="77"/>
      <c r="T995" s="77"/>
      <c r="U995" s="77"/>
      <c r="V995" s="78"/>
      <c r="W995" s="79"/>
      <c r="X995" s="78"/>
      <c r="Y995" s="78"/>
      <c r="Z995" s="78"/>
      <c r="AA995">
        <f>IF(COUNTIF('Call Queue'!$H$6:$H$20,V995)&gt;0,0,IF(AND(ISNUMBER(N995),N995&gt;0),10000000+N995,IF(ISNUMBER(N995*1),IF(N995*1&gt;0,10000000+N995*1,0),0))+IF(ISNUMBER(SEARCH("(",L995)),1000000+IFERROR(VALUE(SUBSTITUTE(SUBSTITUTE(SUBSTITUTE(MID(L995,SEARCH("(",L995)+1,SEARCH(")",L995)-SEARCH("(",L995)-1),"$",""),",","")," ","")),0),0))</f>
        <v>0</v>
      </c>
    </row>
    <row r="996" spans="1:27">
      <c r="A996" s="76">
        <v>45959</v>
      </c>
      <c r="B996" s="77" t="s">
        <v>3754</v>
      </c>
      <c r="C996" s="77" t="s">
        <v>3755</v>
      </c>
      <c r="D996" s="77" t="s">
        <v>63</v>
      </c>
      <c r="E996" s="77">
        <v>85032</v>
      </c>
      <c r="F996" s="77" t="s">
        <v>3756</v>
      </c>
      <c r="G996" s="77" t="s">
        <v>3757</v>
      </c>
      <c r="H996" s="77">
        <v>2271888532</v>
      </c>
      <c r="I996" s="77" t="s">
        <v>126</v>
      </c>
      <c r="J996" s="77" t="s">
        <v>37</v>
      </c>
      <c r="K996" s="77" t="s">
        <v>37</v>
      </c>
      <c r="L996" s="77" t="s">
        <v>401</v>
      </c>
      <c r="M996" s="77" t="s">
        <v>37</v>
      </c>
      <c r="N996" s="77" t="s">
        <v>37</v>
      </c>
      <c r="O996" s="77" t="s">
        <v>38</v>
      </c>
      <c r="P996" s="77" t="s">
        <v>39</v>
      </c>
      <c r="Q996" s="76">
        <v>45964</v>
      </c>
      <c r="R996" s="77"/>
      <c r="S996" s="77"/>
      <c r="T996" s="77"/>
      <c r="U996" s="77"/>
      <c r="V996" s="78" t="s">
        <v>5432</v>
      </c>
      <c r="W996" s="79">
        <v>46053</v>
      </c>
      <c r="X996" s="78" t="s">
        <v>37</v>
      </c>
      <c r="Y996" s="78" t="s">
        <v>5442</v>
      </c>
      <c r="Z996" s="78" t="s">
        <v>5615</v>
      </c>
      <c r="AA996">
        <f>IF(COUNTIF('Call Queue'!$H$6:$H$20,V996)&gt;0,0,IF(AND(ISNUMBER(N996),N996&gt;0),10000000+N996,IF(ISNUMBER(N996*1),IF(N996*1&gt;0,10000000+N996*1,0),0))+IF(ISNUMBER(SEARCH("(",L996)),1000000+IFERROR(VALUE(SUBSTITUTE(SUBSTITUTE(SUBSTITUTE(MID(L996,SEARCH("(",L996)+1,SEARCH(")",L996)-SEARCH("(",L996)-1),"$",""),",","")," ","")),0),0))</f>
        <v>0</v>
      </c>
    </row>
    <row r="997" spans="1:27">
      <c r="A997" s="76">
        <v>45961</v>
      </c>
      <c r="B997" s="77" t="s">
        <v>3759</v>
      </c>
      <c r="C997" s="77" t="s">
        <v>2258</v>
      </c>
      <c r="D997" s="77" t="s">
        <v>63</v>
      </c>
      <c r="E997" s="77">
        <v>85050</v>
      </c>
      <c r="F997" s="77" t="s">
        <v>3531</v>
      </c>
      <c r="G997" s="77" t="s">
        <v>3757</v>
      </c>
      <c r="H997" s="77">
        <v>6473321000</v>
      </c>
      <c r="I997" s="77" t="s">
        <v>126</v>
      </c>
      <c r="J997" s="77" t="s">
        <v>37</v>
      </c>
      <c r="K997" s="77" t="s">
        <v>37</v>
      </c>
      <c r="L997" s="77" t="s">
        <v>38</v>
      </c>
      <c r="M997" s="77" t="s">
        <v>38</v>
      </c>
      <c r="N997" s="77">
        <v>302.06</v>
      </c>
      <c r="O997" s="77" t="s">
        <v>38</v>
      </c>
      <c r="P997" s="77" t="s">
        <v>39</v>
      </c>
      <c r="Q997" s="76">
        <v>45964</v>
      </c>
      <c r="R997" s="77"/>
      <c r="S997" s="77"/>
      <c r="T997" s="77"/>
      <c r="U997" s="77"/>
      <c r="V997" s="78" t="s">
        <v>5432</v>
      </c>
      <c r="W997" s="79">
        <v>46039</v>
      </c>
      <c r="X997" s="78" t="s">
        <v>38</v>
      </c>
      <c r="Y997" s="78"/>
      <c r="Z997" s="78"/>
      <c r="AA997">
        <f>IF(COUNTIF('Call Queue'!$H$6:$H$20,V997)&gt;0,0,IF(AND(ISNUMBER(N997),N997&gt;0),10000000+N997,IF(ISNUMBER(N997*1),IF(N997*1&gt;0,10000000+N997*1,0),0))+IF(ISNUMBER(SEARCH("(",L997)),1000000+IFERROR(VALUE(SUBSTITUTE(SUBSTITUTE(SUBSTITUTE(MID(L997,SEARCH("(",L997)+1,SEARCH(")",L997)-SEARCH("(",L997)-1),"$",""),",","")," ","")),0),0))</f>
        <v>0</v>
      </c>
    </row>
    <row r="998" spans="1:27">
      <c r="A998" s="76">
        <v>45959</v>
      </c>
      <c r="B998" s="77" t="s">
        <v>3761</v>
      </c>
      <c r="C998" s="77" t="s">
        <v>3762</v>
      </c>
      <c r="D998" s="77" t="s">
        <v>63</v>
      </c>
      <c r="E998" s="77">
        <v>85032</v>
      </c>
      <c r="F998" s="77" t="s">
        <v>3756</v>
      </c>
      <c r="G998" s="77" t="s">
        <v>3757</v>
      </c>
      <c r="H998" s="77">
        <v>2271888532</v>
      </c>
      <c r="I998" s="77" t="s">
        <v>126</v>
      </c>
      <c r="J998" s="77" t="s">
        <v>37</v>
      </c>
      <c r="K998" s="77" t="s">
        <v>37</v>
      </c>
      <c r="L998" s="77" t="s">
        <v>401</v>
      </c>
      <c r="M998" s="77" t="s">
        <v>37</v>
      </c>
      <c r="N998" s="77" t="s">
        <v>37</v>
      </c>
      <c r="O998" s="77" t="s">
        <v>38</v>
      </c>
      <c r="P998" s="77" t="s">
        <v>39</v>
      </c>
      <c r="Q998" s="76">
        <v>45964</v>
      </c>
      <c r="R998" s="77"/>
      <c r="S998" s="77"/>
      <c r="T998" s="77"/>
      <c r="U998" s="77"/>
      <c r="V998" s="78" t="s">
        <v>5432</v>
      </c>
      <c r="W998" s="79">
        <v>46053</v>
      </c>
      <c r="X998" s="78" t="s">
        <v>37</v>
      </c>
      <c r="Y998" s="78" t="s">
        <v>5442</v>
      </c>
      <c r="Z998" s="78" t="s">
        <v>5616</v>
      </c>
      <c r="AA998">
        <f>IF(COUNTIF('Call Queue'!$H$6:$H$20,V998)&gt;0,0,IF(AND(ISNUMBER(N998),N998&gt;0),10000000+N998,IF(ISNUMBER(N998*1),IF(N998*1&gt;0,10000000+N998*1,0),0))+IF(ISNUMBER(SEARCH("(",L998)),1000000+IFERROR(VALUE(SUBSTITUTE(SUBSTITUTE(SUBSTITUTE(MID(L998,SEARCH("(",L998)+1,SEARCH(")",L998)-SEARCH("(",L998)-1),"$",""),",","")," ","")),0),0))</f>
        <v>0</v>
      </c>
    </row>
    <row r="999" spans="1:27">
      <c r="A999" s="76">
        <v>45959</v>
      </c>
      <c r="B999" s="77" t="s">
        <v>2781</v>
      </c>
      <c r="C999" s="77" t="s">
        <v>2380</v>
      </c>
      <c r="D999" s="77" t="s">
        <v>89</v>
      </c>
      <c r="E999" s="77">
        <v>86351</v>
      </c>
      <c r="F999" s="77" t="s">
        <v>3764</v>
      </c>
      <c r="G999" s="77" t="s">
        <v>3757</v>
      </c>
      <c r="H999" s="77">
        <v>9549931000</v>
      </c>
      <c r="I999" s="77" t="s">
        <v>57</v>
      </c>
      <c r="J999" s="77" t="s">
        <v>37</v>
      </c>
      <c r="K999" s="77" t="s">
        <v>37</v>
      </c>
      <c r="L999" s="77" t="s">
        <v>2784</v>
      </c>
      <c r="M999" s="77" t="s">
        <v>37</v>
      </c>
      <c r="N999" s="77" t="s">
        <v>37</v>
      </c>
      <c r="O999" s="77" t="s">
        <v>38</v>
      </c>
      <c r="P999" s="77">
        <v>45971</v>
      </c>
      <c r="Q999" s="76">
        <v>45964</v>
      </c>
      <c r="R999" s="77" t="s">
        <v>2172</v>
      </c>
      <c r="S999" s="77"/>
      <c r="T999" s="77"/>
      <c r="U999" s="77"/>
      <c r="V999" s="78"/>
      <c r="W999" s="79"/>
      <c r="X999" s="78"/>
      <c r="Y999" s="78"/>
      <c r="Z999" s="78"/>
      <c r="AA999">
        <f>IF(COUNTIF('Call Queue'!$H$6:$H$20,V999)&gt;0,0,IF(AND(ISNUMBER(N999),N999&gt;0),10000000+N999,IF(ISNUMBER(N999*1),IF(N999*1&gt;0,10000000+N999*1,0),0))+IF(ISNUMBER(SEARCH("(",L999)),1000000+IFERROR(VALUE(SUBSTITUTE(SUBSTITUTE(SUBSTITUTE(MID(L999,SEARCH("(",L999)+1,SEARCH(")",L999)-SEARCH("(",L999)-1),"$",""),",","")," ","")),0),0))</f>
        <v>1000482.61</v>
      </c>
    </row>
    <row r="1000" spans="1:27">
      <c r="A1000" s="76">
        <v>45959</v>
      </c>
      <c r="B1000" s="77" t="s">
        <v>3765</v>
      </c>
      <c r="C1000" s="77" t="s">
        <v>3766</v>
      </c>
      <c r="D1000" s="77" t="s">
        <v>63</v>
      </c>
      <c r="E1000" s="77">
        <v>85085</v>
      </c>
      <c r="F1000" s="77" t="s">
        <v>3767</v>
      </c>
      <c r="G1000" s="77" t="s">
        <v>3757</v>
      </c>
      <c r="H1000" s="77">
        <v>3214901000</v>
      </c>
      <c r="I1000" s="77" t="s">
        <v>36</v>
      </c>
      <c r="J1000" s="77" t="s">
        <v>37</v>
      </c>
      <c r="K1000" s="77" t="s">
        <v>37</v>
      </c>
      <c r="L1000" s="77" t="s">
        <v>38</v>
      </c>
      <c r="M1000" s="77" t="s">
        <v>37</v>
      </c>
      <c r="N1000" s="77" t="s">
        <v>37</v>
      </c>
      <c r="O1000" s="77" t="s">
        <v>38</v>
      </c>
      <c r="P1000" s="77" t="s">
        <v>39</v>
      </c>
      <c r="Q1000" s="76">
        <v>45964</v>
      </c>
      <c r="R1000" s="77"/>
      <c r="S1000" s="77"/>
      <c r="T1000" s="77"/>
      <c r="U1000" s="77"/>
      <c r="V1000" s="78" t="s">
        <v>5432</v>
      </c>
      <c r="W1000" s="79">
        <v>46067</v>
      </c>
      <c r="X1000" s="78" t="s">
        <v>38</v>
      </c>
      <c r="Y1000" s="78"/>
      <c r="Z1000" s="78" t="s">
        <v>5467</v>
      </c>
      <c r="AA1000">
        <f>IF(COUNTIF('Call Queue'!$H$6:$H$20,V1000)&gt;0,0,IF(AND(ISNUMBER(N1000),N1000&gt;0),10000000+N1000,IF(ISNUMBER(N1000*1),IF(N1000*1&gt;0,10000000+N1000*1,0),0))+IF(ISNUMBER(SEARCH("(",L1000)),1000000+IFERROR(VALUE(SUBSTITUTE(SUBSTITUTE(SUBSTITUTE(MID(L1000,SEARCH("(",L1000)+1,SEARCH(")",L1000)-SEARCH("(",L1000)-1),"$",""),",","")," ","")),0),0))</f>
        <v>0</v>
      </c>
    </row>
    <row r="1001" spans="1:27">
      <c r="A1001" s="76">
        <v>45961</v>
      </c>
      <c r="B1001" s="77" t="s">
        <v>167</v>
      </c>
      <c r="C1001" s="77" t="s">
        <v>503</v>
      </c>
      <c r="D1001" s="77" t="s">
        <v>30</v>
      </c>
      <c r="E1001" s="77"/>
      <c r="F1001" s="77" t="s">
        <v>3773</v>
      </c>
      <c r="G1001" s="77" t="s">
        <v>3757</v>
      </c>
      <c r="H1001" s="77" t="s">
        <v>209</v>
      </c>
      <c r="I1001" s="77"/>
      <c r="J1001" s="77"/>
      <c r="K1001" s="77"/>
      <c r="L1001" s="77"/>
      <c r="M1001" s="77"/>
      <c r="N1001" s="77"/>
      <c r="O1001" s="77"/>
      <c r="P1001" s="77"/>
      <c r="Q1001" s="76"/>
      <c r="R1001" s="77"/>
      <c r="S1001" s="77"/>
      <c r="T1001" s="77"/>
      <c r="U1001" s="77"/>
      <c r="V1001" s="78"/>
      <c r="W1001" s="79"/>
      <c r="X1001" s="78"/>
      <c r="Y1001" s="78"/>
      <c r="Z1001" s="78"/>
      <c r="AA1001">
        <f>IF(COUNTIF('Call Queue'!$H$6:$H$20,V1001)&gt;0,0,IF(AND(ISNUMBER(N1001),N1001&gt;0),10000000+N1001,IF(ISNUMBER(N1001*1),IF(N1001*1&gt;0,10000000+N1001*1,0),0))+IF(ISNUMBER(SEARCH("(",L1001)),1000000+IFERROR(VALUE(SUBSTITUTE(SUBSTITUTE(SUBSTITUTE(MID(L1001,SEARCH("(",L1001)+1,SEARCH(")",L1001)-SEARCH("(",L1001)-1),"$",""),",","")," ","")),0),0))</f>
        <v>0</v>
      </c>
    </row>
    <row r="1002" spans="1:27">
      <c r="A1002" s="76">
        <v>45961</v>
      </c>
      <c r="B1002" s="77" t="s">
        <v>3775</v>
      </c>
      <c r="C1002" s="77" t="s">
        <v>481</v>
      </c>
      <c r="D1002" s="77" t="s">
        <v>698</v>
      </c>
      <c r="E1002" s="77">
        <v>85375</v>
      </c>
      <c r="F1002" s="77" t="s">
        <v>3776</v>
      </c>
      <c r="G1002" s="77" t="s">
        <v>3777</v>
      </c>
      <c r="H1002" s="77">
        <v>1150201000</v>
      </c>
      <c r="I1002" s="77" t="s">
        <v>541</v>
      </c>
      <c r="J1002" s="77" t="s">
        <v>37</v>
      </c>
      <c r="K1002" s="77" t="s">
        <v>37</v>
      </c>
      <c r="L1002" s="77" t="s">
        <v>389</v>
      </c>
      <c r="M1002" s="77" t="s">
        <v>37</v>
      </c>
      <c r="N1002" s="77" t="s">
        <v>37</v>
      </c>
      <c r="O1002" s="77" t="s">
        <v>38</v>
      </c>
      <c r="P1002" s="77" t="s">
        <v>39</v>
      </c>
      <c r="Q1002" s="76">
        <v>45964</v>
      </c>
      <c r="R1002" s="77" t="s">
        <v>3779</v>
      </c>
      <c r="S1002" s="77"/>
      <c r="T1002" s="77"/>
      <c r="U1002" s="77"/>
      <c r="V1002" s="78"/>
      <c r="W1002" s="79"/>
      <c r="X1002" s="78"/>
      <c r="Y1002" s="78"/>
      <c r="Z1002" s="78"/>
      <c r="AA1002">
        <f>IF(COUNTIF('Call Queue'!$H$6:$H$20,V1002)&gt;0,0,IF(AND(ISNUMBER(N1002),N1002&gt;0),10000000+N1002,IF(ISNUMBER(N1002*1),IF(N1002*1&gt;0,10000000+N1002*1,0),0))+IF(ISNUMBER(SEARCH("(",L1002)),1000000+IFERROR(VALUE(SUBSTITUTE(SUBSTITUTE(SUBSTITUTE(MID(L1002,SEARCH("(",L1002)+1,SEARCH(")",L1002)-SEARCH("(",L1002)-1),"$",""),",","")," ","")),0),0))</f>
        <v>0</v>
      </c>
    </row>
    <row r="1003" spans="1:27">
      <c r="A1003" s="76">
        <v>45961</v>
      </c>
      <c r="B1003" s="77" t="s">
        <v>1134</v>
      </c>
      <c r="C1003" s="77" t="s">
        <v>211</v>
      </c>
      <c r="D1003" s="77" t="s">
        <v>169</v>
      </c>
      <c r="E1003" s="77">
        <v>85338</v>
      </c>
      <c r="F1003" s="77" t="s">
        <v>3785</v>
      </c>
      <c r="G1003" s="77" t="s">
        <v>3784</v>
      </c>
      <c r="H1003" s="77" t="s">
        <v>209</v>
      </c>
      <c r="I1003" s="77"/>
      <c r="J1003" s="77"/>
      <c r="K1003" s="77"/>
      <c r="L1003" s="77"/>
      <c r="M1003" s="77"/>
      <c r="N1003" s="77"/>
      <c r="O1003" s="77"/>
      <c r="P1003" s="77"/>
      <c r="Q1003" s="76"/>
      <c r="R1003" s="77"/>
      <c r="S1003" s="77"/>
      <c r="T1003" s="77"/>
      <c r="U1003" s="77"/>
      <c r="V1003" s="78"/>
      <c r="W1003" s="79"/>
      <c r="X1003" s="78"/>
      <c r="Y1003" s="78"/>
      <c r="Z1003" s="78"/>
      <c r="AA1003">
        <f>IF(COUNTIF('Call Queue'!$H$6:$H$20,V1003)&gt;0,0,IF(AND(ISNUMBER(N1003),N1003&gt;0),10000000+N1003,IF(ISNUMBER(N1003*1),IF(N1003*1&gt;0,10000000+N1003*1,0),0))+IF(ISNUMBER(SEARCH("(",L1003)),1000000+IFERROR(VALUE(SUBSTITUTE(SUBSTITUTE(SUBSTITUTE(MID(L1003,SEARCH("(",L1003)+1,SEARCH(")",L1003)-SEARCH("(",L1003)-1),"$",""),",","")," ","")),0),0))</f>
        <v>0</v>
      </c>
    </row>
    <row r="1004" spans="1:27">
      <c r="A1004" s="76">
        <v>45961</v>
      </c>
      <c r="B1004" s="77" t="s">
        <v>3786</v>
      </c>
      <c r="C1004" s="77" t="s">
        <v>230</v>
      </c>
      <c r="D1004" s="77" t="s">
        <v>30</v>
      </c>
      <c r="E1004" s="77" t="s">
        <v>30</v>
      </c>
      <c r="F1004" s="77" t="s">
        <v>3787</v>
      </c>
      <c r="G1004" s="77" t="s">
        <v>3784</v>
      </c>
      <c r="H1004" s="77">
        <v>9452141000</v>
      </c>
      <c r="I1004" s="77" t="s">
        <v>126</v>
      </c>
      <c r="J1004" s="77" t="s">
        <v>37</v>
      </c>
      <c r="K1004" s="77" t="s">
        <v>37</v>
      </c>
      <c r="L1004" s="77" t="s">
        <v>38</v>
      </c>
      <c r="M1004" s="77" t="s">
        <v>37</v>
      </c>
      <c r="N1004" s="77" t="s">
        <v>37</v>
      </c>
      <c r="O1004" s="77" t="s">
        <v>38</v>
      </c>
      <c r="P1004" s="77" t="s">
        <v>39</v>
      </c>
      <c r="Q1004" s="76">
        <v>45965</v>
      </c>
      <c r="R1004" s="77"/>
      <c r="S1004" s="77"/>
      <c r="T1004" s="77"/>
      <c r="U1004" s="77"/>
      <c r="V1004" s="78" t="s">
        <v>5432</v>
      </c>
      <c r="W1004" s="79">
        <v>46067</v>
      </c>
      <c r="X1004" s="78" t="s">
        <v>37</v>
      </c>
      <c r="Y1004" s="78" t="s">
        <v>5442</v>
      </c>
      <c r="Z1004" s="78"/>
      <c r="AA1004">
        <f>IF(COUNTIF('Call Queue'!$H$6:$H$20,V1004)&gt;0,0,IF(AND(ISNUMBER(N1004),N1004&gt;0),10000000+N1004,IF(ISNUMBER(N1004*1),IF(N1004*1&gt;0,10000000+N1004*1,0),0))+IF(ISNUMBER(SEARCH("(",L1004)),1000000+IFERROR(VALUE(SUBSTITUTE(SUBSTITUTE(SUBSTITUTE(MID(L1004,SEARCH("(",L1004)+1,SEARCH(")",L1004)-SEARCH("(",L1004)-1),"$",""),",","")," ","")),0),0))</f>
        <v>0</v>
      </c>
    </row>
    <row r="1005" spans="1:27">
      <c r="A1005" s="76">
        <v>45961</v>
      </c>
      <c r="B1005" s="77" t="s">
        <v>2963</v>
      </c>
      <c r="C1005" s="77" t="s">
        <v>3791</v>
      </c>
      <c r="D1005" s="77" t="s">
        <v>24</v>
      </c>
      <c r="E1005" s="77">
        <v>85310</v>
      </c>
      <c r="F1005" s="77" t="s">
        <v>3531</v>
      </c>
      <c r="G1005" s="77" t="s">
        <v>3792</v>
      </c>
      <c r="H1005" s="77">
        <v>4309031000</v>
      </c>
      <c r="I1005" s="77" t="s">
        <v>46</v>
      </c>
      <c r="J1005" s="77" t="s">
        <v>37</v>
      </c>
      <c r="K1005" s="77" t="s">
        <v>37</v>
      </c>
      <c r="L1005" s="77" t="s">
        <v>38</v>
      </c>
      <c r="M1005" s="77" t="s">
        <v>37</v>
      </c>
      <c r="N1005" s="77" t="s">
        <v>37</v>
      </c>
      <c r="O1005" s="77" t="s">
        <v>38</v>
      </c>
      <c r="P1005" s="77" t="s">
        <v>39</v>
      </c>
      <c r="Q1005" s="76">
        <v>45965</v>
      </c>
      <c r="R1005" s="77"/>
      <c r="S1005" s="77"/>
      <c r="T1005" s="77"/>
      <c r="U1005" s="77"/>
      <c r="V1005" s="78"/>
      <c r="W1005" s="79"/>
      <c r="X1005" s="78"/>
      <c r="Y1005" s="78"/>
      <c r="Z1005" s="78"/>
      <c r="AA1005">
        <f>IF(COUNTIF('Call Queue'!$H$6:$H$20,V1005)&gt;0,0,IF(AND(ISNUMBER(N1005),N1005&gt;0),10000000+N1005,IF(ISNUMBER(N1005*1),IF(N1005*1&gt;0,10000000+N1005*1,0),0))+IF(ISNUMBER(SEARCH("(",L1005)),1000000+IFERROR(VALUE(SUBSTITUTE(SUBSTITUTE(SUBSTITUTE(MID(L1005,SEARCH("(",L1005)+1,SEARCH(")",L1005)-SEARCH("(",L1005)-1),"$",""),",","")," ","")),0),0))</f>
        <v>0</v>
      </c>
    </row>
    <row r="1006" spans="1:27">
      <c r="A1006" s="76">
        <v>45964</v>
      </c>
      <c r="B1006" s="77" t="s">
        <v>210</v>
      </c>
      <c r="C1006" s="77" t="s">
        <v>211</v>
      </c>
      <c r="D1006" s="77" t="s">
        <v>85</v>
      </c>
      <c r="E1006" s="77">
        <v>86323</v>
      </c>
      <c r="F1006" s="77" t="s">
        <v>3794</v>
      </c>
      <c r="G1006" s="77" t="s">
        <v>3792</v>
      </c>
      <c r="H1006" s="77">
        <v>4707610000</v>
      </c>
      <c r="I1006" s="77" t="s">
        <v>73</v>
      </c>
      <c r="J1006" s="77" t="s">
        <v>37</v>
      </c>
      <c r="K1006" s="77" t="s">
        <v>37</v>
      </c>
      <c r="L1006" s="77" t="s">
        <v>38</v>
      </c>
      <c r="M1006" s="77" t="s">
        <v>37</v>
      </c>
      <c r="N1006" s="77" t="s">
        <v>37</v>
      </c>
      <c r="O1006" s="77" t="s">
        <v>38</v>
      </c>
      <c r="P1006" s="77" t="s">
        <v>39</v>
      </c>
      <c r="Q1006" s="76">
        <v>45965</v>
      </c>
      <c r="R1006" s="77"/>
      <c r="S1006" s="77"/>
      <c r="T1006" s="77"/>
      <c r="U1006" s="77"/>
      <c r="V1006" s="78"/>
      <c r="W1006" s="79"/>
      <c r="X1006" s="78"/>
      <c r="Y1006" s="78"/>
      <c r="Z1006" s="78"/>
      <c r="AA1006">
        <f>IF(COUNTIF('Call Queue'!$H$6:$H$20,V1006)&gt;0,0,IF(AND(ISNUMBER(N1006),N1006&gt;0),10000000+N1006,IF(ISNUMBER(N1006*1),IF(N1006*1&gt;0,10000000+N1006*1,0),0))+IF(ISNUMBER(SEARCH("(",L1006)),1000000+IFERROR(VALUE(SUBSTITUTE(SUBSTITUTE(SUBSTITUTE(MID(L1006,SEARCH("(",L1006)+1,SEARCH(")",L1006)-SEARCH("(",L1006)-1),"$",""),",","")," ","")),0),0))</f>
        <v>0</v>
      </c>
    </row>
    <row r="1007" spans="1:27">
      <c r="A1007" s="76">
        <v>45964</v>
      </c>
      <c r="B1007" s="77" t="s">
        <v>3795</v>
      </c>
      <c r="C1007" s="77" t="s">
        <v>3796</v>
      </c>
      <c r="D1007" s="77" t="s">
        <v>30</v>
      </c>
      <c r="E1007" s="77" t="s">
        <v>30</v>
      </c>
      <c r="F1007" s="77" t="s">
        <v>3797</v>
      </c>
      <c r="G1007" s="77" t="s">
        <v>3792</v>
      </c>
      <c r="H1007" s="77" t="s">
        <v>209</v>
      </c>
      <c r="I1007" s="77"/>
      <c r="J1007" s="77"/>
      <c r="K1007" s="77"/>
      <c r="L1007" s="77"/>
      <c r="M1007" s="77"/>
      <c r="N1007" s="77"/>
      <c r="O1007" s="77"/>
      <c r="P1007" s="77"/>
      <c r="Q1007" s="76"/>
      <c r="R1007" s="77"/>
      <c r="S1007" s="77"/>
      <c r="T1007" s="77"/>
      <c r="U1007" s="77"/>
      <c r="V1007" s="78"/>
      <c r="W1007" s="79"/>
      <c r="X1007" s="78"/>
      <c r="Y1007" s="78"/>
      <c r="Z1007" s="78"/>
      <c r="AA1007">
        <f>IF(COUNTIF('Call Queue'!$H$6:$H$20,V1007)&gt;0,0,IF(AND(ISNUMBER(N1007),N1007&gt;0),10000000+N1007,IF(ISNUMBER(N1007*1),IF(N1007*1&gt;0,10000000+N1007*1,0),0))+IF(ISNUMBER(SEARCH("(",L1007)),1000000+IFERROR(VALUE(SUBSTITUTE(SUBSTITUTE(SUBSTITUTE(MID(L1007,SEARCH("(",L1007)+1,SEARCH(")",L1007)-SEARCH("(",L1007)-1),"$",""),",","")," ","")),0),0))</f>
        <v>0</v>
      </c>
    </row>
    <row r="1008" spans="1:27">
      <c r="A1008" s="76">
        <v>45961</v>
      </c>
      <c r="B1008" s="77" t="s">
        <v>1776</v>
      </c>
      <c r="C1008" s="77" t="s">
        <v>1079</v>
      </c>
      <c r="D1008" s="77" t="s">
        <v>43</v>
      </c>
      <c r="E1008" s="77">
        <v>85363</v>
      </c>
      <c r="F1008" s="77" t="s">
        <v>3531</v>
      </c>
      <c r="G1008" s="77" t="s">
        <v>3792</v>
      </c>
      <c r="H1008" s="77">
        <v>6003957639</v>
      </c>
      <c r="I1008" s="77" t="s">
        <v>196</v>
      </c>
      <c r="J1008" s="77" t="s">
        <v>37</v>
      </c>
      <c r="K1008" s="77" t="s">
        <v>37</v>
      </c>
      <c r="L1008" s="77" t="s">
        <v>3799</v>
      </c>
      <c r="M1008" s="77" t="s">
        <v>38</v>
      </c>
      <c r="N1008" s="77">
        <v>1482.25</v>
      </c>
      <c r="O1008" s="77" t="s">
        <v>38</v>
      </c>
      <c r="P1008" s="77"/>
      <c r="Q1008" s="76">
        <v>45965</v>
      </c>
      <c r="R1008" s="77" t="s">
        <v>3800</v>
      </c>
      <c r="S1008" s="77"/>
      <c r="T1008" s="77"/>
      <c r="U1008" s="77"/>
      <c r="V1008" s="78" t="s">
        <v>5432</v>
      </c>
      <c r="W1008" s="79">
        <v>46032</v>
      </c>
      <c r="X1008" s="78" t="s">
        <v>38</v>
      </c>
      <c r="Y1008" s="78"/>
      <c r="Z1008" s="78" t="s">
        <v>5617</v>
      </c>
      <c r="AA1008">
        <f>IF(COUNTIF('Call Queue'!$H$6:$H$20,V1008)&gt;0,0,IF(AND(ISNUMBER(N1008),N1008&gt;0),10000000+N1008,IF(ISNUMBER(N1008*1),IF(N1008*1&gt;0,10000000+N1008*1,0),0))+IF(ISNUMBER(SEARCH("(",L1008)),1000000+IFERROR(VALUE(SUBSTITUTE(SUBSTITUTE(SUBSTITUTE(MID(L1008,SEARCH("(",L1008)+1,SEARCH(")",L1008)-SEARCH("(",L1008)-1),"$",""),",","")," ","")),0),0))</f>
        <v>0</v>
      </c>
    </row>
    <row r="1009" spans="1:27">
      <c r="A1009" s="76">
        <v>45962</v>
      </c>
      <c r="B1009" s="77" t="s">
        <v>3801</v>
      </c>
      <c r="C1009" s="77" t="s">
        <v>611</v>
      </c>
      <c r="D1009" s="77" t="s">
        <v>63</v>
      </c>
      <c r="E1009" s="77">
        <v>85029</v>
      </c>
      <c r="F1009" s="77" t="s">
        <v>3802</v>
      </c>
      <c r="G1009" s="77" t="s">
        <v>3792</v>
      </c>
      <c r="H1009" s="77">
        <v>5470751000</v>
      </c>
      <c r="I1009" s="77" t="s">
        <v>36</v>
      </c>
      <c r="J1009" s="77" t="s">
        <v>37</v>
      </c>
      <c r="K1009" s="77" t="s">
        <v>37</v>
      </c>
      <c r="L1009" s="77" t="s">
        <v>38</v>
      </c>
      <c r="M1009" s="77" t="s">
        <v>37</v>
      </c>
      <c r="N1009" s="77" t="s">
        <v>37</v>
      </c>
      <c r="O1009" s="77" t="s">
        <v>38</v>
      </c>
      <c r="P1009" s="77" t="s">
        <v>39</v>
      </c>
      <c r="Q1009" s="76">
        <v>45965</v>
      </c>
      <c r="R1009" s="77"/>
      <c r="S1009" s="77"/>
      <c r="T1009" s="77"/>
      <c r="U1009" s="77"/>
      <c r="V1009" s="78" t="s">
        <v>5432</v>
      </c>
      <c r="W1009" s="79">
        <v>46067</v>
      </c>
      <c r="X1009" s="78" t="s">
        <v>38</v>
      </c>
      <c r="Y1009" s="78"/>
      <c r="Z1009" s="78" t="s">
        <v>5467</v>
      </c>
      <c r="AA1009">
        <f>IF(COUNTIF('Call Queue'!$H$6:$H$20,V1009)&gt;0,0,IF(AND(ISNUMBER(N1009),N1009&gt;0),10000000+N1009,IF(ISNUMBER(N1009*1),IF(N1009*1&gt;0,10000000+N1009*1,0),0))+IF(ISNUMBER(SEARCH("(",L1009)),1000000+IFERROR(VALUE(SUBSTITUTE(SUBSTITUTE(SUBSTITUTE(MID(L1009,SEARCH("(",L1009)+1,SEARCH(")",L1009)-SEARCH("(",L1009)-1),"$",""),",","")," ","")),0),0))</f>
        <v>0</v>
      </c>
    </row>
    <row r="1010" spans="1:27">
      <c r="A1010" s="76">
        <v>45963</v>
      </c>
      <c r="B1010" s="77" t="s">
        <v>3804</v>
      </c>
      <c r="C1010" s="77" t="s">
        <v>135</v>
      </c>
      <c r="D1010" s="77" t="s">
        <v>737</v>
      </c>
      <c r="E1010" s="77">
        <v>86326</v>
      </c>
      <c r="F1010" s="77" t="s">
        <v>3805</v>
      </c>
      <c r="G1010" s="77" t="s">
        <v>3792</v>
      </c>
      <c r="H1010" s="77">
        <v>9058887734</v>
      </c>
      <c r="I1010" s="77" t="s">
        <v>541</v>
      </c>
      <c r="J1010" s="77" t="s">
        <v>37</v>
      </c>
      <c r="K1010" s="77" t="s">
        <v>37</v>
      </c>
      <c r="L1010" s="77" t="s">
        <v>389</v>
      </c>
      <c r="M1010" s="77" t="s">
        <v>37</v>
      </c>
      <c r="N1010" s="77" t="s">
        <v>37</v>
      </c>
      <c r="O1010" s="77" t="s">
        <v>38</v>
      </c>
      <c r="P1010" s="77" t="s">
        <v>39</v>
      </c>
      <c r="Q1010" s="76">
        <v>45965</v>
      </c>
      <c r="R1010" s="77"/>
      <c r="S1010" s="77"/>
      <c r="T1010" s="77"/>
      <c r="U1010" s="77"/>
      <c r="V1010" s="78"/>
      <c r="W1010" s="79"/>
      <c r="X1010" s="78"/>
      <c r="Y1010" s="78"/>
      <c r="Z1010" s="78"/>
      <c r="AA1010">
        <f>IF(COUNTIF('Call Queue'!$H$6:$H$20,V1010)&gt;0,0,IF(AND(ISNUMBER(N1010),N1010&gt;0),10000000+N1010,IF(ISNUMBER(N1010*1),IF(N1010*1&gt;0,10000000+N1010*1,0),0))+IF(ISNUMBER(SEARCH("(",L1010)),1000000+IFERROR(VALUE(SUBSTITUTE(SUBSTITUTE(SUBSTITUTE(MID(L1010,SEARCH("(",L1010)+1,SEARCH(")",L1010)-SEARCH("(",L1010)-1),"$",""),",","")," ","")),0),0))</f>
        <v>0</v>
      </c>
    </row>
    <row r="1011" spans="1:27">
      <c r="A1011" s="76">
        <v>45965</v>
      </c>
      <c r="B1011" s="77" t="s">
        <v>3807</v>
      </c>
      <c r="C1011" s="77" t="s">
        <v>3808</v>
      </c>
      <c r="D1011" s="77" t="s">
        <v>68</v>
      </c>
      <c r="E1011" s="77">
        <v>85331</v>
      </c>
      <c r="F1011" s="77" t="s">
        <v>3809</v>
      </c>
      <c r="G1011" s="77" t="s">
        <v>3810</v>
      </c>
      <c r="H1011" s="77">
        <v>3801590000</v>
      </c>
      <c r="I1011" s="77" t="s">
        <v>36</v>
      </c>
      <c r="J1011" s="77" t="s">
        <v>37</v>
      </c>
      <c r="K1011" s="77" t="s">
        <v>37</v>
      </c>
      <c r="L1011" s="77" t="s">
        <v>38</v>
      </c>
      <c r="M1011" s="77" t="s">
        <v>37</v>
      </c>
      <c r="N1011" s="77" t="s">
        <v>37</v>
      </c>
      <c r="O1011" s="77" t="s">
        <v>38</v>
      </c>
      <c r="P1011" s="77" t="s">
        <v>39</v>
      </c>
      <c r="Q1011" s="76">
        <v>45966</v>
      </c>
      <c r="R1011" s="77"/>
      <c r="S1011" s="77"/>
      <c r="T1011" s="77"/>
      <c r="U1011" s="77"/>
      <c r="V1011" s="78" t="s">
        <v>5432</v>
      </c>
      <c r="W1011" s="79">
        <v>46067</v>
      </c>
      <c r="X1011" s="78" t="s">
        <v>37</v>
      </c>
      <c r="Y1011" s="78" t="s">
        <v>5527</v>
      </c>
      <c r="Z1011" s="78" t="s">
        <v>5618</v>
      </c>
      <c r="AA1011">
        <f>IF(COUNTIF('Call Queue'!$H$6:$H$20,V1011)&gt;0,0,IF(AND(ISNUMBER(N1011),N1011&gt;0),10000000+N1011,IF(ISNUMBER(N1011*1),IF(N1011*1&gt;0,10000000+N1011*1,0),0))+IF(ISNUMBER(SEARCH("(",L1011)),1000000+IFERROR(VALUE(SUBSTITUTE(SUBSTITUTE(SUBSTITUTE(MID(L1011,SEARCH("(",L1011)+1,SEARCH(")",L1011)-SEARCH("(",L1011)-1),"$",""),",","")," ","")),0),0))</f>
        <v>0</v>
      </c>
    </row>
    <row r="1012" spans="1:27">
      <c r="A1012" s="76">
        <v>45906</v>
      </c>
      <c r="B1012" s="77" t="s">
        <v>2484</v>
      </c>
      <c r="C1012" s="77" t="s">
        <v>320</v>
      </c>
      <c r="D1012" s="77" t="s">
        <v>504</v>
      </c>
      <c r="E1012" s="77">
        <v>86005</v>
      </c>
      <c r="F1012" s="77" t="s">
        <v>3756</v>
      </c>
      <c r="G1012" s="77" t="s">
        <v>3810</v>
      </c>
      <c r="H1012" s="77">
        <v>3505651000</v>
      </c>
      <c r="I1012" s="77" t="s">
        <v>1684</v>
      </c>
      <c r="J1012" s="77" t="s">
        <v>37</v>
      </c>
      <c r="K1012" s="77" t="s">
        <v>37</v>
      </c>
      <c r="L1012" s="77" t="s">
        <v>3813</v>
      </c>
      <c r="M1012" s="77" t="s">
        <v>37</v>
      </c>
      <c r="N1012" s="77" t="s">
        <v>37</v>
      </c>
      <c r="O1012" s="77" t="s">
        <v>38</v>
      </c>
      <c r="P1012" s="77">
        <v>45971</v>
      </c>
      <c r="Q1012" s="76">
        <v>45966</v>
      </c>
      <c r="R1012" s="77" t="s">
        <v>3814</v>
      </c>
      <c r="S1012" s="77"/>
      <c r="T1012" s="77"/>
      <c r="U1012" s="77"/>
      <c r="V1012" s="78" t="s">
        <v>5432</v>
      </c>
      <c r="W1012" s="79">
        <v>46032</v>
      </c>
      <c r="X1012" s="78" t="s">
        <v>38</v>
      </c>
      <c r="Y1012" s="78"/>
      <c r="Z1012" s="78" t="s">
        <v>5619</v>
      </c>
      <c r="AA1012">
        <f>IF(COUNTIF('Call Queue'!$H$6:$H$20,V1012)&gt;0,0,IF(AND(ISNUMBER(N1012),N1012&gt;0),10000000+N1012,IF(ISNUMBER(N1012*1),IF(N1012*1&gt;0,10000000+N1012*1,0),0))+IF(ISNUMBER(SEARCH("(",L1012)),1000000+IFERROR(VALUE(SUBSTITUTE(SUBSTITUTE(SUBSTITUTE(MID(L1012,SEARCH("(",L1012)+1,SEARCH(")",L1012)-SEARCH("(",L1012)-1),"$",""),",","")," ","")),0),0))</f>
        <v>0</v>
      </c>
    </row>
    <row r="1013" spans="1:27">
      <c r="A1013" s="76">
        <v>45964</v>
      </c>
      <c r="B1013" s="77" t="s">
        <v>3815</v>
      </c>
      <c r="C1013" s="77" t="s">
        <v>133</v>
      </c>
      <c r="D1013" s="77" t="s">
        <v>125</v>
      </c>
      <c r="E1013" s="77">
        <v>85255</v>
      </c>
      <c r="F1013" s="77" t="s">
        <v>3816</v>
      </c>
      <c r="G1013" s="77" t="s">
        <v>3817</v>
      </c>
      <c r="H1013" s="77">
        <v>2990380000</v>
      </c>
      <c r="I1013" s="77" t="s">
        <v>196</v>
      </c>
      <c r="J1013" s="77" t="s">
        <v>37</v>
      </c>
      <c r="K1013" s="77" t="s">
        <v>37</v>
      </c>
      <c r="L1013" s="77" t="s">
        <v>3819</v>
      </c>
      <c r="M1013" s="77" t="s">
        <v>37</v>
      </c>
      <c r="N1013" s="77" t="s">
        <v>37</v>
      </c>
      <c r="O1013" s="77" t="s">
        <v>38</v>
      </c>
      <c r="P1013" s="77">
        <v>45971</v>
      </c>
      <c r="Q1013" s="76">
        <v>45966</v>
      </c>
      <c r="R1013" s="77" t="s">
        <v>3820</v>
      </c>
      <c r="S1013" s="77"/>
      <c r="T1013" s="77"/>
      <c r="U1013" s="77"/>
      <c r="V1013" s="78" t="s">
        <v>5432</v>
      </c>
      <c r="W1013" s="79">
        <v>46032</v>
      </c>
      <c r="X1013" s="78" t="s">
        <v>38</v>
      </c>
      <c r="Y1013" s="78"/>
      <c r="Z1013" s="78" t="s">
        <v>5617</v>
      </c>
      <c r="AA1013">
        <f>IF(COUNTIF('Call Queue'!$H$6:$H$20,V1013)&gt;0,0,IF(AND(ISNUMBER(N1013),N1013&gt;0),10000000+N1013,IF(ISNUMBER(N1013*1),IF(N1013*1&gt;0,10000000+N1013*1,0),0))+IF(ISNUMBER(SEARCH("(",L1013)),1000000+IFERROR(VALUE(SUBSTITUTE(SUBSTITUTE(SUBSTITUTE(MID(L1013,SEARCH("(",L1013)+1,SEARCH(")",L1013)-SEARCH("(",L1013)-1),"$",""),",","")," ","")),0),0))</f>
        <v>0</v>
      </c>
    </row>
    <row r="1014" spans="1:27">
      <c r="A1014" s="76">
        <v>45966</v>
      </c>
      <c r="B1014" s="77" t="s">
        <v>3821</v>
      </c>
      <c r="C1014" s="77" t="s">
        <v>784</v>
      </c>
      <c r="D1014" s="77" t="s">
        <v>63</v>
      </c>
      <c r="E1014" s="77">
        <v>85022</v>
      </c>
      <c r="F1014" s="77" t="s">
        <v>3822</v>
      </c>
      <c r="G1014" s="77" t="s">
        <v>3823</v>
      </c>
      <c r="H1014" s="77">
        <v>3304816868</v>
      </c>
      <c r="I1014" s="77" t="s">
        <v>196</v>
      </c>
      <c r="J1014" s="77" t="s">
        <v>37</v>
      </c>
      <c r="K1014" s="77" t="s">
        <v>37</v>
      </c>
      <c r="L1014" s="77" t="s">
        <v>3825</v>
      </c>
      <c r="M1014" s="77" t="s">
        <v>38</v>
      </c>
      <c r="N1014" s="77">
        <v>99.98</v>
      </c>
      <c r="O1014" s="77" t="s">
        <v>38</v>
      </c>
      <c r="P1014" s="77" t="s">
        <v>39</v>
      </c>
      <c r="Q1014" s="76">
        <v>45967</v>
      </c>
      <c r="R1014" s="77" t="s">
        <v>3826</v>
      </c>
      <c r="S1014" s="77"/>
      <c r="T1014" s="77"/>
      <c r="U1014" s="77"/>
      <c r="V1014" s="78" t="s">
        <v>5432</v>
      </c>
      <c r="W1014" s="79">
        <v>46032</v>
      </c>
      <c r="X1014" s="78"/>
      <c r="Y1014" s="78" t="s">
        <v>5438</v>
      </c>
      <c r="Z1014" s="78" t="s">
        <v>5620</v>
      </c>
      <c r="AA1014">
        <f>IF(COUNTIF('Call Queue'!$H$6:$H$20,V1014)&gt;0,0,IF(AND(ISNUMBER(N1014),N1014&gt;0),10000000+N1014,IF(ISNUMBER(N1014*1),IF(N1014*1&gt;0,10000000+N1014*1,0),0))+IF(ISNUMBER(SEARCH("(",L1014)),1000000+IFERROR(VALUE(SUBSTITUTE(SUBSTITUTE(SUBSTITUTE(MID(L1014,SEARCH("(",L1014)+1,SEARCH(")",L1014)-SEARCH("(",L1014)-1),"$",""),",","")," ","")),0),0))</f>
        <v>0</v>
      </c>
    </row>
    <row r="1015" spans="1:27">
      <c r="A1015" s="76">
        <v>45966</v>
      </c>
      <c r="B1015" s="77" t="s">
        <v>3829</v>
      </c>
      <c r="C1015" s="77" t="s">
        <v>3830</v>
      </c>
      <c r="D1015" s="77" t="s">
        <v>174</v>
      </c>
      <c r="E1015" s="77">
        <v>85326</v>
      </c>
      <c r="F1015" s="77" t="s">
        <v>3831</v>
      </c>
      <c r="G1015" s="77" t="s">
        <v>3823</v>
      </c>
      <c r="H1015" s="77">
        <v>7319203567</v>
      </c>
      <c r="I1015" s="77" t="s">
        <v>36</v>
      </c>
      <c r="J1015" s="77" t="s">
        <v>37</v>
      </c>
      <c r="K1015" s="77" t="s">
        <v>37</v>
      </c>
      <c r="L1015" s="77" t="s">
        <v>38</v>
      </c>
      <c r="M1015" s="77" t="s">
        <v>38</v>
      </c>
      <c r="N1015" s="77">
        <v>1209</v>
      </c>
      <c r="O1015" s="77" t="s">
        <v>38</v>
      </c>
      <c r="P1015" s="77"/>
      <c r="Q1015" s="76">
        <v>45967</v>
      </c>
      <c r="R1015" s="77" t="s">
        <v>495</v>
      </c>
      <c r="S1015" s="77"/>
      <c r="T1015" s="77"/>
      <c r="U1015" s="77"/>
      <c r="V1015" s="78" t="s">
        <v>5432</v>
      </c>
      <c r="W1015" s="79">
        <v>46032</v>
      </c>
      <c r="X1015" s="78"/>
      <c r="Y1015" s="78" t="s">
        <v>5462</v>
      </c>
      <c r="Z1015" s="78" t="s">
        <v>5621</v>
      </c>
      <c r="AA1015">
        <f>IF(COUNTIF('Call Queue'!$H$6:$H$20,V1015)&gt;0,0,IF(AND(ISNUMBER(N1015),N1015&gt;0),10000000+N1015,IF(ISNUMBER(N1015*1),IF(N1015*1&gt;0,10000000+N1015*1,0),0))+IF(ISNUMBER(SEARCH("(",L1015)),1000000+IFERROR(VALUE(SUBSTITUTE(SUBSTITUTE(SUBSTITUTE(MID(L1015,SEARCH("(",L1015)+1,SEARCH(")",L1015)-SEARCH("(",L1015)-1),"$",""),",","")," ","")),0),0))</f>
        <v>0</v>
      </c>
    </row>
    <row r="1016" spans="1:27">
      <c r="A1016" s="76">
        <v>45967</v>
      </c>
      <c r="B1016" s="77" t="s">
        <v>3836</v>
      </c>
      <c r="C1016" s="77" t="s">
        <v>3837</v>
      </c>
      <c r="D1016" s="77" t="s">
        <v>3838</v>
      </c>
      <c r="E1016" s="77">
        <v>85354</v>
      </c>
      <c r="F1016" s="77" t="s">
        <v>3839</v>
      </c>
      <c r="G1016" s="77" t="s">
        <v>3840</v>
      </c>
      <c r="H1016" s="77">
        <v>3647741244</v>
      </c>
      <c r="I1016" s="77" t="s">
        <v>36</v>
      </c>
      <c r="J1016" s="77" t="s">
        <v>37</v>
      </c>
      <c r="K1016" s="77" t="s">
        <v>37</v>
      </c>
      <c r="L1016" s="77" t="s">
        <v>38</v>
      </c>
      <c r="M1016" s="77" t="s">
        <v>38</v>
      </c>
      <c r="N1016" s="77">
        <v>347.99</v>
      </c>
      <c r="O1016" s="77" t="s">
        <v>38</v>
      </c>
      <c r="P1016" s="77" t="s">
        <v>39</v>
      </c>
      <c r="Q1016" s="76">
        <v>45968</v>
      </c>
      <c r="R1016" s="77"/>
      <c r="S1016" s="77"/>
      <c r="T1016" s="77"/>
      <c r="U1016" s="77"/>
      <c r="V1016" s="78" t="s">
        <v>5432</v>
      </c>
      <c r="W1016" s="79">
        <v>45997</v>
      </c>
      <c r="X1016" s="78" t="s">
        <v>38</v>
      </c>
      <c r="Y1016" s="78"/>
      <c r="Z1016" s="78"/>
      <c r="AA1016">
        <f>IF(COUNTIF('Call Queue'!$H$6:$H$20,V1016)&gt;0,0,IF(AND(ISNUMBER(N1016),N1016&gt;0),10000000+N1016,IF(ISNUMBER(N1016*1),IF(N1016*1&gt;0,10000000+N1016*1,0),0))+IF(ISNUMBER(SEARCH("(",L1016)),1000000+IFERROR(VALUE(SUBSTITUTE(SUBSTITUTE(SUBSTITUTE(MID(L1016,SEARCH("(",L1016)+1,SEARCH(")",L1016)-SEARCH("(",L1016)-1),"$",""),",","")," ","")),0),0))</f>
        <v>0</v>
      </c>
    </row>
    <row r="1017" spans="1:27">
      <c r="A1017" s="76">
        <v>45967</v>
      </c>
      <c r="B1017" s="77" t="s">
        <v>3842</v>
      </c>
      <c r="C1017" s="77" t="s">
        <v>3843</v>
      </c>
      <c r="D1017" s="77" t="s">
        <v>3538</v>
      </c>
      <c r="E1017" s="77">
        <v>85743</v>
      </c>
      <c r="F1017" s="77" t="s">
        <v>3844</v>
      </c>
      <c r="G1017" s="77" t="s">
        <v>3840</v>
      </c>
      <c r="H1017" s="77"/>
      <c r="I1017" s="77"/>
      <c r="J1017" s="77"/>
      <c r="K1017" s="77"/>
      <c r="L1017" s="77"/>
      <c r="M1017" s="77"/>
      <c r="N1017" s="77"/>
      <c r="O1017" s="77"/>
      <c r="P1017" s="77"/>
      <c r="Q1017" s="76"/>
      <c r="R1017" s="77"/>
      <c r="S1017" s="77"/>
      <c r="T1017" s="77"/>
      <c r="U1017" s="77"/>
      <c r="V1017" s="78" t="s">
        <v>5432</v>
      </c>
      <c r="W1017" s="79">
        <v>46067</v>
      </c>
      <c r="X1017" s="78" t="s">
        <v>37</v>
      </c>
      <c r="Y1017" s="78" t="s">
        <v>5527</v>
      </c>
      <c r="Z1017" s="78" t="s">
        <v>5623</v>
      </c>
      <c r="AA1017">
        <f>IF(COUNTIF('Call Queue'!$H$6:$H$20,V1017)&gt;0,0,IF(AND(ISNUMBER(N1017),N1017&gt;0),10000000+N1017,IF(ISNUMBER(N1017*1),IF(N1017*1&gt;0,10000000+N1017*1,0),0))+IF(ISNUMBER(SEARCH("(",L1017)),1000000+IFERROR(VALUE(SUBSTITUTE(SUBSTITUTE(SUBSTITUTE(MID(L1017,SEARCH("(",L1017)+1,SEARCH(")",L1017)-SEARCH("(",L1017)-1),"$",""),",","")," ","")),0),0))</f>
        <v>0</v>
      </c>
    </row>
    <row r="1018" spans="1:27">
      <c r="A1018" s="76">
        <v>45967</v>
      </c>
      <c r="B1018" s="77" t="s">
        <v>3845</v>
      </c>
      <c r="C1018" s="77" t="s">
        <v>3846</v>
      </c>
      <c r="D1018" s="77" t="s">
        <v>24</v>
      </c>
      <c r="E1018" s="77">
        <v>85308</v>
      </c>
      <c r="F1018" s="77" t="s">
        <v>3847</v>
      </c>
      <c r="G1018" s="77" t="s">
        <v>3840</v>
      </c>
      <c r="H1018" s="77">
        <v>9909801000</v>
      </c>
      <c r="I1018" s="77" t="s">
        <v>36</v>
      </c>
      <c r="J1018" s="77" t="s">
        <v>37</v>
      </c>
      <c r="K1018" s="77" t="s">
        <v>37</v>
      </c>
      <c r="L1018" s="77" t="s">
        <v>38</v>
      </c>
      <c r="M1018" s="77" t="s">
        <v>37</v>
      </c>
      <c r="N1018" s="77" t="s">
        <v>37</v>
      </c>
      <c r="O1018" s="77" t="s">
        <v>38</v>
      </c>
      <c r="P1018" s="77" t="s">
        <v>39</v>
      </c>
      <c r="Q1018" s="76">
        <v>45968</v>
      </c>
      <c r="R1018" s="77"/>
      <c r="S1018" s="77"/>
      <c r="T1018" s="77"/>
      <c r="U1018" s="77"/>
      <c r="V1018" s="78"/>
      <c r="W1018" s="79"/>
      <c r="X1018" s="78"/>
      <c r="Y1018" s="78"/>
      <c r="Z1018" s="78"/>
      <c r="AA1018">
        <f>IF(COUNTIF('Call Queue'!$H$6:$H$20,V1018)&gt;0,0,IF(AND(ISNUMBER(N1018),N1018&gt;0),10000000+N1018,IF(ISNUMBER(N1018*1),IF(N1018*1&gt;0,10000000+N1018*1,0),0))+IF(ISNUMBER(SEARCH("(",L1018)),1000000+IFERROR(VALUE(SUBSTITUTE(SUBSTITUTE(SUBSTITUTE(MID(L1018,SEARCH("(",L1018)+1,SEARCH(")",L1018)-SEARCH("(",L1018)-1),"$",""),",","")," ","")),0),0))</f>
        <v>0</v>
      </c>
    </row>
    <row r="1019" spans="1:27">
      <c r="A1019" s="76">
        <v>45967</v>
      </c>
      <c r="B1019" s="77" t="s">
        <v>3854</v>
      </c>
      <c r="C1019" s="77" t="s">
        <v>3098</v>
      </c>
      <c r="D1019" s="77" t="s">
        <v>63</v>
      </c>
      <c r="E1019" s="77">
        <v>850027</v>
      </c>
      <c r="F1019" s="77" t="s">
        <v>3855</v>
      </c>
      <c r="G1019" s="77" t="s">
        <v>3851</v>
      </c>
      <c r="H1019" s="77">
        <v>4506338330</v>
      </c>
      <c r="I1019" s="77" t="s">
        <v>196</v>
      </c>
      <c r="J1019" s="77" t="s">
        <v>37</v>
      </c>
      <c r="K1019" s="77" t="s">
        <v>37</v>
      </c>
      <c r="L1019" s="77" t="s">
        <v>38</v>
      </c>
      <c r="M1019" s="77" t="s">
        <v>38</v>
      </c>
      <c r="N1019" s="77">
        <v>933.92</v>
      </c>
      <c r="O1019" s="77" t="s">
        <v>38</v>
      </c>
      <c r="P1019" s="77"/>
      <c r="Q1019" s="76">
        <v>45968</v>
      </c>
      <c r="R1019" s="77" t="s">
        <v>3857</v>
      </c>
      <c r="S1019" s="77"/>
      <c r="T1019" s="77"/>
      <c r="U1019" s="77"/>
      <c r="V1019" s="78" t="s">
        <v>5432</v>
      </c>
      <c r="W1019" s="79">
        <v>46032</v>
      </c>
      <c r="X1019" s="78" t="s">
        <v>38</v>
      </c>
      <c r="Y1019" s="78"/>
      <c r="Z1019" s="78" t="s">
        <v>5624</v>
      </c>
      <c r="AA1019">
        <f>IF(COUNTIF('Call Queue'!$H$6:$H$20,V1019)&gt;0,0,IF(AND(ISNUMBER(N1019),N1019&gt;0),10000000+N1019,IF(ISNUMBER(N1019*1),IF(N1019*1&gt;0,10000000+N1019*1,0),0))+IF(ISNUMBER(SEARCH("(",L1019)),1000000+IFERROR(VALUE(SUBSTITUTE(SUBSTITUTE(SUBSTITUTE(MID(L1019,SEARCH("(",L1019)+1,SEARCH(")",L1019)-SEARCH("(",L1019)-1),"$",""),",","")," ","")),0),0))</f>
        <v>0</v>
      </c>
    </row>
    <row r="1020" spans="1:27">
      <c r="A1020" s="76">
        <v>45967</v>
      </c>
      <c r="B1020" s="77" t="s">
        <v>704</v>
      </c>
      <c r="C1020" s="77" t="s">
        <v>3864</v>
      </c>
      <c r="D1020" s="77" t="s">
        <v>63</v>
      </c>
      <c r="E1020" s="77">
        <v>85012</v>
      </c>
      <c r="F1020" s="77" t="s">
        <v>3865</v>
      </c>
      <c r="G1020" s="77" t="s">
        <v>3851</v>
      </c>
      <c r="H1020" s="77">
        <v>4885204722</v>
      </c>
      <c r="I1020" s="77" t="s">
        <v>126</v>
      </c>
      <c r="J1020" s="77" t="s">
        <v>37</v>
      </c>
      <c r="K1020" s="77" t="s">
        <v>37</v>
      </c>
      <c r="L1020" s="77" t="s">
        <v>38</v>
      </c>
      <c r="M1020" s="77" t="s">
        <v>37</v>
      </c>
      <c r="N1020" s="77" t="s">
        <v>37</v>
      </c>
      <c r="O1020" s="77" t="s">
        <v>38</v>
      </c>
      <c r="P1020" s="77" t="s">
        <v>39</v>
      </c>
      <c r="Q1020" s="76">
        <v>45968</v>
      </c>
      <c r="R1020" s="77" t="s">
        <v>3497</v>
      </c>
      <c r="S1020" s="77"/>
      <c r="T1020" s="77"/>
      <c r="U1020" s="77"/>
      <c r="V1020" s="78"/>
      <c r="W1020" s="79"/>
      <c r="X1020" s="78"/>
      <c r="Y1020" s="78"/>
      <c r="Z1020" s="78"/>
      <c r="AA1020">
        <f>IF(COUNTIF('Call Queue'!$H$6:$H$20,V1020)&gt;0,0,IF(AND(ISNUMBER(N1020),N1020&gt;0),10000000+N1020,IF(ISNUMBER(N1020*1),IF(N1020*1&gt;0,10000000+N1020*1,0),0))+IF(ISNUMBER(SEARCH("(",L1020)),1000000+IFERROR(VALUE(SUBSTITUTE(SUBSTITUTE(SUBSTITUTE(MID(L1020,SEARCH("(",L1020)+1,SEARCH(")",L1020)-SEARCH("(",L1020)-1),"$",""),",","")," ","")),0),0))</f>
        <v>0</v>
      </c>
    </row>
    <row r="1021" spans="1:27">
      <c r="A1021" s="76">
        <v>45974</v>
      </c>
      <c r="B1021" s="77" t="s">
        <v>3867</v>
      </c>
      <c r="C1021" s="77" t="s">
        <v>3868</v>
      </c>
      <c r="D1021" s="77" t="s">
        <v>112</v>
      </c>
      <c r="E1021" s="77">
        <v>85374</v>
      </c>
      <c r="F1021" s="77" t="s">
        <v>3869</v>
      </c>
      <c r="G1021" s="77" t="s">
        <v>3870</v>
      </c>
      <c r="H1021" s="77">
        <v>8914685192</v>
      </c>
      <c r="I1021" s="77" t="s">
        <v>126</v>
      </c>
      <c r="J1021" s="77" t="s">
        <v>37</v>
      </c>
      <c r="K1021" s="77" t="s">
        <v>37</v>
      </c>
      <c r="L1021" s="77" t="s">
        <v>38</v>
      </c>
      <c r="M1021" s="77" t="s">
        <v>37</v>
      </c>
      <c r="N1021" s="77" t="s">
        <v>37</v>
      </c>
      <c r="O1021" s="77" t="s">
        <v>38</v>
      </c>
      <c r="P1021" s="77" t="s">
        <v>39</v>
      </c>
      <c r="Q1021" s="76">
        <v>45978</v>
      </c>
      <c r="R1021" s="77"/>
      <c r="S1021" s="77"/>
      <c r="T1021" s="77"/>
      <c r="U1021" s="77"/>
      <c r="V1021" s="78"/>
      <c r="W1021" s="79"/>
      <c r="X1021" s="78"/>
      <c r="Y1021" s="78"/>
      <c r="Z1021" s="78"/>
      <c r="AA1021">
        <f>IF(COUNTIF('Call Queue'!$H$6:$H$20,V1021)&gt;0,0,IF(AND(ISNUMBER(N1021),N1021&gt;0),10000000+N1021,IF(ISNUMBER(N1021*1),IF(N1021*1&gt;0,10000000+N1021*1,0),0))+IF(ISNUMBER(SEARCH("(",L1021)),1000000+IFERROR(VALUE(SUBSTITUTE(SUBSTITUTE(SUBSTITUTE(MID(L1021,SEARCH("(",L1021)+1,SEARCH(")",L1021)-SEARCH("(",L1021)-1),"$",""),",","")," ","")),0),0))</f>
        <v>0</v>
      </c>
    </row>
    <row r="1022" spans="1:27">
      <c r="A1022" s="76">
        <v>45980</v>
      </c>
      <c r="B1022" s="77" t="s">
        <v>3871</v>
      </c>
      <c r="C1022" s="77" t="s">
        <v>399</v>
      </c>
      <c r="D1022" s="77" t="s">
        <v>125</v>
      </c>
      <c r="E1022" s="77">
        <v>85262</v>
      </c>
      <c r="F1022" s="77" t="s">
        <v>3872</v>
      </c>
      <c r="G1022" s="77" t="s">
        <v>3873</v>
      </c>
      <c r="H1022" s="77">
        <v>8798080598</v>
      </c>
      <c r="I1022" s="77" t="s">
        <v>36</v>
      </c>
      <c r="J1022" s="77" t="s">
        <v>37</v>
      </c>
      <c r="K1022" s="77" t="s">
        <v>37</v>
      </c>
      <c r="L1022" s="77" t="s">
        <v>38</v>
      </c>
      <c r="M1022" s="77" t="s">
        <v>37</v>
      </c>
      <c r="N1022" s="77" t="s">
        <v>37</v>
      </c>
      <c r="O1022" s="77" t="s">
        <v>38</v>
      </c>
      <c r="P1022" s="77" t="s">
        <v>39</v>
      </c>
      <c r="Q1022" s="76">
        <v>45981</v>
      </c>
      <c r="R1022" s="77"/>
      <c r="S1022" s="77"/>
      <c r="T1022" s="77"/>
      <c r="U1022" s="77"/>
      <c r="V1022" s="78"/>
      <c r="W1022" s="79"/>
      <c r="X1022" s="78"/>
      <c r="Y1022" s="78"/>
      <c r="Z1022" s="78"/>
      <c r="AA1022">
        <f>IF(COUNTIF('Call Queue'!$H$6:$H$20,V1022)&gt;0,0,IF(AND(ISNUMBER(N1022),N1022&gt;0),10000000+N1022,IF(ISNUMBER(N1022*1),IF(N1022*1&gt;0,10000000+N1022*1,0),0))+IF(ISNUMBER(SEARCH("(",L1022)),1000000+IFERROR(VALUE(SUBSTITUTE(SUBSTITUTE(SUBSTITUTE(MID(L1022,SEARCH("(",L1022)+1,SEARCH(")",L1022)-SEARCH("(",L1022)-1),"$",""),",","")," ","")),0),0))</f>
        <v>0</v>
      </c>
    </row>
    <row r="1023" spans="1:27">
      <c r="A1023" s="76">
        <v>45980</v>
      </c>
      <c r="B1023" s="77" t="s">
        <v>3874</v>
      </c>
      <c r="C1023" s="77" t="s">
        <v>3875</v>
      </c>
      <c r="D1023" s="77" t="s">
        <v>125</v>
      </c>
      <c r="E1023" s="77">
        <v>85255</v>
      </c>
      <c r="F1023" s="77" t="s">
        <v>3876</v>
      </c>
      <c r="G1023" s="77" t="s">
        <v>3877</v>
      </c>
      <c r="H1023" s="77">
        <v>1678080000</v>
      </c>
      <c r="I1023" s="77" t="s">
        <v>36</v>
      </c>
      <c r="J1023" s="77" t="s">
        <v>37</v>
      </c>
      <c r="K1023" s="77" t="s">
        <v>37</v>
      </c>
      <c r="L1023" s="77" t="s">
        <v>3878</v>
      </c>
      <c r="M1023" s="77" t="s">
        <v>37</v>
      </c>
      <c r="N1023" s="77" t="s">
        <v>37</v>
      </c>
      <c r="O1023" s="77" t="s">
        <v>38</v>
      </c>
      <c r="P1023" s="77" t="s">
        <v>39</v>
      </c>
      <c r="Q1023" s="76">
        <v>45985</v>
      </c>
      <c r="R1023" s="77"/>
      <c r="S1023" s="77"/>
      <c r="T1023" s="77"/>
      <c r="U1023" s="77"/>
      <c r="V1023" s="78" t="s">
        <v>5432</v>
      </c>
      <c r="W1023" s="79">
        <v>46039</v>
      </c>
      <c r="X1023" s="78" t="s">
        <v>38</v>
      </c>
      <c r="Y1023" s="78"/>
      <c r="Z1023" s="78"/>
      <c r="AA1023">
        <f>IF(COUNTIF('Call Queue'!$H$6:$H$20,V1023)&gt;0,0,IF(AND(ISNUMBER(N1023),N1023&gt;0),10000000+N1023,IF(ISNUMBER(N1023*1),IF(N1023*1&gt;0,10000000+N1023*1,0),0))+IF(ISNUMBER(SEARCH("(",L1023)),1000000+IFERROR(VALUE(SUBSTITUTE(SUBSTITUTE(SUBSTITUTE(MID(L1023,SEARCH("(",L1023)+1,SEARCH(")",L1023)-SEARCH("(",L1023)-1),"$",""),",","")," ","")),0),0))</f>
        <v>0</v>
      </c>
    </row>
    <row r="1024" spans="1:27">
      <c r="A1024" s="76">
        <v>45982</v>
      </c>
      <c r="B1024" s="77" t="s">
        <v>3879</v>
      </c>
      <c r="C1024" s="77" t="s">
        <v>3880</v>
      </c>
      <c r="D1024" s="77" t="s">
        <v>816</v>
      </c>
      <c r="E1024" s="77">
        <v>86301</v>
      </c>
      <c r="F1024" s="77" t="s">
        <v>3881</v>
      </c>
      <c r="G1024" s="77" t="s">
        <v>3882</v>
      </c>
      <c r="H1024" s="77">
        <v>5936601000</v>
      </c>
      <c r="I1024" s="77" t="s">
        <v>46</v>
      </c>
      <c r="J1024" s="77" t="s">
        <v>37</v>
      </c>
      <c r="K1024" s="77" t="s">
        <v>37</v>
      </c>
      <c r="L1024" s="77" t="s">
        <v>38</v>
      </c>
      <c r="M1024" s="77" t="s">
        <v>37</v>
      </c>
      <c r="N1024" s="77" t="s">
        <v>37</v>
      </c>
      <c r="O1024" s="77" t="s">
        <v>38</v>
      </c>
      <c r="P1024" s="77" t="s">
        <v>39</v>
      </c>
      <c r="Q1024" s="76">
        <v>45985</v>
      </c>
      <c r="R1024" s="77"/>
      <c r="S1024" s="77"/>
      <c r="T1024" s="77"/>
      <c r="U1024" s="77"/>
      <c r="V1024" s="78"/>
      <c r="W1024" s="79"/>
      <c r="X1024" s="78"/>
      <c r="Y1024" s="78"/>
      <c r="Z1024" s="78"/>
      <c r="AA1024">
        <f>IF(COUNTIF('Call Queue'!$H$6:$H$20,V1024)&gt;0,0,IF(AND(ISNUMBER(N1024),N1024&gt;0),10000000+N1024,IF(ISNUMBER(N1024*1),IF(N1024*1&gt;0,10000000+N1024*1,0),0))+IF(ISNUMBER(SEARCH("(",L1024)),1000000+IFERROR(VALUE(SUBSTITUTE(SUBSTITUTE(SUBSTITUTE(MID(L1024,SEARCH("(",L1024)+1,SEARCH(")",L1024)-SEARCH("(",L1024)-1),"$",""),",","")," ","")),0),0))</f>
        <v>0</v>
      </c>
    </row>
    <row r="1025" spans="1:27">
      <c r="A1025" s="76">
        <v>45982</v>
      </c>
      <c r="B1025" s="77" t="s">
        <v>3883</v>
      </c>
      <c r="C1025" s="77" t="s">
        <v>3884</v>
      </c>
      <c r="D1025" s="77" t="s">
        <v>129</v>
      </c>
      <c r="E1025" s="77">
        <v>85233</v>
      </c>
      <c r="F1025" s="77" t="s">
        <v>3885</v>
      </c>
      <c r="G1025" s="77" t="s">
        <v>3886</v>
      </c>
      <c r="H1025" s="77">
        <v>5931221000</v>
      </c>
      <c r="I1025" s="77" t="s">
        <v>3887</v>
      </c>
      <c r="J1025" s="77" t="s">
        <v>37</v>
      </c>
      <c r="K1025" s="77" t="s">
        <v>37</v>
      </c>
      <c r="L1025" s="77" t="s">
        <v>389</v>
      </c>
      <c r="M1025" s="77" t="s">
        <v>37</v>
      </c>
      <c r="N1025" s="77" t="s">
        <v>37</v>
      </c>
      <c r="O1025" s="77" t="s">
        <v>38</v>
      </c>
      <c r="P1025" s="77" t="s">
        <v>39</v>
      </c>
      <c r="Q1025" s="76">
        <v>45985</v>
      </c>
      <c r="R1025" s="77" t="s">
        <v>2873</v>
      </c>
      <c r="S1025" s="77"/>
      <c r="T1025" s="77"/>
      <c r="U1025" s="77"/>
      <c r="V1025" s="78" t="s">
        <v>5432</v>
      </c>
      <c r="W1025" s="79">
        <v>46067</v>
      </c>
      <c r="X1025" s="78" t="s">
        <v>38</v>
      </c>
      <c r="Y1025" s="78"/>
      <c r="Z1025" s="78" t="s">
        <v>5467</v>
      </c>
      <c r="AA1025">
        <f>IF(COUNTIF('Call Queue'!$H$6:$H$20,V1025)&gt;0,0,IF(AND(ISNUMBER(N1025),N1025&gt;0),10000000+N1025,IF(ISNUMBER(N1025*1),IF(N1025*1&gt;0,10000000+N1025*1,0),0))+IF(ISNUMBER(SEARCH("(",L1025)),1000000+IFERROR(VALUE(SUBSTITUTE(SUBSTITUTE(SUBSTITUTE(MID(L1025,SEARCH("(",L1025)+1,SEARCH(")",L1025)-SEARCH("(",L1025)-1),"$",""),",","")," ","")),0),0))</f>
        <v>0</v>
      </c>
    </row>
    <row r="1026" spans="1:27">
      <c r="A1026" s="76">
        <v>45985</v>
      </c>
      <c r="B1026" s="77" t="s">
        <v>208</v>
      </c>
      <c r="C1026" s="77" t="s">
        <v>3888</v>
      </c>
      <c r="D1026" s="77" t="s">
        <v>428</v>
      </c>
      <c r="E1026" s="77">
        <v>85335</v>
      </c>
      <c r="F1026" s="77" t="s">
        <v>3889</v>
      </c>
      <c r="G1026" s="77" t="s">
        <v>3890</v>
      </c>
      <c r="H1026" s="77">
        <v>3470156203</v>
      </c>
      <c r="I1026" s="77" t="s">
        <v>126</v>
      </c>
      <c r="J1026" s="77" t="s">
        <v>38</v>
      </c>
      <c r="K1026" s="77" t="s">
        <v>37</v>
      </c>
      <c r="L1026" s="77" t="s">
        <v>3891</v>
      </c>
      <c r="M1026" s="77" t="s">
        <v>37</v>
      </c>
      <c r="N1026" s="77" t="s">
        <v>37</v>
      </c>
      <c r="O1026" s="77" t="s">
        <v>38</v>
      </c>
      <c r="P1026" s="77" t="s">
        <v>39</v>
      </c>
      <c r="Q1026" s="76">
        <v>45993</v>
      </c>
      <c r="R1026" s="77" t="s">
        <v>3892</v>
      </c>
      <c r="S1026" s="77"/>
      <c r="T1026" s="77"/>
      <c r="U1026" s="77"/>
      <c r="V1026" s="78" t="s">
        <v>5432</v>
      </c>
      <c r="W1026" s="79">
        <v>46053</v>
      </c>
      <c r="X1026" s="78" t="s">
        <v>38</v>
      </c>
      <c r="Y1026" s="78"/>
      <c r="Z1026" s="78" t="s">
        <v>5555</v>
      </c>
      <c r="AA1026">
        <f>IF(COUNTIF('Call Queue'!$H$6:$H$20,V1026)&gt;0,0,IF(AND(ISNUMBER(N1026),N1026&gt;0),10000000+N1026,IF(ISNUMBER(N1026*1),IF(N1026*1&gt;0,10000000+N1026*1,0),0))+IF(ISNUMBER(SEARCH("(",L1026)),1000000+IFERROR(VALUE(SUBSTITUTE(SUBSTITUTE(SUBSTITUTE(MID(L1026,SEARCH("(",L1026)+1,SEARCH(")",L1026)-SEARCH("(",L1026)-1),"$",""),",","")," ","")),0),0))</f>
        <v>0</v>
      </c>
    </row>
    <row r="1027" spans="1:27">
      <c r="A1027" s="76">
        <v>45986</v>
      </c>
      <c r="B1027" s="77" t="s">
        <v>3897</v>
      </c>
      <c r="C1027" s="77" t="s">
        <v>3898</v>
      </c>
      <c r="D1027" s="77" t="s">
        <v>1302</v>
      </c>
      <c r="E1027" s="77">
        <v>85390</v>
      </c>
      <c r="F1027" s="77" t="s">
        <v>3899</v>
      </c>
      <c r="G1027" s="77" t="s">
        <v>3900</v>
      </c>
      <c r="H1027" s="77">
        <v>7004974298</v>
      </c>
      <c r="I1027" s="77" t="s">
        <v>196</v>
      </c>
      <c r="J1027" s="77" t="s">
        <v>37</v>
      </c>
      <c r="K1027" s="77" t="s">
        <v>37</v>
      </c>
      <c r="L1027" s="77" t="s">
        <v>3901</v>
      </c>
      <c r="M1027" s="77" t="s">
        <v>37</v>
      </c>
      <c r="N1027" s="77" t="s">
        <v>37</v>
      </c>
      <c r="O1027" s="77" t="s">
        <v>38</v>
      </c>
      <c r="P1027" s="77" t="s">
        <v>39</v>
      </c>
      <c r="Q1027" s="76">
        <v>45993</v>
      </c>
      <c r="R1027" s="77"/>
      <c r="S1027" s="77"/>
      <c r="T1027" s="77"/>
      <c r="U1027" s="77"/>
      <c r="V1027" s="78" t="s">
        <v>5432</v>
      </c>
      <c r="W1027" s="79">
        <v>45997</v>
      </c>
      <c r="X1027" s="78" t="s">
        <v>37</v>
      </c>
      <c r="Y1027" s="78" t="s">
        <v>5442</v>
      </c>
      <c r="Z1027" s="78" t="s">
        <v>5625</v>
      </c>
      <c r="AA1027">
        <f>IF(COUNTIF('Call Queue'!$H$6:$H$20,V1027)&gt;0,0,IF(AND(ISNUMBER(N1027),N1027&gt;0),10000000+N1027,IF(ISNUMBER(N1027*1),IF(N1027*1&gt;0,10000000+N1027*1,0),0))+IF(ISNUMBER(SEARCH("(",L1027)),1000000+IFERROR(VALUE(SUBSTITUTE(SUBSTITUTE(SUBSTITUTE(MID(L1027,SEARCH("(",L1027)+1,SEARCH(")",L1027)-SEARCH("(",L1027)-1),"$",""),",","")," ","")),0),0))</f>
        <v>0</v>
      </c>
    </row>
    <row r="1028" spans="1:27">
      <c r="A1028" s="76">
        <v>45986</v>
      </c>
      <c r="B1028" s="77" t="s">
        <v>3766</v>
      </c>
      <c r="C1028" s="77" t="s">
        <v>3465</v>
      </c>
      <c r="D1028" s="77" t="s">
        <v>169</v>
      </c>
      <c r="E1028" s="77">
        <v>85395</v>
      </c>
      <c r="F1028" s="77" t="s">
        <v>3902</v>
      </c>
      <c r="G1028" s="77" t="s">
        <v>3900</v>
      </c>
      <c r="H1028" s="77">
        <v>2057731000</v>
      </c>
      <c r="I1028" s="77" t="s">
        <v>36</v>
      </c>
      <c r="J1028" s="77" t="s">
        <v>37</v>
      </c>
      <c r="K1028" s="77" t="s">
        <v>37</v>
      </c>
      <c r="L1028" s="77" t="s">
        <v>38</v>
      </c>
      <c r="M1028" s="77" t="s">
        <v>37</v>
      </c>
      <c r="N1028" s="77" t="s">
        <v>37</v>
      </c>
      <c r="O1028" s="77" t="s">
        <v>38</v>
      </c>
      <c r="P1028" s="77" t="s">
        <v>39</v>
      </c>
      <c r="Q1028" s="76">
        <v>45993</v>
      </c>
      <c r="R1028" s="77"/>
      <c r="S1028" s="77"/>
      <c r="T1028" s="77"/>
      <c r="U1028" s="77"/>
      <c r="V1028" s="78"/>
      <c r="W1028" s="79"/>
      <c r="X1028" s="78"/>
      <c r="Y1028" s="78"/>
      <c r="Z1028" s="78"/>
      <c r="AA1028">
        <f>IF(COUNTIF('Call Queue'!$H$6:$H$20,V1028)&gt;0,0,IF(AND(ISNUMBER(N1028),N1028&gt;0),10000000+N1028,IF(ISNUMBER(N1028*1),IF(N1028*1&gt;0,10000000+N1028*1,0),0))+IF(ISNUMBER(SEARCH("(",L1028)),1000000+IFERROR(VALUE(SUBSTITUTE(SUBSTITUTE(SUBSTITUTE(MID(L1028,SEARCH("(",L1028)+1,SEARCH(")",L1028)-SEARCH("(",L1028)-1),"$",""),",","")," ","")),0),0))</f>
        <v>0</v>
      </c>
    </row>
    <row r="1029" spans="1:27">
      <c r="A1029" s="76">
        <v>45986</v>
      </c>
      <c r="B1029" s="77" t="s">
        <v>3903</v>
      </c>
      <c r="C1029" s="77" t="s">
        <v>3904</v>
      </c>
      <c r="D1029" s="77" t="s">
        <v>202</v>
      </c>
      <c r="E1029" s="77">
        <v>85382</v>
      </c>
      <c r="F1029" s="77" t="s">
        <v>3905</v>
      </c>
      <c r="G1029" s="77" t="s">
        <v>3900</v>
      </c>
      <c r="H1029" s="77">
        <v>5909528621</v>
      </c>
      <c r="I1029" s="77" t="s">
        <v>3906</v>
      </c>
      <c r="J1029" s="77" t="s">
        <v>37</v>
      </c>
      <c r="K1029" s="77" t="s">
        <v>37</v>
      </c>
      <c r="L1029" s="77" t="s">
        <v>38</v>
      </c>
      <c r="M1029" s="77" t="s">
        <v>37</v>
      </c>
      <c r="N1029" s="77" t="s">
        <v>37</v>
      </c>
      <c r="O1029" s="77" t="s">
        <v>38</v>
      </c>
      <c r="P1029" s="77" t="s">
        <v>39</v>
      </c>
      <c r="Q1029" s="76">
        <v>45993</v>
      </c>
      <c r="R1029" s="77"/>
      <c r="S1029" s="77"/>
      <c r="T1029" s="77"/>
      <c r="U1029" s="77"/>
      <c r="V1029" s="78" t="s">
        <v>5432</v>
      </c>
      <c r="W1029" s="79">
        <v>46067</v>
      </c>
      <c r="X1029" s="78" t="s">
        <v>38</v>
      </c>
      <c r="Y1029" s="78"/>
      <c r="Z1029" s="78" t="s">
        <v>5467</v>
      </c>
      <c r="AA1029">
        <f>IF(COUNTIF('Call Queue'!$H$6:$H$20,V1029)&gt;0,0,IF(AND(ISNUMBER(N1029),N1029&gt;0),10000000+N1029,IF(ISNUMBER(N1029*1),IF(N1029*1&gt;0,10000000+N1029*1,0),0))+IF(ISNUMBER(SEARCH("(",L1029)),1000000+IFERROR(VALUE(SUBSTITUTE(SUBSTITUTE(SUBSTITUTE(MID(L1029,SEARCH("(",L1029)+1,SEARCH(")",L1029)-SEARCH("(",L1029)-1),"$",""),",","")," ","")),0),0))</f>
        <v>0</v>
      </c>
    </row>
    <row r="1030" spans="1:27">
      <c r="A1030" s="76">
        <v>45987</v>
      </c>
      <c r="B1030" s="77" t="s">
        <v>3912</v>
      </c>
      <c r="C1030" s="77" t="s">
        <v>427</v>
      </c>
      <c r="D1030" s="77" t="s">
        <v>93</v>
      </c>
      <c r="E1030" s="77">
        <v>85351</v>
      </c>
      <c r="F1030" s="77" t="s">
        <v>812</v>
      </c>
      <c r="G1030" s="77" t="s">
        <v>3909</v>
      </c>
      <c r="H1030" s="77">
        <v>5503296768</v>
      </c>
      <c r="I1030" s="77" t="s">
        <v>36</v>
      </c>
      <c r="J1030" s="77" t="s">
        <v>37</v>
      </c>
      <c r="K1030" s="77" t="s">
        <v>37</v>
      </c>
      <c r="L1030" s="77" t="s">
        <v>38</v>
      </c>
      <c r="M1030" s="77" t="s">
        <v>37</v>
      </c>
      <c r="N1030" s="77" t="s">
        <v>37</v>
      </c>
      <c r="O1030" s="77" t="s">
        <v>38</v>
      </c>
      <c r="P1030" s="77" t="s">
        <v>39</v>
      </c>
      <c r="Q1030" s="76">
        <v>45993</v>
      </c>
      <c r="R1030" s="77"/>
      <c r="S1030" s="77"/>
      <c r="T1030" s="77"/>
      <c r="U1030" s="77"/>
      <c r="V1030" s="78"/>
      <c r="W1030" s="79"/>
      <c r="X1030" s="78"/>
      <c r="Y1030" s="78"/>
      <c r="Z1030" s="78"/>
      <c r="AA1030">
        <f>IF(COUNTIF('Call Queue'!$H$6:$H$20,V1030)&gt;0,0,IF(AND(ISNUMBER(N1030),N1030&gt;0),10000000+N1030,IF(ISNUMBER(N1030*1),IF(N1030*1&gt;0,10000000+N1030*1,0),0))+IF(ISNUMBER(SEARCH("(",L1030)),1000000+IFERROR(VALUE(SUBSTITUTE(SUBSTITUTE(SUBSTITUTE(MID(L1030,SEARCH("(",L1030)+1,SEARCH(")",L1030)-SEARCH("(",L1030)-1),"$",""),",","")," ","")),0),0))</f>
        <v>0</v>
      </c>
    </row>
    <row r="1031" spans="1:27">
      <c r="A1031" s="76">
        <v>45987</v>
      </c>
      <c r="B1031" s="77" t="s">
        <v>3913</v>
      </c>
      <c r="C1031" s="77" t="s">
        <v>230</v>
      </c>
      <c r="D1031" s="77" t="s">
        <v>169</v>
      </c>
      <c r="E1031" s="77">
        <v>85338</v>
      </c>
      <c r="F1031" s="77" t="s">
        <v>3914</v>
      </c>
      <c r="G1031" s="77" t="s">
        <v>3915</v>
      </c>
      <c r="H1031" s="77">
        <v>8464670000</v>
      </c>
      <c r="I1031" s="77" t="s">
        <v>36</v>
      </c>
      <c r="J1031" s="77" t="s">
        <v>37</v>
      </c>
      <c r="K1031" s="77" t="s">
        <v>37</v>
      </c>
      <c r="L1031" s="77" t="s">
        <v>38</v>
      </c>
      <c r="M1031" s="77" t="s">
        <v>37</v>
      </c>
      <c r="N1031" s="77" t="s">
        <v>37</v>
      </c>
      <c r="O1031" s="77" t="s">
        <v>38</v>
      </c>
      <c r="P1031" s="77" t="s">
        <v>39</v>
      </c>
      <c r="Q1031" s="76">
        <v>45993</v>
      </c>
      <c r="R1031" s="77"/>
      <c r="S1031" s="77"/>
      <c r="T1031" s="77"/>
      <c r="U1031" s="77"/>
      <c r="V1031" s="78" t="s">
        <v>5432</v>
      </c>
      <c r="W1031" s="79">
        <v>46060</v>
      </c>
      <c r="X1031" s="78" t="s">
        <v>37</v>
      </c>
      <c r="Y1031" s="78"/>
      <c r="Z1031" s="78" t="s">
        <v>5579</v>
      </c>
      <c r="AA1031">
        <f>IF(COUNTIF('Call Queue'!$H$6:$H$20,V1031)&gt;0,0,IF(AND(ISNUMBER(N1031),N1031&gt;0),10000000+N1031,IF(ISNUMBER(N1031*1),IF(N1031*1&gt;0,10000000+N1031*1,0),0))+IF(ISNUMBER(SEARCH("(",L1031)),1000000+IFERROR(VALUE(SUBSTITUTE(SUBSTITUTE(SUBSTITUTE(MID(L1031,SEARCH("(",L1031)+1,SEARCH(")",L1031)-SEARCH("(",L1031)-1),"$",""),",","")," ","")),0),0))</f>
        <v>0</v>
      </c>
    </row>
    <row r="1032" spans="1:27">
      <c r="A1032" s="76">
        <v>45987</v>
      </c>
      <c r="B1032" s="77" t="s">
        <v>3916</v>
      </c>
      <c r="C1032" s="77" t="s">
        <v>3917</v>
      </c>
      <c r="D1032" s="77" t="s">
        <v>202</v>
      </c>
      <c r="E1032" s="77">
        <v>85382</v>
      </c>
      <c r="F1032" s="77" t="s">
        <v>3918</v>
      </c>
      <c r="G1032" s="77" t="s">
        <v>3915</v>
      </c>
      <c r="H1032" s="77">
        <v>6932600000</v>
      </c>
      <c r="I1032" s="77" t="s">
        <v>3919</v>
      </c>
      <c r="J1032" s="77" t="s">
        <v>37</v>
      </c>
      <c r="K1032" s="77" t="s">
        <v>37</v>
      </c>
      <c r="L1032" s="77" t="s">
        <v>389</v>
      </c>
      <c r="M1032" s="77" t="s">
        <v>37</v>
      </c>
      <c r="N1032" s="77" t="s">
        <v>37</v>
      </c>
      <c r="O1032" s="77" t="s">
        <v>38</v>
      </c>
      <c r="P1032" s="77" t="s">
        <v>39</v>
      </c>
      <c r="Q1032" s="76">
        <v>45993</v>
      </c>
      <c r="R1032" s="77"/>
      <c r="S1032" s="77"/>
      <c r="T1032" s="77"/>
      <c r="U1032" s="77"/>
      <c r="V1032" s="78"/>
      <c r="W1032" s="79"/>
      <c r="X1032" s="78"/>
      <c r="Y1032" s="78"/>
      <c r="Z1032" s="78"/>
      <c r="AA1032">
        <f>IF(COUNTIF('Call Queue'!$H$6:$H$20,V1032)&gt;0,0,IF(AND(ISNUMBER(N1032),N1032&gt;0),10000000+N1032,IF(ISNUMBER(N1032*1),IF(N1032*1&gt;0,10000000+N1032*1,0),0))+IF(ISNUMBER(SEARCH("(",L1032)),1000000+IFERROR(VALUE(SUBSTITUTE(SUBSTITUTE(SUBSTITUTE(MID(L1032,SEARCH("(",L1032)+1,SEARCH(")",L1032)-SEARCH("(",L1032)-1),"$",""),",","")," ","")),0),0))</f>
        <v>0</v>
      </c>
    </row>
    <row r="1033" spans="1:27">
      <c r="A1033" s="76">
        <v>45989</v>
      </c>
      <c r="B1033" s="77" t="s">
        <v>3920</v>
      </c>
      <c r="C1033" s="77" t="s">
        <v>3921</v>
      </c>
      <c r="D1033" s="77" t="s">
        <v>112</v>
      </c>
      <c r="E1033" s="77">
        <v>85387</v>
      </c>
      <c r="F1033" s="77" t="s">
        <v>3922</v>
      </c>
      <c r="G1033" s="77" t="s">
        <v>3923</v>
      </c>
      <c r="H1033" s="77">
        <v>6129600993</v>
      </c>
      <c r="I1033" s="77" t="s">
        <v>36</v>
      </c>
      <c r="J1033" s="77" t="s">
        <v>37</v>
      </c>
      <c r="K1033" s="77" t="s">
        <v>37</v>
      </c>
      <c r="L1033" s="77" t="s">
        <v>38</v>
      </c>
      <c r="M1033" s="77" t="s">
        <v>37</v>
      </c>
      <c r="N1033" s="77" t="s">
        <v>37</v>
      </c>
      <c r="O1033" s="77" t="s">
        <v>38</v>
      </c>
      <c r="P1033" s="77" t="s">
        <v>39</v>
      </c>
      <c r="Q1033" s="76">
        <v>45993</v>
      </c>
      <c r="R1033" s="77"/>
      <c r="S1033" s="77"/>
      <c r="T1033" s="77"/>
      <c r="U1033" s="77"/>
      <c r="V1033" s="78" t="s">
        <v>5432</v>
      </c>
      <c r="W1033" s="79">
        <v>46060</v>
      </c>
      <c r="X1033" s="78" t="s">
        <v>38</v>
      </c>
      <c r="Y1033" s="78"/>
      <c r="Z1033" s="78" t="s">
        <v>5467</v>
      </c>
      <c r="AA1033">
        <f>IF(COUNTIF('Call Queue'!$H$6:$H$20,V1033)&gt;0,0,IF(AND(ISNUMBER(N1033),N1033&gt;0),10000000+N1033,IF(ISNUMBER(N1033*1),IF(N1033*1&gt;0,10000000+N1033*1,0),0))+IF(ISNUMBER(SEARCH("(",L1033)),1000000+IFERROR(VALUE(SUBSTITUTE(SUBSTITUTE(SUBSTITUTE(MID(L1033,SEARCH("(",L1033)+1,SEARCH(")",L1033)-SEARCH("(",L1033)-1),"$",""),",","")," ","")),0),0))</f>
        <v>0</v>
      </c>
    </row>
    <row r="1034" spans="1:27">
      <c r="A1034" s="76">
        <v>45993</v>
      </c>
      <c r="B1034" s="77" t="s">
        <v>3924</v>
      </c>
      <c r="C1034" s="77" t="s">
        <v>1444</v>
      </c>
      <c r="D1034" s="77" t="s">
        <v>112</v>
      </c>
      <c r="E1034" s="77">
        <v>85379</v>
      </c>
      <c r="F1034" s="77" t="s">
        <v>3756</v>
      </c>
      <c r="G1034" s="77" t="s">
        <v>3925</v>
      </c>
      <c r="H1034" s="77">
        <v>1501070000</v>
      </c>
      <c r="I1034" s="77" t="s">
        <v>541</v>
      </c>
      <c r="J1034" s="77" t="s">
        <v>37</v>
      </c>
      <c r="K1034" s="77" t="s">
        <v>37</v>
      </c>
      <c r="L1034" s="77" t="s">
        <v>389</v>
      </c>
      <c r="M1034" s="77" t="s">
        <v>37</v>
      </c>
      <c r="N1034" s="77" t="s">
        <v>37</v>
      </c>
      <c r="O1034" s="77" t="s">
        <v>38</v>
      </c>
      <c r="P1034" s="77" t="s">
        <v>39</v>
      </c>
      <c r="Q1034" s="76">
        <v>45994</v>
      </c>
      <c r="R1034" s="77"/>
      <c r="S1034" s="77"/>
      <c r="T1034" s="77"/>
      <c r="U1034" s="77"/>
      <c r="V1034" s="78"/>
      <c r="W1034" s="79"/>
      <c r="X1034" s="78"/>
      <c r="Y1034" s="78"/>
      <c r="Z1034" s="78"/>
      <c r="AA1034">
        <f>IF(COUNTIF('Call Queue'!$H$6:$H$20,V1034)&gt;0,0,IF(AND(ISNUMBER(N1034),N1034&gt;0),10000000+N1034,IF(ISNUMBER(N1034*1),IF(N1034*1&gt;0,10000000+N1034*1,0),0))+IF(ISNUMBER(SEARCH("(",L1034)),1000000+IFERROR(VALUE(SUBSTITUTE(SUBSTITUTE(SUBSTITUTE(MID(L1034,SEARCH("(",L1034)+1,SEARCH(")",L1034)-SEARCH("(",L1034)-1),"$",""),",","")," ","")),0),0))</f>
        <v>0</v>
      </c>
    </row>
    <row r="1035" spans="1:27">
      <c r="A1035" s="76">
        <v>45993</v>
      </c>
      <c r="B1035" s="77" t="s">
        <v>3926</v>
      </c>
      <c r="C1035" s="77" t="s">
        <v>2658</v>
      </c>
      <c r="D1035" s="77" t="s">
        <v>112</v>
      </c>
      <c r="E1035" s="77">
        <v>85387</v>
      </c>
      <c r="F1035" s="77" t="s">
        <v>3927</v>
      </c>
      <c r="G1035" s="77" t="s">
        <v>3928</v>
      </c>
      <c r="H1035" s="77">
        <v>4773125499</v>
      </c>
      <c r="I1035" s="77" t="s">
        <v>36</v>
      </c>
      <c r="J1035" s="77" t="s">
        <v>37</v>
      </c>
      <c r="K1035" s="77" t="s">
        <v>37</v>
      </c>
      <c r="L1035" s="77" t="s">
        <v>38</v>
      </c>
      <c r="M1035" s="77" t="s">
        <v>37</v>
      </c>
      <c r="N1035" s="77" t="s">
        <v>37</v>
      </c>
      <c r="O1035" s="77" t="s">
        <v>38</v>
      </c>
      <c r="P1035" s="77" t="s">
        <v>39</v>
      </c>
      <c r="Q1035" s="76">
        <v>45994</v>
      </c>
      <c r="R1035" s="77"/>
      <c r="S1035" s="77"/>
      <c r="T1035" s="77"/>
      <c r="U1035" s="77"/>
      <c r="V1035" s="78" t="s">
        <v>5432</v>
      </c>
      <c r="W1035" s="79">
        <v>46060</v>
      </c>
      <c r="X1035" s="78" t="s">
        <v>37</v>
      </c>
      <c r="Y1035" s="78" t="s">
        <v>5442</v>
      </c>
      <c r="Z1035" s="78"/>
      <c r="AA1035">
        <f>IF(COUNTIF('Call Queue'!$H$6:$H$20,V1035)&gt;0,0,IF(AND(ISNUMBER(N1035),N1035&gt;0),10000000+N1035,IF(ISNUMBER(N1035*1),IF(N1035*1&gt;0,10000000+N1035*1,0),0))+IF(ISNUMBER(SEARCH("(",L1035)),1000000+IFERROR(VALUE(SUBSTITUTE(SUBSTITUTE(SUBSTITUTE(MID(L1035,SEARCH("(",L1035)+1,SEARCH(")",L1035)-SEARCH("(",L1035)-1),"$",""),",","")," ","")),0),0))</f>
        <v>0</v>
      </c>
    </row>
    <row r="1036" spans="1:27">
      <c r="A1036" s="76">
        <v>45993</v>
      </c>
      <c r="B1036" s="77" t="s">
        <v>3929</v>
      </c>
      <c r="C1036" s="77" t="s">
        <v>1140</v>
      </c>
      <c r="D1036" s="77" t="s">
        <v>112</v>
      </c>
      <c r="E1036" s="77">
        <v>85374</v>
      </c>
      <c r="F1036" s="77" t="s">
        <v>3756</v>
      </c>
      <c r="G1036" s="77" t="s">
        <v>3930</v>
      </c>
      <c r="H1036" s="77">
        <v>6238748397</v>
      </c>
      <c r="I1036" s="77" t="s">
        <v>57</v>
      </c>
      <c r="J1036" s="77" t="s">
        <v>37</v>
      </c>
      <c r="K1036" s="77" t="s">
        <v>37</v>
      </c>
      <c r="L1036" s="77" t="s">
        <v>3931</v>
      </c>
      <c r="M1036" s="77" t="s">
        <v>37</v>
      </c>
      <c r="N1036" s="77" t="s">
        <v>37</v>
      </c>
      <c r="O1036" s="77" t="s">
        <v>38</v>
      </c>
      <c r="P1036" s="77" t="s">
        <v>39</v>
      </c>
      <c r="Q1036" s="76">
        <v>45995</v>
      </c>
      <c r="R1036" s="77"/>
      <c r="S1036" s="77"/>
      <c r="T1036" s="77"/>
      <c r="U1036" s="77"/>
      <c r="V1036" s="78" t="s">
        <v>5432</v>
      </c>
      <c r="W1036" s="79">
        <v>45997</v>
      </c>
      <c r="X1036" s="78" t="s">
        <v>37</v>
      </c>
      <c r="Y1036" s="78" t="s">
        <v>5438</v>
      </c>
      <c r="Z1036" s="78" t="s">
        <v>5542</v>
      </c>
      <c r="AA1036">
        <f>IF(COUNTIF('Call Queue'!$H$6:$H$20,V1036)&gt;0,0,IF(AND(ISNUMBER(N1036),N1036&gt;0),10000000+N1036,IF(ISNUMBER(N1036*1),IF(N1036*1&gt;0,10000000+N1036*1,0),0))+IF(ISNUMBER(SEARCH("(",L1036)),1000000+IFERROR(VALUE(SUBSTITUTE(SUBSTITUTE(SUBSTITUTE(MID(L1036,SEARCH("(",L1036)+1,SEARCH(")",L1036)-SEARCH("(",L1036)-1),"$",""),",","")," ","")),0),0))</f>
        <v>0</v>
      </c>
    </row>
    <row r="1037" spans="1:27">
      <c r="A1037" s="76">
        <v>45993</v>
      </c>
      <c r="B1037" s="77" t="s">
        <v>3934</v>
      </c>
      <c r="C1037" s="77" t="s">
        <v>3182</v>
      </c>
      <c r="D1037" s="77" t="s">
        <v>428</v>
      </c>
      <c r="E1037" s="77">
        <v>85335</v>
      </c>
      <c r="F1037" s="77" t="s">
        <v>3935</v>
      </c>
      <c r="G1037" s="77" t="s">
        <v>3930</v>
      </c>
      <c r="H1037" s="77">
        <v>6780889797</v>
      </c>
      <c r="I1037" s="77" t="s">
        <v>3936</v>
      </c>
      <c r="J1037" s="77" t="s">
        <v>38</v>
      </c>
      <c r="K1037" s="77" t="s">
        <v>37</v>
      </c>
      <c r="L1037" s="77" t="s">
        <v>389</v>
      </c>
      <c r="M1037" s="77" t="s">
        <v>38</v>
      </c>
      <c r="N1037" s="77">
        <v>425.23</v>
      </c>
      <c r="O1037" s="77" t="s">
        <v>38</v>
      </c>
      <c r="P1037" s="77" t="s">
        <v>39</v>
      </c>
      <c r="Q1037" s="76">
        <v>45995</v>
      </c>
      <c r="R1037" s="77"/>
      <c r="S1037" s="77"/>
      <c r="T1037" s="77"/>
      <c r="U1037" s="77"/>
      <c r="V1037" s="78" t="s">
        <v>5432</v>
      </c>
      <c r="W1037" s="79">
        <v>46060</v>
      </c>
      <c r="X1037" s="78" t="s">
        <v>37</v>
      </c>
      <c r="Y1037" s="78" t="s">
        <v>5442</v>
      </c>
      <c r="Z1037" s="78" t="s">
        <v>5477</v>
      </c>
      <c r="AA1037">
        <f>IF(COUNTIF('Call Queue'!$H$6:$H$20,V1037)&gt;0,0,IF(AND(ISNUMBER(N1037),N1037&gt;0),10000000+N1037,IF(ISNUMBER(N1037*1),IF(N1037*1&gt;0,10000000+N1037*1,0),0))+IF(ISNUMBER(SEARCH("(",L1037)),1000000+IFERROR(VALUE(SUBSTITUTE(SUBSTITUTE(SUBSTITUTE(MID(L1037,SEARCH("(",L1037)+1,SEARCH(")",L1037)-SEARCH("(",L1037)-1),"$",""),",","")," ","")),0),0))</f>
        <v>0</v>
      </c>
    </row>
    <row r="1038" spans="1:27">
      <c r="A1038" s="76">
        <v>45993</v>
      </c>
      <c r="B1038" s="77" t="s">
        <v>3561</v>
      </c>
      <c r="C1038" s="77" t="s">
        <v>3937</v>
      </c>
      <c r="D1038" s="77" t="s">
        <v>428</v>
      </c>
      <c r="E1038" s="77">
        <v>85335</v>
      </c>
      <c r="F1038" s="77" t="s">
        <v>3938</v>
      </c>
      <c r="G1038" s="77" t="s">
        <v>3930</v>
      </c>
      <c r="H1038" s="77">
        <v>591010000</v>
      </c>
      <c r="I1038" s="77" t="s">
        <v>196</v>
      </c>
      <c r="J1038" s="77" t="s">
        <v>37</v>
      </c>
      <c r="K1038" s="77" t="s">
        <v>37</v>
      </c>
      <c r="L1038" s="77" t="s">
        <v>3939</v>
      </c>
      <c r="M1038" s="77" t="s">
        <v>37</v>
      </c>
      <c r="N1038" s="77" t="s">
        <v>37</v>
      </c>
      <c r="O1038" s="77" t="s">
        <v>38</v>
      </c>
      <c r="P1038" s="77"/>
      <c r="Q1038" s="76">
        <v>45995</v>
      </c>
      <c r="R1038" s="77"/>
      <c r="S1038" s="77"/>
      <c r="T1038" s="77"/>
      <c r="U1038" s="77"/>
      <c r="V1038" s="78" t="s">
        <v>5432</v>
      </c>
      <c r="W1038" s="79">
        <v>46018</v>
      </c>
      <c r="X1038" s="78" t="s">
        <v>37</v>
      </c>
      <c r="Y1038" s="78" t="s">
        <v>5527</v>
      </c>
      <c r="Z1038" s="78" t="s">
        <v>5622</v>
      </c>
      <c r="AA1038">
        <f>IF(COUNTIF('Call Queue'!$H$6:$H$20,V1038)&gt;0,0,IF(AND(ISNUMBER(N1038),N1038&gt;0),10000000+N1038,IF(ISNUMBER(N1038*1),IF(N1038*1&gt;0,10000000+N1038*1,0),0))+IF(ISNUMBER(SEARCH("(",L1038)),1000000+IFERROR(VALUE(SUBSTITUTE(SUBSTITUTE(SUBSTITUTE(MID(L1038,SEARCH("(",L1038)+1,SEARCH(")",L1038)-SEARCH("(",L1038)-1),"$",""),",","")," ","")),0),0))</f>
        <v>0</v>
      </c>
    </row>
    <row r="1039" spans="1:27">
      <c r="A1039" s="76">
        <v>45993</v>
      </c>
      <c r="B1039" s="77" t="s">
        <v>3940</v>
      </c>
      <c r="C1039" s="77" t="s">
        <v>3941</v>
      </c>
      <c r="D1039" s="77" t="s">
        <v>24</v>
      </c>
      <c r="E1039" s="77">
        <v>85304</v>
      </c>
      <c r="F1039" s="77" t="s">
        <v>3942</v>
      </c>
      <c r="G1039" s="77" t="s">
        <v>3930</v>
      </c>
      <c r="H1039" s="77">
        <v>1370851931</v>
      </c>
      <c r="I1039" s="77" t="s">
        <v>250</v>
      </c>
      <c r="J1039" s="77" t="s">
        <v>37</v>
      </c>
      <c r="K1039" s="77" t="s">
        <v>37</v>
      </c>
      <c r="L1039" s="77" t="s">
        <v>38</v>
      </c>
      <c r="M1039" s="77" t="s">
        <v>37</v>
      </c>
      <c r="N1039" s="77" t="s">
        <v>37</v>
      </c>
      <c r="O1039" s="77" t="s">
        <v>38</v>
      </c>
      <c r="P1039" s="77" t="s">
        <v>39</v>
      </c>
      <c r="Q1039" s="76">
        <v>45995</v>
      </c>
      <c r="R1039" s="77"/>
      <c r="S1039" s="77"/>
      <c r="T1039" s="77"/>
      <c r="U1039" s="77"/>
      <c r="V1039" s="78" t="s">
        <v>5432</v>
      </c>
      <c r="W1039" s="79">
        <v>46067</v>
      </c>
      <c r="X1039" s="78" t="s">
        <v>37</v>
      </c>
      <c r="Y1039" s="78" t="s">
        <v>5442</v>
      </c>
      <c r="Z1039" s="78"/>
      <c r="AA1039">
        <f>IF(COUNTIF('Call Queue'!$H$6:$H$20,V1039)&gt;0,0,IF(AND(ISNUMBER(N1039),N1039&gt;0),10000000+N1039,IF(ISNUMBER(N1039*1),IF(N1039*1&gt;0,10000000+N1039*1,0),0))+IF(ISNUMBER(SEARCH("(",L1039)),1000000+IFERROR(VALUE(SUBSTITUTE(SUBSTITUTE(SUBSTITUTE(MID(L1039,SEARCH("(",L1039)+1,SEARCH(")",L1039)-SEARCH("(",L1039)-1),"$",""),",","")," ","")),0),0))</f>
        <v>0</v>
      </c>
    </row>
    <row r="1040" spans="1:27">
      <c r="A1040" s="76">
        <v>45993</v>
      </c>
      <c r="B1040" s="77" t="s">
        <v>3943</v>
      </c>
      <c r="C1040" s="77" t="s">
        <v>3273</v>
      </c>
      <c r="D1040" s="77" t="s">
        <v>112</v>
      </c>
      <c r="E1040" s="77">
        <v>85387</v>
      </c>
      <c r="F1040" s="77" t="s">
        <v>3944</v>
      </c>
      <c r="G1040" s="77" t="s">
        <v>3930</v>
      </c>
      <c r="H1040" s="77">
        <v>9983127893</v>
      </c>
      <c r="I1040" s="77" t="s">
        <v>36</v>
      </c>
      <c r="J1040" s="77" t="s">
        <v>37</v>
      </c>
      <c r="K1040" s="77" t="s">
        <v>37</v>
      </c>
      <c r="L1040" s="77" t="s">
        <v>38</v>
      </c>
      <c r="M1040" s="77" t="s">
        <v>37</v>
      </c>
      <c r="N1040" s="77" t="s">
        <v>37</v>
      </c>
      <c r="O1040" s="77" t="s">
        <v>38</v>
      </c>
      <c r="P1040" s="77" t="s">
        <v>39</v>
      </c>
      <c r="Q1040" s="76">
        <v>45995</v>
      </c>
      <c r="R1040" s="77"/>
      <c r="S1040" s="77"/>
      <c r="T1040" s="77"/>
      <c r="U1040" s="77"/>
      <c r="V1040" s="78"/>
      <c r="W1040" s="79"/>
      <c r="X1040" s="78"/>
      <c r="Y1040" s="78"/>
      <c r="Z1040" s="78"/>
      <c r="AA1040">
        <f>IF(COUNTIF('Call Queue'!$H$6:$H$20,V1040)&gt;0,0,IF(AND(ISNUMBER(N1040),N1040&gt;0),10000000+N1040,IF(ISNUMBER(N1040*1),IF(N1040*1&gt;0,10000000+N1040*1,0),0))+IF(ISNUMBER(SEARCH("(",L1040)),1000000+IFERROR(VALUE(SUBSTITUTE(SUBSTITUTE(SUBSTITUTE(MID(L1040,SEARCH("(",L1040)+1,SEARCH(")",L1040)-SEARCH("(",L1040)-1),"$",""),",","")," ","")),0),0))</f>
        <v>0</v>
      </c>
    </row>
    <row r="1041" spans="1:27">
      <c r="A1041" s="76">
        <v>45993</v>
      </c>
      <c r="B1041" s="77" t="s">
        <v>3945</v>
      </c>
      <c r="C1041" s="77" t="s">
        <v>3946</v>
      </c>
      <c r="D1041" s="77" t="s">
        <v>3947</v>
      </c>
      <c r="E1041" s="77">
        <v>85378</v>
      </c>
      <c r="F1041" s="77" t="s">
        <v>3756</v>
      </c>
      <c r="G1041" s="77" t="s">
        <v>3930</v>
      </c>
      <c r="H1041" s="77">
        <v>6711360000</v>
      </c>
      <c r="I1041" s="77" t="s">
        <v>36</v>
      </c>
      <c r="J1041" s="77" t="s">
        <v>38</v>
      </c>
      <c r="K1041" s="77" t="s">
        <v>37</v>
      </c>
      <c r="L1041" s="77" t="s">
        <v>401</v>
      </c>
      <c r="M1041" s="77" t="s">
        <v>37</v>
      </c>
      <c r="N1041" s="77" t="s">
        <v>37</v>
      </c>
      <c r="O1041" s="77" t="s">
        <v>38</v>
      </c>
      <c r="P1041" s="77" t="s">
        <v>39</v>
      </c>
      <c r="Q1041" s="76">
        <v>45995</v>
      </c>
      <c r="R1041" s="77"/>
      <c r="S1041" s="77"/>
      <c r="T1041" s="77"/>
      <c r="U1041" s="77"/>
      <c r="V1041" s="78" t="s">
        <v>5432</v>
      </c>
      <c r="W1041" s="79">
        <v>46053</v>
      </c>
      <c r="X1041" s="78" t="s">
        <v>37</v>
      </c>
      <c r="Y1041" s="78" t="s">
        <v>5442</v>
      </c>
      <c r="Z1041" s="78" t="s">
        <v>5478</v>
      </c>
      <c r="AA1041">
        <f>IF(COUNTIF('Call Queue'!$H$6:$H$20,V1041)&gt;0,0,IF(AND(ISNUMBER(N1041),N1041&gt;0),10000000+N1041,IF(ISNUMBER(N1041*1),IF(N1041*1&gt;0,10000000+N1041*1,0),0))+IF(ISNUMBER(SEARCH("(",L1041)),1000000+IFERROR(VALUE(SUBSTITUTE(SUBSTITUTE(SUBSTITUTE(MID(L1041,SEARCH("(",L1041)+1,SEARCH(")",L1041)-SEARCH("(",L1041)-1),"$",""),",","")," ","")),0),0))</f>
        <v>0</v>
      </c>
    </row>
    <row r="1042" spans="1:27">
      <c r="A1042" s="76">
        <v>45993</v>
      </c>
      <c r="B1042" s="77" t="s">
        <v>1084</v>
      </c>
      <c r="C1042" s="77" t="s">
        <v>3948</v>
      </c>
      <c r="D1042" s="77" t="s">
        <v>174</v>
      </c>
      <c r="E1042" s="77">
        <v>85396</v>
      </c>
      <c r="F1042" s="77" t="s">
        <v>3949</v>
      </c>
      <c r="G1042" s="77" t="s">
        <v>3930</v>
      </c>
      <c r="H1042" s="77">
        <v>9411880000</v>
      </c>
      <c r="I1042" s="77" t="s">
        <v>46</v>
      </c>
      <c r="J1042" s="77" t="s">
        <v>37</v>
      </c>
      <c r="K1042" s="77" t="s">
        <v>37</v>
      </c>
      <c r="L1042" s="77" t="s">
        <v>38</v>
      </c>
      <c r="M1042" s="77" t="s">
        <v>37</v>
      </c>
      <c r="N1042" s="77" t="s">
        <v>37</v>
      </c>
      <c r="O1042" s="77" t="s">
        <v>38</v>
      </c>
      <c r="P1042" s="77" t="s">
        <v>39</v>
      </c>
      <c r="Q1042" s="76">
        <v>45995</v>
      </c>
      <c r="R1042" s="77"/>
      <c r="S1042" s="77"/>
      <c r="T1042" s="77"/>
      <c r="U1042" s="77"/>
      <c r="V1042" s="78"/>
      <c r="W1042" s="79"/>
      <c r="X1042" s="78"/>
      <c r="Y1042" s="78"/>
      <c r="Z1042" s="78"/>
      <c r="AA1042">
        <f>IF(COUNTIF('Call Queue'!$H$6:$H$20,V1042)&gt;0,0,IF(AND(ISNUMBER(N1042),N1042&gt;0),10000000+N1042,IF(ISNUMBER(N1042*1),IF(N1042*1&gt;0,10000000+N1042*1,0),0))+IF(ISNUMBER(SEARCH("(",L1042)),1000000+IFERROR(VALUE(SUBSTITUTE(SUBSTITUTE(SUBSTITUTE(MID(L1042,SEARCH("(",L1042)+1,SEARCH(")",L1042)-SEARCH("(",L1042)-1),"$",""),",","")," ","")),0),0))</f>
        <v>0</v>
      </c>
    </row>
    <row r="1043" spans="1:27">
      <c r="A1043" s="76">
        <v>45993</v>
      </c>
      <c r="B1043" s="77" t="s">
        <v>3952</v>
      </c>
      <c r="C1043" s="77" t="s">
        <v>3530</v>
      </c>
      <c r="D1043" s="77" t="s">
        <v>428</v>
      </c>
      <c r="E1043" s="77">
        <v>85355</v>
      </c>
      <c r="F1043" s="77" t="s">
        <v>3953</v>
      </c>
      <c r="G1043" s="77" t="s">
        <v>3930</v>
      </c>
      <c r="H1043" s="77">
        <v>4392248810</v>
      </c>
      <c r="I1043" s="77" t="s">
        <v>46</v>
      </c>
      <c r="J1043" s="77" t="s">
        <v>37</v>
      </c>
      <c r="K1043" s="77" t="s">
        <v>37</v>
      </c>
      <c r="L1043" s="77" t="s">
        <v>38</v>
      </c>
      <c r="M1043" s="77" t="s">
        <v>37</v>
      </c>
      <c r="N1043" s="77" t="s">
        <v>37</v>
      </c>
      <c r="O1043" s="77" t="s">
        <v>38</v>
      </c>
      <c r="P1043" s="77" t="s">
        <v>39</v>
      </c>
      <c r="Q1043" s="76">
        <v>45995</v>
      </c>
      <c r="R1043" s="77"/>
      <c r="S1043" s="77"/>
      <c r="T1043" s="77"/>
      <c r="U1043" s="77"/>
      <c r="V1043" s="78" t="s">
        <v>5432</v>
      </c>
      <c r="W1043" s="79">
        <v>46067</v>
      </c>
      <c r="X1043" s="78" t="s">
        <v>37</v>
      </c>
      <c r="Y1043" s="78" t="s">
        <v>5442</v>
      </c>
      <c r="Z1043" s="78"/>
      <c r="AA1043">
        <f>IF(COUNTIF('Call Queue'!$H$6:$H$20,V1043)&gt;0,0,IF(AND(ISNUMBER(N1043),N1043&gt;0),10000000+N1043,IF(ISNUMBER(N1043*1),IF(N1043*1&gt;0,10000000+N1043*1,0),0))+IF(ISNUMBER(SEARCH("(",L1043)),1000000+IFERROR(VALUE(SUBSTITUTE(SUBSTITUTE(SUBSTITUTE(MID(L1043,SEARCH("(",L1043)+1,SEARCH(")",L1043)-SEARCH("(",L1043)-1),"$",""),",","")," ","")),0),0))</f>
        <v>0</v>
      </c>
    </row>
    <row r="1044" spans="1:27">
      <c r="A1044" s="76">
        <v>45994</v>
      </c>
      <c r="B1044" s="77" t="s">
        <v>3956</v>
      </c>
      <c r="C1044" s="77" t="s">
        <v>3957</v>
      </c>
      <c r="D1044" s="77" t="s">
        <v>202</v>
      </c>
      <c r="E1044" s="77">
        <v>85383</v>
      </c>
      <c r="F1044" s="77" t="s">
        <v>3958</v>
      </c>
      <c r="G1044" s="77" t="s">
        <v>3959</v>
      </c>
      <c r="H1044" s="77">
        <v>3762361661</v>
      </c>
      <c r="I1044" s="77" t="s">
        <v>126</v>
      </c>
      <c r="J1044" s="77" t="s">
        <v>37</v>
      </c>
      <c r="K1044" s="77" t="s">
        <v>37</v>
      </c>
      <c r="L1044" s="77" t="s">
        <v>38</v>
      </c>
      <c r="M1044" s="77" t="s">
        <v>37</v>
      </c>
      <c r="N1044" s="77" t="s">
        <v>37</v>
      </c>
      <c r="O1044" s="77" t="s">
        <v>38</v>
      </c>
      <c r="P1044" s="77" t="s">
        <v>39</v>
      </c>
      <c r="Q1044" s="76">
        <v>45995</v>
      </c>
      <c r="R1044" s="77"/>
      <c r="S1044" s="77"/>
      <c r="T1044" s="77"/>
      <c r="U1044" s="77"/>
      <c r="V1044" s="78"/>
      <c r="W1044" s="79"/>
      <c r="X1044" s="78"/>
      <c r="Y1044" s="78"/>
      <c r="Z1044" s="78"/>
      <c r="AA1044">
        <f>IF(COUNTIF('Call Queue'!$H$6:$H$20,V1044)&gt;0,0,IF(AND(ISNUMBER(N1044),N1044&gt;0),10000000+N1044,IF(ISNUMBER(N1044*1),IF(N1044*1&gt;0,10000000+N1044*1,0),0))+IF(ISNUMBER(SEARCH("(",L1044)),1000000+IFERROR(VALUE(SUBSTITUTE(SUBSTITUTE(SUBSTITUTE(MID(L1044,SEARCH("(",L1044)+1,SEARCH(")",L1044)-SEARCH("(",L1044)-1),"$",""),",","")," ","")),0),0))</f>
        <v>0</v>
      </c>
    </row>
    <row r="1045" spans="1:27">
      <c r="A1045" s="76">
        <v>45994</v>
      </c>
      <c r="B1045" s="77" t="s">
        <v>3975</v>
      </c>
      <c r="C1045" s="77" t="s">
        <v>3976</v>
      </c>
      <c r="D1045" s="77" t="s">
        <v>63</v>
      </c>
      <c r="E1045" s="77">
        <v>85008</v>
      </c>
      <c r="F1045" s="77" t="s">
        <v>3977</v>
      </c>
      <c r="G1045" s="77" t="s">
        <v>3964</v>
      </c>
      <c r="H1045" s="77">
        <v>5070041000</v>
      </c>
      <c r="I1045" s="77" t="s">
        <v>126</v>
      </c>
      <c r="J1045" s="77" t="s">
        <v>38</v>
      </c>
      <c r="K1045" s="77" t="s">
        <v>37</v>
      </c>
      <c r="L1045" s="77" t="s">
        <v>3979</v>
      </c>
      <c r="M1045" s="77" t="s">
        <v>37</v>
      </c>
      <c r="N1045" s="77" t="s">
        <v>37</v>
      </c>
      <c r="O1045" s="77" t="s">
        <v>38</v>
      </c>
      <c r="P1045" s="77" t="s">
        <v>39</v>
      </c>
      <c r="Q1045" s="76">
        <v>46000</v>
      </c>
      <c r="R1045" s="77" t="s">
        <v>3980</v>
      </c>
      <c r="S1045" s="77"/>
      <c r="T1045" s="77"/>
      <c r="U1045" s="77"/>
      <c r="V1045" s="78" t="s">
        <v>5432</v>
      </c>
      <c r="W1045" s="79">
        <v>46018</v>
      </c>
      <c r="X1045" s="78" t="s">
        <v>37</v>
      </c>
      <c r="Y1045" s="78" t="s">
        <v>5438</v>
      </c>
      <c r="Z1045" s="78" t="s">
        <v>5626</v>
      </c>
      <c r="AA1045">
        <f>IF(COUNTIF('Call Queue'!$H$6:$H$20,V1045)&gt;0,0,IF(AND(ISNUMBER(N1045),N1045&gt;0),10000000+N1045,IF(ISNUMBER(N1045*1),IF(N1045*1&gt;0,10000000+N1045*1,0),0))+IF(ISNUMBER(SEARCH("(",L1045)),1000000+IFERROR(VALUE(SUBSTITUTE(SUBSTITUTE(SUBSTITUTE(MID(L1045,SEARCH("(",L1045)+1,SEARCH(")",L1045)-SEARCH("(",L1045)-1),"$",""),",","")," ","")),0),0))</f>
        <v>0</v>
      </c>
    </row>
    <row r="1046" spans="1:27">
      <c r="A1046" s="76">
        <v>45994</v>
      </c>
      <c r="B1046" s="77" t="s">
        <v>3995</v>
      </c>
      <c r="C1046" s="77" t="s">
        <v>3996</v>
      </c>
      <c r="D1046" s="77" t="s">
        <v>112</v>
      </c>
      <c r="E1046" s="77">
        <v>85387</v>
      </c>
      <c r="F1046" s="77" t="s">
        <v>3997</v>
      </c>
      <c r="G1046" s="77" t="s">
        <v>3964</v>
      </c>
      <c r="H1046" s="77">
        <v>807760000</v>
      </c>
      <c r="I1046" s="77" t="s">
        <v>36</v>
      </c>
      <c r="J1046" s="77" t="s">
        <v>37</v>
      </c>
      <c r="K1046" s="77" t="s">
        <v>37</v>
      </c>
      <c r="L1046" s="77" t="s">
        <v>38</v>
      </c>
      <c r="M1046" s="77" t="s">
        <v>37</v>
      </c>
      <c r="N1046" s="77" t="s">
        <v>37</v>
      </c>
      <c r="O1046" s="77" t="s">
        <v>38</v>
      </c>
      <c r="P1046" s="77" t="s">
        <v>39</v>
      </c>
      <c r="Q1046" s="76">
        <v>46000</v>
      </c>
      <c r="R1046" s="77"/>
      <c r="S1046" s="77"/>
      <c r="T1046" s="77"/>
      <c r="U1046" s="77"/>
      <c r="V1046" s="78"/>
      <c r="W1046" s="79"/>
      <c r="X1046" s="78"/>
      <c r="Y1046" s="78"/>
      <c r="Z1046" s="78"/>
      <c r="AA1046">
        <f>IF(COUNTIF('Call Queue'!$H$6:$H$20,V1046)&gt;0,0,IF(AND(ISNUMBER(N1046),N1046&gt;0),10000000+N1046,IF(ISNUMBER(N1046*1),IF(N1046*1&gt;0,10000000+N1046*1,0),0))+IF(ISNUMBER(SEARCH("(",L1046)),1000000+IFERROR(VALUE(SUBSTITUTE(SUBSTITUTE(SUBSTITUTE(MID(L1046,SEARCH("(",L1046)+1,SEARCH(")",L1046)-SEARCH("(",L1046)-1),"$",""),",","")," ","")),0),0))</f>
        <v>0</v>
      </c>
    </row>
    <row r="1047" spans="1:27">
      <c r="A1047" s="76">
        <v>45994</v>
      </c>
      <c r="B1047" s="77" t="s">
        <v>419</v>
      </c>
      <c r="C1047" s="77" t="s">
        <v>3639</v>
      </c>
      <c r="D1047" s="77" t="s">
        <v>63</v>
      </c>
      <c r="E1047" s="77">
        <v>85029</v>
      </c>
      <c r="F1047" s="77" t="s">
        <v>3999</v>
      </c>
      <c r="G1047" s="77" t="s">
        <v>3964</v>
      </c>
      <c r="H1047" s="77">
        <v>1460051272</v>
      </c>
      <c r="I1047" s="77" t="s">
        <v>126</v>
      </c>
      <c r="J1047" s="77" t="s">
        <v>37</v>
      </c>
      <c r="K1047" s="77" t="s">
        <v>37</v>
      </c>
      <c r="L1047" s="77" t="s">
        <v>38</v>
      </c>
      <c r="M1047" s="77" t="s">
        <v>37</v>
      </c>
      <c r="N1047" s="77" t="s">
        <v>37</v>
      </c>
      <c r="O1047" s="77" t="s">
        <v>38</v>
      </c>
      <c r="P1047" s="77" t="s">
        <v>39</v>
      </c>
      <c r="Q1047" s="76">
        <v>46000</v>
      </c>
      <c r="R1047" s="77"/>
      <c r="S1047" s="77"/>
      <c r="T1047" s="77"/>
      <c r="U1047" s="77"/>
      <c r="V1047" s="78"/>
      <c r="W1047" s="79"/>
      <c r="X1047" s="78"/>
      <c r="Y1047" s="78"/>
      <c r="Z1047" s="78"/>
      <c r="AA1047">
        <f>IF(COUNTIF('Call Queue'!$H$6:$H$20,V1047)&gt;0,0,IF(AND(ISNUMBER(N1047),N1047&gt;0),10000000+N1047,IF(ISNUMBER(N1047*1),IF(N1047*1&gt;0,10000000+N1047*1,0),0))+IF(ISNUMBER(SEARCH("(",L1047)),1000000+IFERROR(VALUE(SUBSTITUTE(SUBSTITUTE(SUBSTITUTE(MID(L1047,SEARCH("(",L1047)+1,SEARCH(")",L1047)-SEARCH("(",L1047)-1),"$",""),",","")," ","")),0),0))</f>
        <v>0</v>
      </c>
    </row>
    <row r="1048" spans="1:27">
      <c r="A1048" s="76">
        <v>45994</v>
      </c>
      <c r="B1048" s="77" t="s">
        <v>849</v>
      </c>
      <c r="C1048" s="77" t="s">
        <v>4000</v>
      </c>
      <c r="D1048" s="77" t="s">
        <v>63</v>
      </c>
      <c r="E1048" s="77">
        <v>85013</v>
      </c>
      <c r="F1048" s="77" t="s">
        <v>4001</v>
      </c>
      <c r="G1048" s="77" t="s">
        <v>3964</v>
      </c>
      <c r="H1048" s="77">
        <v>5334816770</v>
      </c>
      <c r="I1048" s="77" t="s">
        <v>4002</v>
      </c>
      <c r="J1048" s="77" t="s">
        <v>37</v>
      </c>
      <c r="K1048" s="77" t="s">
        <v>37</v>
      </c>
      <c r="L1048" s="77" t="s">
        <v>4003</v>
      </c>
      <c r="M1048" s="77" t="s">
        <v>37</v>
      </c>
      <c r="N1048" s="77" t="s">
        <v>37</v>
      </c>
      <c r="O1048" s="77" t="s">
        <v>38</v>
      </c>
      <c r="P1048" s="77"/>
      <c r="Q1048" s="76">
        <v>46000</v>
      </c>
      <c r="R1048" s="77" t="s">
        <v>4004</v>
      </c>
      <c r="S1048" s="77"/>
      <c r="T1048" s="77"/>
      <c r="U1048" s="77"/>
      <c r="V1048" s="78" t="s">
        <v>5432</v>
      </c>
      <c r="W1048" s="79">
        <v>46039</v>
      </c>
      <c r="X1048" s="78" t="s">
        <v>38</v>
      </c>
      <c r="Y1048" s="78"/>
      <c r="Z1048" s="78" t="s">
        <v>5543</v>
      </c>
      <c r="AA1048">
        <f>IF(COUNTIF('Call Queue'!$H$6:$H$20,V1048)&gt;0,0,IF(AND(ISNUMBER(N1048),N1048&gt;0),10000000+N1048,IF(ISNUMBER(N1048*1),IF(N1048*1&gt;0,10000000+N1048*1,0),0))+IF(ISNUMBER(SEARCH("(",L1048)),1000000+IFERROR(VALUE(SUBSTITUTE(SUBSTITUTE(SUBSTITUTE(MID(L1048,SEARCH("(",L1048)+1,SEARCH(")",L1048)-SEARCH("(",L1048)-1),"$",""),",","")," ","")),0),0))</f>
        <v>0</v>
      </c>
    </row>
    <row r="1049" spans="1:27">
      <c r="A1049" s="76">
        <v>45994</v>
      </c>
      <c r="B1049" s="77" t="s">
        <v>4015</v>
      </c>
      <c r="C1049" s="77" t="s">
        <v>340</v>
      </c>
      <c r="D1049" s="77" t="s">
        <v>63</v>
      </c>
      <c r="E1049" s="77">
        <v>85022</v>
      </c>
      <c r="F1049" s="77" t="s">
        <v>4016</v>
      </c>
      <c r="G1049" s="77" t="s">
        <v>3964</v>
      </c>
      <c r="H1049" s="77">
        <v>1845644568</v>
      </c>
      <c r="I1049" s="77" t="s">
        <v>73</v>
      </c>
      <c r="J1049" s="77" t="s">
        <v>37</v>
      </c>
      <c r="K1049" s="77" t="s">
        <v>37</v>
      </c>
      <c r="L1049" s="77" t="s">
        <v>4018</v>
      </c>
      <c r="M1049" s="77" t="s">
        <v>37</v>
      </c>
      <c r="N1049" s="77" t="s">
        <v>37</v>
      </c>
      <c r="O1049" s="77" t="s">
        <v>38</v>
      </c>
      <c r="P1049" s="77" t="s">
        <v>39</v>
      </c>
      <c r="Q1049" s="76">
        <v>46000</v>
      </c>
      <c r="R1049" s="77"/>
      <c r="S1049" s="77"/>
      <c r="T1049" s="77"/>
      <c r="U1049" s="77"/>
      <c r="V1049" s="78" t="s">
        <v>5432</v>
      </c>
      <c r="W1049" s="79">
        <v>46018</v>
      </c>
      <c r="X1049" s="78" t="s">
        <v>37</v>
      </c>
      <c r="Y1049" s="78" t="s">
        <v>5442</v>
      </c>
      <c r="Z1049" s="78" t="s">
        <v>5479</v>
      </c>
      <c r="AA1049">
        <f>IF(COUNTIF('Call Queue'!$H$6:$H$20,V1049)&gt;0,0,IF(AND(ISNUMBER(N1049),N1049&gt;0),10000000+N1049,IF(ISNUMBER(N1049*1),IF(N1049*1&gt;0,10000000+N1049*1,0),0))+IF(ISNUMBER(SEARCH("(",L1049)),1000000+IFERROR(VALUE(SUBSTITUTE(SUBSTITUTE(SUBSTITUTE(MID(L1049,SEARCH("(",L1049)+1,SEARCH(")",L1049)-SEARCH("(",L1049)-1),"$",""),",","")," ","")),0),0))</f>
        <v>0</v>
      </c>
    </row>
    <row r="1050" spans="1:27">
      <c r="A1050" s="76">
        <v>45994</v>
      </c>
      <c r="B1050" s="77" t="s">
        <v>4033</v>
      </c>
      <c r="C1050" s="77" t="s">
        <v>4034</v>
      </c>
      <c r="D1050" s="77" t="s">
        <v>68</v>
      </c>
      <c r="E1050" s="77"/>
      <c r="F1050" s="77" t="s">
        <v>4035</v>
      </c>
      <c r="G1050" s="77" t="s">
        <v>3964</v>
      </c>
      <c r="H1050" s="77">
        <v>8351131000</v>
      </c>
      <c r="I1050" s="77" t="s">
        <v>36</v>
      </c>
      <c r="J1050" s="77" t="s">
        <v>37</v>
      </c>
      <c r="K1050" s="77" t="s">
        <v>37</v>
      </c>
      <c r="L1050" s="77" t="s">
        <v>38</v>
      </c>
      <c r="M1050" s="77" t="s">
        <v>37</v>
      </c>
      <c r="N1050" s="77" t="s">
        <v>37</v>
      </c>
      <c r="O1050" s="77" t="s">
        <v>38</v>
      </c>
      <c r="P1050" s="77" t="s">
        <v>39</v>
      </c>
      <c r="Q1050" s="76">
        <v>46000</v>
      </c>
      <c r="R1050" s="77"/>
      <c r="S1050" s="77"/>
      <c r="T1050" s="77"/>
      <c r="U1050" s="77"/>
      <c r="V1050" s="78"/>
      <c r="W1050" s="79"/>
      <c r="X1050" s="78"/>
      <c r="Y1050" s="78"/>
      <c r="Z1050" s="78"/>
      <c r="AA1050">
        <f>IF(COUNTIF('Call Queue'!$H$6:$H$20,V1050)&gt;0,0,IF(AND(ISNUMBER(N1050),N1050&gt;0),10000000+N1050,IF(ISNUMBER(N1050*1),IF(N1050*1&gt;0,10000000+N1050*1,0),0))+IF(ISNUMBER(SEARCH("(",L1050)),1000000+IFERROR(VALUE(SUBSTITUTE(SUBSTITUTE(SUBSTITUTE(MID(L1050,SEARCH("(",L1050)+1,SEARCH(")",L1050)-SEARCH("(",L1050)-1),"$",""),",","")," ","")),0),0))</f>
        <v>0</v>
      </c>
    </row>
    <row r="1051" spans="1:27">
      <c r="A1051" s="76">
        <v>45994</v>
      </c>
      <c r="B1051" s="77" t="s">
        <v>30</v>
      </c>
      <c r="C1051" s="77" t="s">
        <v>4051</v>
      </c>
      <c r="D1051" s="77" t="s">
        <v>30</v>
      </c>
      <c r="E1051" s="77" t="s">
        <v>30</v>
      </c>
      <c r="F1051" s="77"/>
      <c r="G1051" s="77" t="s">
        <v>3964</v>
      </c>
      <c r="H1051" s="77"/>
      <c r="I1051" s="77"/>
      <c r="J1051" s="77"/>
      <c r="K1051" s="77"/>
      <c r="L1051" s="77"/>
      <c r="M1051" s="77"/>
      <c r="N1051" s="77"/>
      <c r="O1051" s="77"/>
      <c r="P1051" s="77"/>
      <c r="Q1051" s="76"/>
      <c r="R1051" s="77"/>
      <c r="S1051" s="77"/>
      <c r="T1051" s="77"/>
      <c r="U1051" s="77"/>
      <c r="V1051" s="78"/>
      <c r="W1051" s="79"/>
      <c r="X1051" s="78"/>
      <c r="Y1051" s="78"/>
      <c r="Z1051" s="78"/>
      <c r="AA1051">
        <f>IF(COUNTIF('Call Queue'!$H$6:$H$20,V1051)&gt;0,0,IF(AND(ISNUMBER(N1051),N1051&gt;0),10000000+N1051,IF(ISNUMBER(N1051*1),IF(N1051*1&gt;0,10000000+N1051*1,0),0))+IF(ISNUMBER(SEARCH("(",L1051)),1000000+IFERROR(VALUE(SUBSTITUTE(SUBSTITUTE(SUBSTITUTE(MID(L1051,SEARCH("(",L1051)+1,SEARCH(")",L1051)-SEARCH("(",L1051)-1),"$",""),",","")," ","")),0),0))</f>
        <v>0</v>
      </c>
    </row>
    <row r="1052" spans="1:27">
      <c r="A1052" s="76">
        <v>45995</v>
      </c>
      <c r="B1052" s="77" t="s">
        <v>4052</v>
      </c>
      <c r="C1052" s="77" t="s">
        <v>4053</v>
      </c>
      <c r="D1052" s="77" t="s">
        <v>112</v>
      </c>
      <c r="E1052" s="77">
        <v>85379</v>
      </c>
      <c r="F1052" s="77" t="s">
        <v>4054</v>
      </c>
      <c r="G1052" s="77" t="s">
        <v>4055</v>
      </c>
      <c r="H1052" s="77" t="s">
        <v>4056</v>
      </c>
      <c r="I1052" s="77" t="s">
        <v>4057</v>
      </c>
      <c r="J1052" s="77" t="s">
        <v>37</v>
      </c>
      <c r="K1052" s="77" t="s">
        <v>37</v>
      </c>
      <c r="L1052" s="77" t="s">
        <v>389</v>
      </c>
      <c r="M1052" s="77" t="s">
        <v>37</v>
      </c>
      <c r="N1052" s="77" t="s">
        <v>37</v>
      </c>
      <c r="O1052" s="77" t="s">
        <v>38</v>
      </c>
      <c r="P1052" s="77" t="s">
        <v>39</v>
      </c>
      <c r="Q1052" s="76">
        <v>46000</v>
      </c>
      <c r="R1052" s="77"/>
      <c r="S1052" s="77"/>
      <c r="T1052" s="77"/>
      <c r="U1052" s="77"/>
      <c r="V1052" s="78"/>
      <c r="W1052" s="79"/>
      <c r="X1052" s="78"/>
      <c r="Y1052" s="78"/>
      <c r="Z1052" s="78"/>
      <c r="AA1052">
        <f>IF(COUNTIF('Call Queue'!$H$6:$H$20,V1052)&gt;0,0,IF(AND(ISNUMBER(N1052),N1052&gt;0),10000000+N1052,IF(ISNUMBER(N1052*1),IF(N1052*1&gt;0,10000000+N1052*1,0),0))+IF(ISNUMBER(SEARCH("(",L1052)),1000000+IFERROR(VALUE(SUBSTITUTE(SUBSTITUTE(SUBSTITUTE(MID(L1052,SEARCH("(",L1052)+1,SEARCH(")",L1052)-SEARCH("(",L1052)-1),"$",""),",","")," ","")),0),0))</f>
        <v>0</v>
      </c>
    </row>
    <row r="1053" spans="1:27">
      <c r="A1053" s="76">
        <v>45996</v>
      </c>
      <c r="B1053" s="77" t="s">
        <v>4058</v>
      </c>
      <c r="C1053" s="77" t="s">
        <v>479</v>
      </c>
      <c r="D1053" s="77" t="s">
        <v>63</v>
      </c>
      <c r="E1053" s="77">
        <v>85032</v>
      </c>
      <c r="F1053" s="77" t="s">
        <v>4059</v>
      </c>
      <c r="G1053" s="77" t="s">
        <v>4060</v>
      </c>
      <c r="H1053" s="77">
        <v>895261000</v>
      </c>
      <c r="I1053" s="77" t="s">
        <v>57</v>
      </c>
      <c r="J1053" s="77" t="s">
        <v>37</v>
      </c>
      <c r="K1053" s="77" t="s">
        <v>37</v>
      </c>
      <c r="L1053" s="77" t="s">
        <v>4062</v>
      </c>
      <c r="M1053" s="77" t="s">
        <v>37</v>
      </c>
      <c r="N1053" s="77" t="s">
        <v>37</v>
      </c>
      <c r="O1053" s="77" t="s">
        <v>38</v>
      </c>
      <c r="P1053" s="77"/>
      <c r="Q1053" s="76">
        <v>46000</v>
      </c>
      <c r="R1053" s="77" t="s">
        <v>4004</v>
      </c>
      <c r="S1053" s="77"/>
      <c r="T1053" s="77"/>
      <c r="U1053" s="77"/>
      <c r="V1053" s="78" t="s">
        <v>5432</v>
      </c>
      <c r="W1053" s="79">
        <v>46018</v>
      </c>
      <c r="X1053" s="78" t="s">
        <v>38</v>
      </c>
      <c r="Y1053" s="78" t="s">
        <v>5442</v>
      </c>
      <c r="Z1053" s="78" t="s">
        <v>5480</v>
      </c>
      <c r="AA1053">
        <f>IF(COUNTIF('Call Queue'!$H$6:$H$20,V1053)&gt;0,0,IF(AND(ISNUMBER(N1053),N1053&gt;0),10000000+N1053,IF(ISNUMBER(N1053*1),IF(N1053*1&gt;0,10000000+N1053*1,0),0))+IF(ISNUMBER(SEARCH("(",L1053)),1000000+IFERROR(VALUE(SUBSTITUTE(SUBSTITUTE(SUBSTITUTE(MID(L1053,SEARCH("(",L1053)+1,SEARCH(")",L1053)-SEARCH("(",L1053)-1),"$",""),",","")," ","")),0),0))</f>
        <v>0</v>
      </c>
    </row>
    <row r="1054" spans="1:27">
      <c r="A1054" s="76">
        <v>46003</v>
      </c>
      <c r="B1054" s="77" t="s">
        <v>4066</v>
      </c>
      <c r="C1054" s="77" t="s">
        <v>4067</v>
      </c>
      <c r="D1054" s="77" t="s">
        <v>174</v>
      </c>
      <c r="E1054" s="77">
        <v>85396</v>
      </c>
      <c r="F1054" s="77" t="s">
        <v>4068</v>
      </c>
      <c r="G1054" s="77" t="s">
        <v>4065</v>
      </c>
      <c r="H1054" s="77">
        <v>7571491082</v>
      </c>
      <c r="I1054" s="77" t="s">
        <v>250</v>
      </c>
      <c r="J1054" s="77" t="s">
        <v>37</v>
      </c>
      <c r="K1054" s="77" t="s">
        <v>37</v>
      </c>
      <c r="L1054" s="77" t="s">
        <v>38</v>
      </c>
      <c r="M1054" s="77" t="s">
        <v>37</v>
      </c>
      <c r="N1054" s="77" t="s">
        <v>37</v>
      </c>
      <c r="O1054" s="77" t="s">
        <v>38</v>
      </c>
      <c r="P1054" s="77" t="s">
        <v>39</v>
      </c>
      <c r="Q1054" s="76">
        <v>46008</v>
      </c>
      <c r="R1054" s="77"/>
      <c r="S1054" s="77"/>
      <c r="T1054" s="77"/>
      <c r="U1054" s="77"/>
      <c r="V1054" s="78"/>
      <c r="W1054" s="79"/>
      <c r="X1054" s="78"/>
      <c r="Y1054" s="78"/>
      <c r="Z1054" s="78"/>
      <c r="AA1054">
        <f>IF(COUNTIF('Call Queue'!$H$6:$H$20,V1054)&gt;0,0,IF(AND(ISNUMBER(N1054),N1054&gt;0),10000000+N1054,IF(ISNUMBER(N1054*1),IF(N1054*1&gt;0,10000000+N1054*1,0),0))+IF(ISNUMBER(SEARCH("(",L1054)),1000000+IFERROR(VALUE(SUBSTITUTE(SUBSTITUTE(SUBSTITUTE(MID(L1054,SEARCH("(",L1054)+1,SEARCH(")",L1054)-SEARCH("(",L1054)-1),"$",""),",","")," ","")),0),0))</f>
        <v>0</v>
      </c>
    </row>
    <row r="1055" spans="1:27">
      <c r="A1055" s="76">
        <v>46003</v>
      </c>
      <c r="B1055" s="77" t="s">
        <v>4070</v>
      </c>
      <c r="C1055" s="77" t="s">
        <v>4071</v>
      </c>
      <c r="D1055" s="77" t="s">
        <v>174</v>
      </c>
      <c r="E1055" s="77">
        <v>85396</v>
      </c>
      <c r="F1055" s="77" t="s">
        <v>4072</v>
      </c>
      <c r="G1055" s="77" t="s">
        <v>4065</v>
      </c>
      <c r="H1055" s="77">
        <v>4776840675</v>
      </c>
      <c r="I1055" s="77" t="s">
        <v>4074</v>
      </c>
      <c r="J1055" s="77" t="s">
        <v>37</v>
      </c>
      <c r="K1055" s="77" t="s">
        <v>37</v>
      </c>
      <c r="L1055" s="77" t="s">
        <v>38</v>
      </c>
      <c r="M1055" s="77" t="s">
        <v>37</v>
      </c>
      <c r="N1055" s="77" t="s">
        <v>37</v>
      </c>
      <c r="O1055" s="77" t="s">
        <v>38</v>
      </c>
      <c r="P1055" s="77" t="s">
        <v>39</v>
      </c>
      <c r="Q1055" s="76">
        <v>46008</v>
      </c>
      <c r="R1055" s="77"/>
      <c r="S1055" s="77"/>
      <c r="T1055" s="77"/>
      <c r="U1055" s="77"/>
      <c r="V1055" s="78" t="s">
        <v>5432</v>
      </c>
      <c r="W1055" s="79">
        <v>46060</v>
      </c>
      <c r="X1055" s="78" t="s">
        <v>38</v>
      </c>
      <c r="Y1055" s="78"/>
      <c r="Z1055" s="78" t="s">
        <v>5467</v>
      </c>
      <c r="AA1055">
        <f>IF(COUNTIF('Call Queue'!$H$6:$H$20,V1055)&gt;0,0,IF(AND(ISNUMBER(N1055),N1055&gt;0),10000000+N1055,IF(ISNUMBER(N1055*1),IF(N1055*1&gt;0,10000000+N1055*1,0),0))+IF(ISNUMBER(SEARCH("(",L1055)),1000000+IFERROR(VALUE(SUBSTITUTE(SUBSTITUTE(SUBSTITUTE(MID(L1055,SEARCH("(",L1055)+1,SEARCH(")",L1055)-SEARCH("(",L1055)-1),"$",""),",","")," ","")),0),0))</f>
        <v>0</v>
      </c>
    </row>
    <row r="1056" spans="1:27">
      <c r="A1056" s="76">
        <v>46003</v>
      </c>
      <c r="B1056" s="77" t="s">
        <v>4075</v>
      </c>
      <c r="C1056" s="77" t="s">
        <v>208</v>
      </c>
      <c r="D1056" s="77" t="s">
        <v>174</v>
      </c>
      <c r="E1056" s="77">
        <v>85396</v>
      </c>
      <c r="F1056" s="77" t="s">
        <v>4076</v>
      </c>
      <c r="G1056" s="77" t="s">
        <v>4065</v>
      </c>
      <c r="H1056" s="77">
        <v>6559521559</v>
      </c>
      <c r="I1056" s="77" t="s">
        <v>4078</v>
      </c>
      <c r="J1056" s="77" t="s">
        <v>37</v>
      </c>
      <c r="K1056" s="77" t="s">
        <v>37</v>
      </c>
      <c r="L1056" s="77" t="s">
        <v>4079</v>
      </c>
      <c r="M1056" s="77" t="s">
        <v>37</v>
      </c>
      <c r="N1056" s="77" t="s">
        <v>37</v>
      </c>
      <c r="O1056" s="77" t="s">
        <v>38</v>
      </c>
      <c r="P1056" s="77" t="s">
        <v>39</v>
      </c>
      <c r="Q1056" s="76">
        <v>46008</v>
      </c>
      <c r="R1056" s="77"/>
      <c r="S1056" s="77"/>
      <c r="T1056" s="77"/>
      <c r="U1056" s="77"/>
      <c r="V1056" s="78"/>
      <c r="W1056" s="79"/>
      <c r="X1056" s="78"/>
      <c r="Y1056" s="78"/>
      <c r="Z1056" s="78"/>
      <c r="AA1056">
        <f>IF(COUNTIF('Call Queue'!$H$6:$H$20,V1056)&gt;0,0,IF(AND(ISNUMBER(N1056),N1056&gt;0),10000000+N1056,IF(ISNUMBER(N1056*1),IF(N1056*1&gt;0,10000000+N1056*1,0),0))+IF(ISNUMBER(SEARCH("(",L1056)),1000000+IFERROR(VALUE(SUBSTITUTE(SUBSTITUTE(SUBSTITUTE(MID(L1056,SEARCH("(",L1056)+1,SEARCH(")",L1056)-SEARCH("(",L1056)-1),"$",""),",","")," ","")),0),0))</f>
        <v>0</v>
      </c>
    </row>
    <row r="1057" spans="1:27">
      <c r="A1057" s="76">
        <v>46006</v>
      </c>
      <c r="B1057" s="77" t="s">
        <v>3561</v>
      </c>
      <c r="C1057" s="77" t="s">
        <v>481</v>
      </c>
      <c r="D1057" s="77" t="s">
        <v>85</v>
      </c>
      <c r="E1057" s="77">
        <v>86323</v>
      </c>
      <c r="F1057" s="77" t="s">
        <v>4081</v>
      </c>
      <c r="G1057" s="77" t="s">
        <v>4082</v>
      </c>
      <c r="H1057" s="77">
        <v>7171143951</v>
      </c>
      <c r="I1057" s="77" t="s">
        <v>126</v>
      </c>
      <c r="J1057" s="77" t="s">
        <v>37</v>
      </c>
      <c r="K1057" s="77" t="s">
        <v>37</v>
      </c>
      <c r="L1057" s="77" t="s">
        <v>38</v>
      </c>
      <c r="M1057" s="77" t="s">
        <v>37</v>
      </c>
      <c r="N1057" s="77" t="s">
        <v>37</v>
      </c>
      <c r="O1057" s="77" t="s">
        <v>38</v>
      </c>
      <c r="P1057" s="77" t="s">
        <v>39</v>
      </c>
      <c r="Q1057" s="76">
        <v>46008</v>
      </c>
      <c r="R1057" s="77"/>
      <c r="S1057" s="77"/>
      <c r="T1057" s="77"/>
      <c r="U1057" s="77"/>
      <c r="V1057" s="78" t="s">
        <v>5432</v>
      </c>
      <c r="W1057" s="79">
        <v>46060</v>
      </c>
      <c r="X1057" s="78" t="s">
        <v>38</v>
      </c>
      <c r="Y1057" s="78"/>
      <c r="Z1057" s="78" t="s">
        <v>5467</v>
      </c>
      <c r="AA1057">
        <f>IF(COUNTIF('Call Queue'!$H$6:$H$20,V1057)&gt;0,0,IF(AND(ISNUMBER(N1057),N1057&gt;0),10000000+N1057,IF(ISNUMBER(N1057*1),IF(N1057*1&gt;0,10000000+N1057*1,0),0))+IF(ISNUMBER(SEARCH("(",L1057)),1000000+IFERROR(VALUE(SUBSTITUTE(SUBSTITUTE(SUBSTITUTE(MID(L1057,SEARCH("(",L1057)+1,SEARCH(")",L1057)-SEARCH("(",L1057)-1),"$",""),",","")," ","")),0),0))</f>
        <v>0</v>
      </c>
    </row>
    <row r="1058" spans="1:27">
      <c r="A1058" s="76">
        <v>46009</v>
      </c>
      <c r="B1058" s="77" t="s">
        <v>4094</v>
      </c>
      <c r="C1058" s="77" t="s">
        <v>4095</v>
      </c>
      <c r="D1058" s="77" t="s">
        <v>63</v>
      </c>
      <c r="E1058" s="77">
        <v>85022</v>
      </c>
      <c r="F1058" s="77" t="s">
        <v>3865</v>
      </c>
      <c r="G1058" s="77" t="s">
        <v>4096</v>
      </c>
      <c r="H1058" s="77">
        <v>6181201000</v>
      </c>
      <c r="I1058" s="77" t="s">
        <v>196</v>
      </c>
      <c r="J1058" s="77" t="s">
        <v>37</v>
      </c>
      <c r="K1058" s="77" t="s">
        <v>37</v>
      </c>
      <c r="L1058" s="77" t="s">
        <v>4098</v>
      </c>
      <c r="M1058" s="77" t="s">
        <v>37</v>
      </c>
      <c r="N1058" s="77" t="s">
        <v>37</v>
      </c>
      <c r="O1058" s="77" t="s">
        <v>38</v>
      </c>
      <c r="P1058" s="77"/>
      <c r="Q1058" s="76">
        <v>46015</v>
      </c>
      <c r="R1058" s="77" t="s">
        <v>4004</v>
      </c>
      <c r="S1058" s="77"/>
      <c r="T1058" s="77"/>
      <c r="U1058" s="77"/>
      <c r="V1058" s="78" t="s">
        <v>5432</v>
      </c>
      <c r="W1058" s="79">
        <v>46018</v>
      </c>
      <c r="X1058" s="78" t="s">
        <v>37</v>
      </c>
      <c r="Y1058" s="78" t="s">
        <v>5442</v>
      </c>
      <c r="Z1058" s="78" t="s">
        <v>5627</v>
      </c>
      <c r="AA1058">
        <f>IF(COUNTIF('Call Queue'!$H$6:$H$20,V1058)&gt;0,0,IF(AND(ISNUMBER(N1058),N1058&gt;0),10000000+N1058,IF(ISNUMBER(N1058*1),IF(N1058*1&gt;0,10000000+N1058*1,0),0))+IF(ISNUMBER(SEARCH("(",L1058)),1000000+IFERROR(VALUE(SUBSTITUTE(SUBSTITUTE(SUBSTITUTE(MID(L1058,SEARCH("(",L1058)+1,SEARCH(")",L1058)-SEARCH("(",L1058)-1),"$",""),",","")," ","")),0),0))</f>
        <v>0</v>
      </c>
    </row>
    <row r="1059" spans="1:27">
      <c r="A1059" s="76">
        <v>46010</v>
      </c>
      <c r="B1059" s="77" t="s">
        <v>4104</v>
      </c>
      <c r="C1059" s="77" t="s">
        <v>481</v>
      </c>
      <c r="D1059" s="77" t="s">
        <v>174</v>
      </c>
      <c r="E1059" s="77">
        <v>85326</v>
      </c>
      <c r="F1059" s="77" t="s">
        <v>3865</v>
      </c>
      <c r="G1059" s="77" t="s">
        <v>4102</v>
      </c>
      <c r="H1059" s="77">
        <v>509660000</v>
      </c>
      <c r="I1059" s="77" t="s">
        <v>196</v>
      </c>
      <c r="J1059" s="77" t="s">
        <v>37</v>
      </c>
      <c r="K1059" s="77" t="s">
        <v>37</v>
      </c>
      <c r="L1059" s="77" t="s">
        <v>4106</v>
      </c>
      <c r="M1059" s="77" t="s">
        <v>38</v>
      </c>
      <c r="N1059" s="77">
        <v>1309.77</v>
      </c>
      <c r="O1059" s="77" t="s">
        <v>38</v>
      </c>
      <c r="P1059" s="77"/>
      <c r="Q1059" s="76">
        <v>46015</v>
      </c>
      <c r="R1059" s="77" t="s">
        <v>4107</v>
      </c>
      <c r="S1059" s="77"/>
      <c r="T1059" s="77"/>
      <c r="U1059" s="77"/>
      <c r="V1059" s="78" t="s">
        <v>5432</v>
      </c>
      <c r="W1059" s="79">
        <v>46018</v>
      </c>
      <c r="X1059" s="78" t="s">
        <v>37</v>
      </c>
      <c r="Y1059" s="78" t="s">
        <v>5442</v>
      </c>
      <c r="Z1059" s="78"/>
      <c r="AA1059">
        <f>IF(COUNTIF('Call Queue'!$H$6:$H$20,V1059)&gt;0,0,IF(AND(ISNUMBER(N1059),N1059&gt;0),10000000+N1059,IF(ISNUMBER(N1059*1),IF(N1059*1&gt;0,10000000+N1059*1,0),0))+IF(ISNUMBER(SEARCH("(",L1059)),1000000+IFERROR(VALUE(SUBSTITUTE(SUBSTITUTE(SUBSTITUTE(MID(L1059,SEARCH("(",L1059)+1,SEARCH(")",L1059)-SEARCH("(",L1059)-1),"$",""),",","")," ","")),0),0))</f>
        <v>0</v>
      </c>
    </row>
    <row r="1060" spans="1:27">
      <c r="A1060" s="76">
        <v>46010</v>
      </c>
      <c r="B1060" s="77" t="s">
        <v>4109</v>
      </c>
      <c r="C1060" s="77" t="s">
        <v>2184</v>
      </c>
      <c r="D1060" s="77" t="s">
        <v>63</v>
      </c>
      <c r="E1060" s="77">
        <v>85015</v>
      </c>
      <c r="F1060" s="77" t="s">
        <v>3865</v>
      </c>
      <c r="G1060" s="77" t="s">
        <v>4102</v>
      </c>
      <c r="H1060" s="77">
        <v>8352070000</v>
      </c>
      <c r="I1060" s="77" t="s">
        <v>126</v>
      </c>
      <c r="J1060" s="77" t="s">
        <v>37</v>
      </c>
      <c r="K1060" s="77" t="s">
        <v>37</v>
      </c>
      <c r="L1060" s="77" t="s">
        <v>38</v>
      </c>
      <c r="M1060" s="77" t="s">
        <v>37</v>
      </c>
      <c r="N1060" s="77" t="s">
        <v>37</v>
      </c>
      <c r="O1060" s="77" t="s">
        <v>38</v>
      </c>
      <c r="P1060" s="77" t="s">
        <v>39</v>
      </c>
      <c r="Q1060" s="76">
        <v>46015</v>
      </c>
      <c r="R1060" s="77"/>
      <c r="S1060" s="77"/>
      <c r="T1060" s="77"/>
      <c r="U1060" s="77"/>
      <c r="V1060" s="78"/>
      <c r="W1060" s="79"/>
      <c r="X1060" s="78"/>
      <c r="Y1060" s="78"/>
      <c r="Z1060" s="78"/>
      <c r="AA1060">
        <f>IF(COUNTIF('Call Queue'!$H$6:$H$20,V1060)&gt;0,0,IF(AND(ISNUMBER(N1060),N1060&gt;0),10000000+N1060,IF(ISNUMBER(N1060*1),IF(N1060*1&gt;0,10000000+N1060*1,0),0))+IF(ISNUMBER(SEARCH("(",L1060)),1000000+IFERROR(VALUE(SUBSTITUTE(SUBSTITUTE(SUBSTITUTE(MID(L1060,SEARCH("(",L1060)+1,SEARCH(")",L1060)-SEARCH("(",L1060)-1),"$",""),",","")," ","")),0),0))</f>
        <v>0</v>
      </c>
    </row>
    <row r="1061" spans="1:27">
      <c r="A1061" s="76">
        <v>46010</v>
      </c>
      <c r="B1061" s="77" t="s">
        <v>3561</v>
      </c>
      <c r="C1061" s="77" t="s">
        <v>4111</v>
      </c>
      <c r="D1061" s="77" t="s">
        <v>2641</v>
      </c>
      <c r="E1061" s="77">
        <v>85087</v>
      </c>
      <c r="F1061" s="77" t="s">
        <v>3865</v>
      </c>
      <c r="G1061" s="77" t="s">
        <v>4102</v>
      </c>
      <c r="H1061" s="77">
        <v>1969900000</v>
      </c>
      <c r="I1061" s="77" t="s">
        <v>4074</v>
      </c>
      <c r="J1061" s="77" t="s">
        <v>37</v>
      </c>
      <c r="K1061" s="77" t="s">
        <v>37</v>
      </c>
      <c r="L1061" s="77" t="s">
        <v>38</v>
      </c>
      <c r="M1061" s="77" t="s">
        <v>37</v>
      </c>
      <c r="N1061" s="77" t="s">
        <v>37</v>
      </c>
      <c r="O1061" s="77" t="s">
        <v>38</v>
      </c>
      <c r="P1061" s="77" t="s">
        <v>39</v>
      </c>
      <c r="Q1061" s="76">
        <v>46015</v>
      </c>
      <c r="R1061" s="77"/>
      <c r="S1061" s="77"/>
      <c r="T1061" s="77"/>
      <c r="U1061" s="77"/>
      <c r="V1061" s="78" t="s">
        <v>5432</v>
      </c>
      <c r="W1061" s="79">
        <v>46060</v>
      </c>
      <c r="X1061" s="78" t="s">
        <v>38</v>
      </c>
      <c r="Y1061" s="78"/>
      <c r="Z1061" s="78" t="s">
        <v>5467</v>
      </c>
      <c r="AA1061">
        <f>IF(COUNTIF('Call Queue'!$H$6:$H$20,V1061)&gt;0,0,IF(AND(ISNUMBER(N1061),N1061&gt;0),10000000+N1061,IF(ISNUMBER(N1061*1),IF(N1061*1&gt;0,10000000+N1061*1,0),0))+IF(ISNUMBER(SEARCH("(",L1061)),1000000+IFERROR(VALUE(SUBSTITUTE(SUBSTITUTE(SUBSTITUTE(MID(L1061,SEARCH("(",L1061)+1,SEARCH(")",L1061)-SEARCH("(",L1061)-1),"$",""),",","")," ","")),0),0))</f>
        <v>0</v>
      </c>
    </row>
    <row r="1062" spans="1:27">
      <c r="A1062" s="76">
        <v>46010</v>
      </c>
      <c r="B1062" s="77" t="s">
        <v>1356</v>
      </c>
      <c r="C1062" s="77" t="s">
        <v>3733</v>
      </c>
      <c r="D1062" s="77" t="s">
        <v>174</v>
      </c>
      <c r="E1062" s="77">
        <v>85326</v>
      </c>
      <c r="F1062" s="77" t="s">
        <v>3865</v>
      </c>
      <c r="G1062" s="77" t="s">
        <v>4102</v>
      </c>
      <c r="H1062" s="77">
        <v>7382953794</v>
      </c>
      <c r="I1062" s="77" t="s">
        <v>196</v>
      </c>
      <c r="J1062" s="77" t="s">
        <v>37</v>
      </c>
      <c r="K1062" s="77" t="s">
        <v>37</v>
      </c>
      <c r="L1062" s="77" t="s">
        <v>4114</v>
      </c>
      <c r="M1062" s="77" t="s">
        <v>37</v>
      </c>
      <c r="N1062" s="77" t="s">
        <v>37</v>
      </c>
      <c r="O1062" s="77" t="s">
        <v>38</v>
      </c>
      <c r="P1062" s="77"/>
      <c r="Q1062" s="76">
        <v>46015</v>
      </c>
      <c r="R1062" s="77" t="s">
        <v>4004</v>
      </c>
      <c r="S1062" s="77"/>
      <c r="T1062" s="77"/>
      <c r="U1062" s="77"/>
      <c r="V1062" s="78" t="s">
        <v>5432</v>
      </c>
      <c r="W1062" s="79">
        <v>46018</v>
      </c>
      <c r="X1062" s="78" t="s">
        <v>38</v>
      </c>
      <c r="Y1062" s="78"/>
      <c r="Z1062" s="78" t="s">
        <v>5467</v>
      </c>
      <c r="AA1062">
        <f>IF(COUNTIF('Call Queue'!$H$6:$H$20,V1062)&gt;0,0,IF(AND(ISNUMBER(N1062),N1062&gt;0),10000000+N1062,IF(ISNUMBER(N1062*1),IF(N1062*1&gt;0,10000000+N1062*1,0),0))+IF(ISNUMBER(SEARCH("(",L1062)),1000000+IFERROR(VALUE(SUBSTITUTE(SUBSTITUTE(SUBSTITUTE(MID(L1062,SEARCH("(",L1062)+1,SEARCH(")",L1062)-SEARCH("(",L1062)-1),"$",""),",","")," ","")),0),0))</f>
        <v>0</v>
      </c>
    </row>
    <row r="1063" spans="1:27">
      <c r="A1063" s="137">
        <v>45796</v>
      </c>
      <c r="B1063" s="138" t="s">
        <v>22</v>
      </c>
      <c r="C1063" s="138" t="s">
        <v>23</v>
      </c>
      <c r="D1063" s="138" t="s">
        <v>24</v>
      </c>
      <c r="E1063" s="138">
        <v>85308</v>
      </c>
      <c r="F1063" s="139" t="s">
        <v>25</v>
      </c>
      <c r="G1063" s="138" t="s">
        <v>26</v>
      </c>
      <c r="H1063" s="140" t="s">
        <v>27</v>
      </c>
      <c r="I1063" s="141"/>
      <c r="J1063" s="141"/>
      <c r="K1063" s="141"/>
      <c r="L1063" s="141"/>
      <c r="M1063" s="141"/>
      <c r="N1063" s="141"/>
      <c r="O1063" s="141"/>
      <c r="P1063" s="141"/>
      <c r="Q1063" s="141"/>
      <c r="R1063" s="138"/>
      <c r="S1063" s="138"/>
      <c r="T1063" s="138"/>
      <c r="U1063" s="138"/>
      <c r="AA1063">
        <f>IF(COUNTIF('Call Queue'!$H$6:$H$20,V1063)&gt;0,0,IF(AND(ISNUMBER(N1063),N1063&gt;0),10000000+N1063,IF(ISNUMBER(N1063*1),IF(N1063*1&gt;0,10000000+N1063*1,0),0))+IF(ISNUMBER(SEARCH("(",L1063)),1000000+IFERROR(VALUE(SUBSTITUTE(SUBSTITUTE(SUBSTITUTE(MID(L1063,SEARCH("(",L1063)+1,SEARCH(")",L1063)-SEARCH("(",L1063)-1),"$",""),",","")," ","")),0),0))</f>
        <v>0</v>
      </c>
    </row>
    <row r="1064" spans="1:27">
      <c r="A1064" s="142">
        <v>45797</v>
      </c>
      <c r="B1064" s="143" t="s">
        <v>28</v>
      </c>
      <c r="C1064" s="143" t="s">
        <v>29</v>
      </c>
      <c r="D1064" s="143" t="s">
        <v>30</v>
      </c>
      <c r="E1064" s="143" t="s">
        <v>30</v>
      </c>
      <c r="F1064" s="144" t="s">
        <v>31</v>
      </c>
      <c r="G1064" s="143" t="s">
        <v>32</v>
      </c>
      <c r="H1064" s="145" t="s">
        <v>27</v>
      </c>
      <c r="I1064" s="146"/>
      <c r="J1064" s="146"/>
      <c r="K1064" s="146"/>
      <c r="L1064" s="146"/>
      <c r="M1064" s="146"/>
      <c r="N1064" s="146"/>
      <c r="O1064" s="146"/>
      <c r="P1064" s="146"/>
      <c r="Q1064" s="146"/>
      <c r="R1064" s="143"/>
      <c r="S1064" s="143"/>
      <c r="T1064" s="143"/>
      <c r="U1064" s="143"/>
      <c r="AA1064">
        <f>IF(COUNTIF('Call Queue'!$H$6:$H$20,V1064)&gt;0,0,IF(AND(ISNUMBER(N1064),N1064&gt;0),10000000+N1064,IF(ISNUMBER(N1064*1),IF(N1064*1&gt;0,10000000+N1064*1,0),0))+IF(ISNUMBER(SEARCH("(",L1064)),1000000+IFERROR(VALUE(SUBSTITUTE(SUBSTITUTE(SUBSTITUTE(MID(L1064,SEARCH("(",L1064)+1,SEARCH(")",L1064)-SEARCH("(",L1064)-1),"$",""),",","")," ","")),0),0))</f>
        <v>0</v>
      </c>
    </row>
    <row r="1065" spans="1:27">
      <c r="A1065" s="137">
        <v>45800</v>
      </c>
      <c r="B1065" s="138" t="s">
        <v>61</v>
      </c>
      <c r="C1065" s="138" t="s">
        <v>62</v>
      </c>
      <c r="D1065" s="138" t="s">
        <v>63</v>
      </c>
      <c r="E1065" s="138">
        <v>85009</v>
      </c>
      <c r="F1065" s="139" t="s">
        <v>31</v>
      </c>
      <c r="G1065" s="138" t="s">
        <v>64</v>
      </c>
      <c r="H1065" s="140" t="s">
        <v>30</v>
      </c>
      <c r="I1065" s="141"/>
      <c r="J1065" s="141"/>
      <c r="K1065" s="141"/>
      <c r="L1065" s="141"/>
      <c r="M1065" s="141"/>
      <c r="N1065" s="141"/>
      <c r="O1065" s="141"/>
      <c r="P1065" s="141"/>
      <c r="Q1065" s="141"/>
      <c r="R1065" s="138"/>
      <c r="S1065" s="138"/>
      <c r="T1065" s="138"/>
      <c r="U1065" s="138" t="s">
        <v>65</v>
      </c>
      <c r="AA1065">
        <f>IF(COUNTIF('Call Queue'!$H$6:$H$20,V1065)&gt;0,0,IF(AND(ISNUMBER(N1065),N1065&gt;0),10000000+N1065,IF(ISNUMBER(N1065*1),IF(N1065*1&gt;0,10000000+N1065*1,0),0))+IF(ISNUMBER(SEARCH("(",L1065)),1000000+IFERROR(VALUE(SUBSTITUTE(SUBSTITUTE(SUBSTITUTE(MID(L1065,SEARCH("(",L1065)+1,SEARCH(")",L1065)-SEARCH("(",L1065)-1),"$",""),",","")," ","")),0),0))</f>
        <v>0</v>
      </c>
    </row>
    <row r="1066" spans="1:27">
      <c r="A1066" s="142">
        <v>45812</v>
      </c>
      <c r="B1066" s="143" t="s">
        <v>74</v>
      </c>
      <c r="C1066" s="143" t="s">
        <v>75</v>
      </c>
      <c r="D1066" s="143" t="s">
        <v>30</v>
      </c>
      <c r="E1066" s="143" t="s">
        <v>30</v>
      </c>
      <c r="F1066" s="144" t="s">
        <v>31</v>
      </c>
      <c r="G1066" s="143" t="s">
        <v>76</v>
      </c>
      <c r="H1066" s="145" t="s">
        <v>27</v>
      </c>
      <c r="I1066" s="146"/>
      <c r="J1066" s="146"/>
      <c r="K1066" s="146"/>
      <c r="L1066" s="146"/>
      <c r="M1066" s="146"/>
      <c r="N1066" s="146"/>
      <c r="O1066" s="146"/>
      <c r="P1066" s="146"/>
      <c r="Q1066" s="146"/>
      <c r="R1066" s="143"/>
      <c r="S1066" s="143"/>
      <c r="T1066" s="143"/>
      <c r="U1066" s="143" t="s">
        <v>77</v>
      </c>
      <c r="AA1066">
        <f>IF(COUNTIF('Call Queue'!$H$6:$H$20,V1066)&gt;0,0,IF(AND(ISNUMBER(N1066),N1066&gt;0),10000000+N1066,IF(ISNUMBER(N1066*1),IF(N1066*1&gt;0,10000000+N1066*1,0),0))+IF(ISNUMBER(SEARCH("(",L1066)),1000000+IFERROR(VALUE(SUBSTITUTE(SUBSTITUTE(SUBSTITUTE(MID(L1066,SEARCH("(",L1066)+1,SEARCH(")",L1066)-SEARCH("(",L1066)-1),"$",""),",","")," ","")),0),0))</f>
        <v>0</v>
      </c>
    </row>
    <row r="1067" spans="1:27">
      <c r="A1067" s="137">
        <v>45813</v>
      </c>
      <c r="B1067" s="138" t="s">
        <v>87</v>
      </c>
      <c r="C1067" s="138" t="s">
        <v>88</v>
      </c>
      <c r="D1067" s="138" t="s">
        <v>89</v>
      </c>
      <c r="E1067" s="138">
        <v>86336</v>
      </c>
      <c r="F1067" s="139" t="s">
        <v>31</v>
      </c>
      <c r="G1067" s="138" t="s">
        <v>86</v>
      </c>
      <c r="H1067" s="140" t="s">
        <v>90</v>
      </c>
      <c r="I1067" s="141"/>
      <c r="J1067" s="141" t="s">
        <v>37</v>
      </c>
      <c r="K1067" s="141"/>
      <c r="L1067" s="141"/>
      <c r="M1067" s="141"/>
      <c r="N1067" s="141"/>
      <c r="O1067" s="141"/>
      <c r="P1067" s="141"/>
      <c r="Q1067" s="141"/>
      <c r="R1067" s="138"/>
      <c r="S1067" s="138"/>
      <c r="T1067" s="138"/>
      <c r="U1067" s="138"/>
      <c r="AA1067">
        <f>IF(COUNTIF('Call Queue'!$H$6:$H$20,V1067)&gt;0,0,IF(AND(ISNUMBER(N1067),N1067&gt;0),10000000+N1067,IF(ISNUMBER(N1067*1),IF(N1067*1&gt;0,10000000+N1067*1,0),0))+IF(ISNUMBER(SEARCH("(",L1067)),1000000+IFERROR(VALUE(SUBSTITUTE(SUBSTITUTE(SUBSTITUTE(MID(L1067,SEARCH("(",L1067)+1,SEARCH(")",L1067)-SEARCH("(",L1067)-1),"$",""),",","")," ","")),0),0))</f>
        <v>0</v>
      </c>
    </row>
    <row r="1068" spans="1:27" ht="72.75">
      <c r="A1068" s="142">
        <v>45824</v>
      </c>
      <c r="B1068" s="143" t="s">
        <v>101</v>
      </c>
      <c r="C1068" s="143" t="s">
        <v>102</v>
      </c>
      <c r="D1068" s="143" t="s">
        <v>30</v>
      </c>
      <c r="E1068" s="143" t="s">
        <v>30</v>
      </c>
      <c r="F1068" s="144" t="s">
        <v>31</v>
      </c>
      <c r="G1068" s="144" t="s">
        <v>103</v>
      </c>
      <c r="H1068" s="145" t="s">
        <v>27</v>
      </c>
      <c r="I1068" s="147"/>
      <c r="J1068" s="146"/>
      <c r="K1068" s="146"/>
      <c r="L1068" s="146"/>
      <c r="M1068" s="146"/>
      <c r="N1068" s="146"/>
      <c r="O1068" s="146"/>
      <c r="P1068" s="146"/>
      <c r="Q1068" s="146"/>
      <c r="R1068" s="143"/>
      <c r="S1068" s="143"/>
      <c r="T1068" s="143"/>
      <c r="U1068" s="143" t="s">
        <v>104</v>
      </c>
      <c r="AA1068">
        <f>IF(COUNTIF('Call Queue'!$H$6:$H$20,V1068)&gt;0,0,IF(AND(ISNUMBER(N1068),N1068&gt;0),10000000+N1068,IF(ISNUMBER(N1068*1),IF(N1068*1&gt;0,10000000+N1068*1,0),0))+IF(ISNUMBER(SEARCH("(",L1068)),1000000+IFERROR(VALUE(SUBSTITUTE(SUBSTITUTE(SUBSTITUTE(MID(L1068,SEARCH("(",L1068)+1,SEARCH(")",L1068)-SEARCH("(",L1068)-1),"$",""),",","")," ","")),0),0))</f>
        <v>0</v>
      </c>
    </row>
    <row r="1069" spans="1:27">
      <c r="A1069" s="137">
        <v>45824</v>
      </c>
      <c r="B1069" s="138" t="s">
        <v>105</v>
      </c>
      <c r="C1069" s="138" t="s">
        <v>106</v>
      </c>
      <c r="D1069" s="138" t="s">
        <v>30</v>
      </c>
      <c r="E1069" s="138" t="s">
        <v>30</v>
      </c>
      <c r="F1069" s="139" t="s">
        <v>31</v>
      </c>
      <c r="G1069" s="138" t="s">
        <v>107</v>
      </c>
      <c r="H1069" s="140" t="s">
        <v>27</v>
      </c>
      <c r="I1069" s="148"/>
      <c r="J1069" s="141"/>
      <c r="K1069" s="141"/>
      <c r="L1069" s="141"/>
      <c r="M1069" s="141"/>
      <c r="N1069" s="141"/>
      <c r="O1069" s="141"/>
      <c r="P1069" s="141"/>
      <c r="Q1069" s="141"/>
      <c r="R1069" s="138"/>
      <c r="S1069" s="138"/>
      <c r="T1069" s="138"/>
      <c r="U1069" s="138"/>
      <c r="AA1069">
        <f>IF(COUNTIF('Call Queue'!$H$6:$H$20,V1069)&gt;0,0,IF(AND(ISNUMBER(N1069),N1069&gt;0),10000000+N1069,IF(ISNUMBER(N1069*1),IF(N1069*1&gt;0,10000000+N1069*1,0),0))+IF(ISNUMBER(SEARCH("(",L1069)),1000000+IFERROR(VALUE(SUBSTITUTE(SUBSTITUTE(SUBSTITUTE(MID(L1069,SEARCH("(",L1069)+1,SEARCH(")",L1069)-SEARCH("(",L1069)-1),"$",""),",","")," ","")),0),0))</f>
        <v>0</v>
      </c>
    </row>
    <row r="1070" spans="1:27">
      <c r="A1070" s="142">
        <v>45824</v>
      </c>
      <c r="B1070" s="143" t="s">
        <v>28</v>
      </c>
      <c r="C1070" s="143" t="s">
        <v>29</v>
      </c>
      <c r="D1070" s="143" t="s">
        <v>30</v>
      </c>
      <c r="E1070" s="143" t="s">
        <v>30</v>
      </c>
      <c r="F1070" s="144" t="s">
        <v>31</v>
      </c>
      <c r="G1070" s="143" t="s">
        <v>108</v>
      </c>
      <c r="H1070" s="145" t="s">
        <v>27</v>
      </c>
      <c r="I1070" s="147"/>
      <c r="J1070" s="146"/>
      <c r="K1070" s="146"/>
      <c r="L1070" s="146"/>
      <c r="M1070" s="146"/>
      <c r="N1070" s="146"/>
      <c r="O1070" s="146"/>
      <c r="P1070" s="146"/>
      <c r="Q1070" s="146"/>
      <c r="R1070" s="143"/>
      <c r="S1070" s="143"/>
      <c r="T1070" s="143"/>
      <c r="U1070" s="143" t="s">
        <v>109</v>
      </c>
      <c r="AA1070">
        <f>IF(COUNTIF('Call Queue'!$H$6:$H$20,V1070)&gt;0,0,IF(AND(ISNUMBER(N1070),N1070&gt;0),10000000+N1070,IF(ISNUMBER(N1070*1),IF(N1070*1&gt;0,10000000+N1070*1,0),0))+IF(ISNUMBER(SEARCH("(",L1070)),1000000+IFERROR(VALUE(SUBSTITUTE(SUBSTITUTE(SUBSTITUTE(MID(L1070,SEARCH("(",L1070)+1,SEARCH(")",L1070)-SEARCH("(",L1070)-1),"$",""),",","")," ","")),0),0))</f>
        <v>0</v>
      </c>
    </row>
    <row r="1071" spans="1:27">
      <c r="A1071" s="137">
        <v>45825</v>
      </c>
      <c r="B1071" s="138" t="s">
        <v>110</v>
      </c>
      <c r="C1071" s="138" t="s">
        <v>111</v>
      </c>
      <c r="D1071" s="138" t="s">
        <v>112</v>
      </c>
      <c r="E1071" s="138">
        <v>85379</v>
      </c>
      <c r="F1071" s="139" t="s">
        <v>31</v>
      </c>
      <c r="G1071" s="138" t="s">
        <v>113</v>
      </c>
      <c r="H1071" s="140" t="s">
        <v>27</v>
      </c>
      <c r="I1071" s="148"/>
      <c r="J1071" s="141"/>
      <c r="K1071" s="141"/>
      <c r="L1071" s="141"/>
      <c r="M1071" s="141"/>
      <c r="N1071" s="141"/>
      <c r="O1071" s="141"/>
      <c r="P1071" s="141"/>
      <c r="Q1071" s="141"/>
      <c r="R1071" s="138"/>
      <c r="S1071" s="138"/>
      <c r="T1071" s="138"/>
      <c r="U1071" s="138"/>
      <c r="AA1071">
        <f>IF(COUNTIF('Call Queue'!$H$6:$H$20,V1071)&gt;0,0,IF(AND(ISNUMBER(N1071),N1071&gt;0),10000000+N1071,IF(ISNUMBER(N1071*1),IF(N1071*1&gt;0,10000000+N1071*1,0),0))+IF(ISNUMBER(SEARCH("(",L1071)),1000000+IFERROR(VALUE(SUBSTITUTE(SUBSTITUTE(SUBSTITUTE(MID(L1071,SEARCH("(",L1071)+1,SEARCH(")",L1071)-SEARCH("(",L1071)-1),"$",""),",","")," ","")),0),0))</f>
        <v>0</v>
      </c>
    </row>
    <row r="1072" spans="1:27">
      <c r="A1072" s="142">
        <v>45825</v>
      </c>
      <c r="B1072" s="143" t="s">
        <v>114</v>
      </c>
      <c r="C1072" s="143" t="s">
        <v>115</v>
      </c>
      <c r="D1072" s="143" t="s">
        <v>112</v>
      </c>
      <c r="E1072" s="143">
        <v>85387</v>
      </c>
      <c r="F1072" s="144" t="s">
        <v>31</v>
      </c>
      <c r="G1072" s="143" t="s">
        <v>113</v>
      </c>
      <c r="H1072" s="145" t="s">
        <v>27</v>
      </c>
      <c r="I1072" s="147"/>
      <c r="J1072" s="146"/>
      <c r="K1072" s="146"/>
      <c r="L1072" s="146"/>
      <c r="M1072" s="146"/>
      <c r="N1072" s="146"/>
      <c r="O1072" s="146"/>
      <c r="P1072" s="146"/>
      <c r="Q1072" s="146"/>
      <c r="R1072" s="143"/>
      <c r="S1072" s="143"/>
      <c r="T1072" s="143"/>
      <c r="U1072" s="143"/>
      <c r="AA1072">
        <f>IF(COUNTIF('Call Queue'!$H$6:$H$20,V1072)&gt;0,0,IF(AND(ISNUMBER(N1072),N1072&gt;0),10000000+N1072,IF(ISNUMBER(N1072*1),IF(N1072*1&gt;0,10000000+N1072*1,0),0))+IF(ISNUMBER(SEARCH("(",L1072)),1000000+IFERROR(VALUE(SUBSTITUTE(SUBSTITUTE(SUBSTITUTE(MID(L1072,SEARCH("(",L1072)+1,SEARCH(")",L1072)-SEARCH("(",L1072)-1),"$",""),",","")," ","")),0),0))</f>
        <v>0</v>
      </c>
    </row>
    <row r="1073" spans="1:27">
      <c r="A1073" s="142">
        <v>45826</v>
      </c>
      <c r="B1073" s="143" t="s">
        <v>119</v>
      </c>
      <c r="C1073" s="143" t="s">
        <v>120</v>
      </c>
      <c r="D1073" s="143" t="s">
        <v>63</v>
      </c>
      <c r="E1073" s="143">
        <v>85027</v>
      </c>
      <c r="F1073" s="144" t="s">
        <v>31</v>
      </c>
      <c r="G1073" s="143" t="s">
        <v>121</v>
      </c>
      <c r="H1073" s="145" t="s">
        <v>27</v>
      </c>
      <c r="I1073" s="146"/>
      <c r="J1073" s="146"/>
      <c r="K1073" s="146"/>
      <c r="L1073" s="146"/>
      <c r="M1073" s="146"/>
      <c r="N1073" s="146"/>
      <c r="O1073" s="146"/>
      <c r="P1073" s="146"/>
      <c r="Q1073" s="146"/>
      <c r="R1073" s="143"/>
      <c r="S1073" s="143"/>
      <c r="T1073" s="143"/>
      <c r="U1073" s="143" t="s">
        <v>122</v>
      </c>
      <c r="AA1073">
        <f>IF(COUNTIF('Call Queue'!$H$6:$H$20,V1073)&gt;0,0,IF(AND(ISNUMBER(N1073),N1073&gt;0),10000000+N1073,IF(ISNUMBER(N1073*1),IF(N1073*1&gt;0,10000000+N1073*1,0),0))+IF(ISNUMBER(SEARCH("(",L1073)),1000000+IFERROR(VALUE(SUBSTITUTE(SUBSTITUTE(SUBSTITUTE(MID(L1073,SEARCH("(",L1073)+1,SEARCH(")",L1073)-SEARCH("(",L1073)-1),"$",""),",","")," ","")),0),0))</f>
        <v>0</v>
      </c>
    </row>
    <row r="1074" spans="1:27">
      <c r="A1074" s="137">
        <v>45826</v>
      </c>
      <c r="B1074" s="138" t="s">
        <v>134</v>
      </c>
      <c r="C1074" s="138" t="s">
        <v>135</v>
      </c>
      <c r="D1074" s="138" t="s">
        <v>136</v>
      </c>
      <c r="E1074" s="138" t="s">
        <v>30</v>
      </c>
      <c r="F1074" s="139" t="s">
        <v>31</v>
      </c>
      <c r="G1074" s="138" t="s">
        <v>137</v>
      </c>
      <c r="H1074" s="140" t="s">
        <v>27</v>
      </c>
      <c r="I1074" s="148"/>
      <c r="J1074" s="141"/>
      <c r="K1074" s="141"/>
      <c r="L1074" s="141"/>
      <c r="M1074" s="141"/>
      <c r="N1074" s="141"/>
      <c r="O1074" s="141"/>
      <c r="P1074" s="141"/>
      <c r="Q1074" s="141"/>
      <c r="R1074" s="138"/>
      <c r="S1074" s="138"/>
      <c r="T1074" s="138"/>
      <c r="U1074" s="138" t="s">
        <v>77</v>
      </c>
      <c r="AA1074">
        <f>IF(COUNTIF('Call Queue'!$H$6:$H$20,V1074)&gt;0,0,IF(AND(ISNUMBER(N1074),N1074&gt;0),10000000+N1074,IF(ISNUMBER(N1074*1),IF(N1074*1&gt;0,10000000+N1074*1,0),0))+IF(ISNUMBER(SEARCH("(",L1074)),1000000+IFERROR(VALUE(SUBSTITUTE(SUBSTITUTE(SUBSTITUTE(MID(L1074,SEARCH("(",L1074)+1,SEARCH(")",L1074)-SEARCH("(",L1074)-1),"$",""),",","")," ","")),0),0))</f>
        <v>0</v>
      </c>
    </row>
    <row r="1075" spans="1:27">
      <c r="A1075" s="142">
        <v>45826</v>
      </c>
      <c r="B1075" s="143" t="s">
        <v>150</v>
      </c>
      <c r="C1075" s="143" t="s">
        <v>133</v>
      </c>
      <c r="D1075" s="143" t="s">
        <v>30</v>
      </c>
      <c r="E1075" s="143" t="s">
        <v>30</v>
      </c>
      <c r="F1075" s="144" t="s">
        <v>31</v>
      </c>
      <c r="G1075" s="143" t="s">
        <v>151</v>
      </c>
      <c r="H1075" s="145" t="s">
        <v>27</v>
      </c>
      <c r="I1075" s="147"/>
      <c r="J1075" s="146"/>
      <c r="K1075" s="146"/>
      <c r="L1075" s="146"/>
      <c r="M1075" s="146"/>
      <c r="N1075" s="146"/>
      <c r="O1075" s="146"/>
      <c r="P1075" s="146"/>
      <c r="Q1075" s="146"/>
      <c r="R1075" s="143"/>
      <c r="S1075" s="143"/>
      <c r="T1075" s="143"/>
      <c r="U1075" s="143" t="s">
        <v>77</v>
      </c>
      <c r="AA1075">
        <f>IF(COUNTIF('Call Queue'!$H$6:$H$20,V1075)&gt;0,0,IF(AND(ISNUMBER(N1075),N1075&gt;0),10000000+N1075,IF(ISNUMBER(N1075*1),IF(N1075*1&gt;0,10000000+N1075*1,0),0))+IF(ISNUMBER(SEARCH("(",L1075)),1000000+IFERROR(VALUE(SUBSTITUTE(SUBSTITUTE(SUBSTITUTE(MID(L1075,SEARCH("(",L1075)+1,SEARCH(")",L1075)-SEARCH("(",L1075)-1),"$",""),",","")," ","")),0),0))</f>
        <v>0</v>
      </c>
    </row>
    <row r="1076" spans="1:27">
      <c r="A1076" s="137">
        <v>45826</v>
      </c>
      <c r="B1076" s="138" t="s">
        <v>160</v>
      </c>
      <c r="C1076" s="138" t="s">
        <v>117</v>
      </c>
      <c r="D1076" s="138" t="s">
        <v>24</v>
      </c>
      <c r="E1076" s="138">
        <v>85310</v>
      </c>
      <c r="F1076" s="139" t="s">
        <v>31</v>
      </c>
      <c r="G1076" s="138" t="s">
        <v>151</v>
      </c>
      <c r="H1076" s="140" t="s">
        <v>27</v>
      </c>
      <c r="I1076" s="148"/>
      <c r="J1076" s="141"/>
      <c r="K1076" s="141"/>
      <c r="L1076" s="141"/>
      <c r="M1076" s="141"/>
      <c r="N1076" s="141"/>
      <c r="O1076" s="141"/>
      <c r="P1076" s="141"/>
      <c r="Q1076" s="141"/>
      <c r="R1076" s="138"/>
      <c r="S1076" s="138"/>
      <c r="T1076" s="138"/>
      <c r="U1076" s="138" t="s">
        <v>77</v>
      </c>
      <c r="AA1076">
        <f>IF(COUNTIF('Call Queue'!$H$6:$H$20,V1076)&gt;0,0,IF(AND(ISNUMBER(N1076),N1076&gt;0),10000000+N1076,IF(ISNUMBER(N1076*1),IF(N1076*1&gt;0,10000000+N1076*1,0),0))+IF(ISNUMBER(SEARCH("(",L1076)),1000000+IFERROR(VALUE(SUBSTITUTE(SUBSTITUTE(SUBSTITUTE(MID(L1076,SEARCH("(",L1076)+1,SEARCH(")",L1076)-SEARCH("(",L1076)-1),"$",""),",","")," ","")),0),0))</f>
        <v>0</v>
      </c>
    </row>
    <row r="1077" spans="1:27" ht="24.75">
      <c r="A1077" s="137">
        <v>45827</v>
      </c>
      <c r="B1077" s="138" t="s">
        <v>167</v>
      </c>
      <c r="C1077" s="138" t="s">
        <v>168</v>
      </c>
      <c r="D1077" s="138" t="s">
        <v>169</v>
      </c>
      <c r="E1077" s="138" t="s">
        <v>30</v>
      </c>
      <c r="F1077" s="139" t="s">
        <v>170</v>
      </c>
      <c r="G1077" s="138" t="s">
        <v>171</v>
      </c>
      <c r="H1077" s="140" t="s">
        <v>27</v>
      </c>
      <c r="I1077" s="148"/>
      <c r="J1077" s="141"/>
      <c r="K1077" s="141"/>
      <c r="L1077" s="140"/>
      <c r="M1077" s="140"/>
      <c r="N1077" s="140"/>
      <c r="O1077" s="141"/>
      <c r="P1077" s="141"/>
      <c r="Q1077" s="141"/>
      <c r="R1077" s="138"/>
      <c r="S1077" s="138"/>
      <c r="T1077" s="138"/>
      <c r="U1077" s="138" t="s">
        <v>77</v>
      </c>
      <c r="AA1077">
        <f>IF(COUNTIF('Call Queue'!$H$6:$H$20,V1077)&gt;0,0,IF(AND(ISNUMBER(N1077),N1077&gt;0),10000000+N1077,IF(ISNUMBER(N1077*1),IF(N1077*1&gt;0,10000000+N1077*1,0),0))+IF(ISNUMBER(SEARCH("(",L1077)),1000000+IFERROR(VALUE(SUBSTITUTE(SUBSTITUTE(SUBSTITUTE(MID(L1077,SEARCH("(",L1077)+1,SEARCH(")",L1077)-SEARCH("(",L1077)-1),"$",""),",","")," ","")),0),0))</f>
        <v>0</v>
      </c>
    </row>
    <row r="1078" spans="1:27">
      <c r="A1078" s="142">
        <v>45827</v>
      </c>
      <c r="B1078" s="143" t="s">
        <v>172</v>
      </c>
      <c r="C1078" s="143" t="s">
        <v>173</v>
      </c>
      <c r="D1078" s="143" t="s">
        <v>174</v>
      </c>
      <c r="E1078" s="143" t="s">
        <v>30</v>
      </c>
      <c r="F1078" s="144" t="s">
        <v>31</v>
      </c>
      <c r="G1078" s="143" t="s">
        <v>175</v>
      </c>
      <c r="H1078" s="145" t="s">
        <v>27</v>
      </c>
      <c r="I1078" s="147"/>
      <c r="J1078" s="146"/>
      <c r="K1078" s="146"/>
      <c r="L1078" s="145"/>
      <c r="M1078" s="145"/>
      <c r="N1078" s="145"/>
      <c r="O1078" s="146"/>
      <c r="P1078" s="146"/>
      <c r="Q1078" s="146"/>
      <c r="R1078" s="143"/>
      <c r="S1078" s="143"/>
      <c r="T1078" s="143"/>
      <c r="U1078" s="143" t="s">
        <v>77</v>
      </c>
      <c r="AA1078">
        <f>IF(COUNTIF('Call Queue'!$H$6:$H$20,V1078)&gt;0,0,IF(AND(ISNUMBER(N1078),N1078&gt;0),10000000+N1078,IF(ISNUMBER(N1078*1),IF(N1078*1&gt;0,10000000+N1078*1,0),0))+IF(ISNUMBER(SEARCH("(",L1078)),1000000+IFERROR(VALUE(SUBSTITUTE(SUBSTITUTE(SUBSTITUTE(MID(L1078,SEARCH("(",L1078)+1,SEARCH(")",L1078)-SEARCH("(",L1078)-1),"$",""),",","")," ","")),0),0))</f>
        <v>0</v>
      </c>
    </row>
    <row r="1079" spans="1:27">
      <c r="A1079" s="137">
        <v>45827</v>
      </c>
      <c r="B1079" s="138" t="s">
        <v>176</v>
      </c>
      <c r="C1079" s="138" t="s">
        <v>177</v>
      </c>
      <c r="D1079" s="138" t="s">
        <v>30</v>
      </c>
      <c r="E1079" s="138" t="s">
        <v>30</v>
      </c>
      <c r="F1079" s="139" t="s">
        <v>31</v>
      </c>
      <c r="G1079" s="138" t="s">
        <v>175</v>
      </c>
      <c r="H1079" s="140" t="s">
        <v>27</v>
      </c>
      <c r="I1079" s="148"/>
      <c r="J1079" s="141"/>
      <c r="K1079" s="141"/>
      <c r="L1079" s="140"/>
      <c r="M1079" s="140"/>
      <c r="N1079" s="140"/>
      <c r="O1079" s="141"/>
      <c r="P1079" s="141"/>
      <c r="Q1079" s="141"/>
      <c r="R1079" s="138"/>
      <c r="S1079" s="138"/>
      <c r="T1079" s="138"/>
      <c r="U1079" s="138" t="s">
        <v>77</v>
      </c>
      <c r="AA1079">
        <f>IF(COUNTIF('Call Queue'!$H$6:$H$20,V1079)&gt;0,0,IF(AND(ISNUMBER(N1079),N1079&gt;0),10000000+N1079,IF(ISNUMBER(N1079*1),IF(N1079*1&gt;0,10000000+N1079*1,0),0))+IF(ISNUMBER(SEARCH("(",L1079)),1000000+IFERROR(VALUE(SUBSTITUTE(SUBSTITUTE(SUBSTITUTE(MID(L1079,SEARCH("(",L1079)+1,SEARCH(")",L1079)-SEARCH("(",L1079)-1),"$",""),",","")," ","")),0),0))</f>
        <v>0</v>
      </c>
    </row>
    <row r="1080" spans="1:27">
      <c r="A1080" s="137">
        <v>45827</v>
      </c>
      <c r="B1080" s="138" t="s">
        <v>180</v>
      </c>
      <c r="C1080" s="138" t="s">
        <v>181</v>
      </c>
      <c r="D1080" s="138" t="s">
        <v>63</v>
      </c>
      <c r="E1080" s="138" t="s">
        <v>30</v>
      </c>
      <c r="F1080" s="139" t="s">
        <v>31</v>
      </c>
      <c r="G1080" s="138" t="s">
        <v>182</v>
      </c>
      <c r="H1080" s="140" t="s">
        <v>27</v>
      </c>
      <c r="I1080" s="148"/>
      <c r="J1080" s="141"/>
      <c r="K1080" s="141"/>
      <c r="L1080" s="140"/>
      <c r="M1080" s="140"/>
      <c r="N1080" s="140"/>
      <c r="O1080" s="141"/>
      <c r="P1080" s="141"/>
      <c r="Q1080" s="141"/>
      <c r="R1080" s="138"/>
      <c r="S1080" s="138"/>
      <c r="T1080" s="138"/>
      <c r="U1080" s="138"/>
      <c r="AA1080">
        <f>IF(COUNTIF('Call Queue'!$H$6:$H$20,V1080)&gt;0,0,IF(AND(ISNUMBER(N1080),N1080&gt;0),10000000+N1080,IF(ISNUMBER(N1080*1),IF(N1080*1&gt;0,10000000+N1080*1,0),0))+IF(ISNUMBER(SEARCH("(",L1080)),1000000+IFERROR(VALUE(SUBSTITUTE(SUBSTITUTE(SUBSTITUTE(MID(L1080,SEARCH("(",L1080)+1,SEARCH(")",L1080)-SEARCH("(",L1080)-1),"$",""),",","")," ","")),0),0))</f>
        <v>0</v>
      </c>
    </row>
    <row r="1081" spans="1:27">
      <c r="A1081" s="137">
        <v>45831</v>
      </c>
      <c r="B1081" s="138" t="s">
        <v>186</v>
      </c>
      <c r="C1081" s="138" t="s">
        <v>102</v>
      </c>
      <c r="D1081" s="138" t="s">
        <v>169</v>
      </c>
      <c r="E1081" s="138">
        <v>85338</v>
      </c>
      <c r="F1081" s="139" t="s">
        <v>31</v>
      </c>
      <c r="G1081" s="138"/>
      <c r="H1081" s="140" t="s">
        <v>27</v>
      </c>
      <c r="I1081" s="141"/>
      <c r="J1081" s="141"/>
      <c r="K1081" s="141"/>
      <c r="L1081" s="140"/>
      <c r="M1081" s="140"/>
      <c r="N1081" s="140"/>
      <c r="O1081" s="141"/>
      <c r="P1081" s="141"/>
      <c r="Q1081" s="141"/>
      <c r="R1081" s="138"/>
      <c r="S1081" s="138"/>
      <c r="T1081" s="138"/>
      <c r="U1081" s="138"/>
      <c r="AA1081">
        <f>IF(COUNTIF('Call Queue'!$H$6:$H$20,V1081)&gt;0,0,IF(AND(ISNUMBER(N1081),N1081&gt;0),10000000+N1081,IF(ISNUMBER(N1081*1),IF(N1081*1&gt;0,10000000+N1081*1,0),0))+IF(ISNUMBER(SEARCH("(",L1081)),1000000+IFERROR(VALUE(SUBSTITUTE(SUBSTITUTE(SUBSTITUTE(MID(L1081,SEARCH("(",L1081)+1,SEARCH(")",L1081)-SEARCH("(",L1081)-1),"$",""),",","")," ","")),0),0))</f>
        <v>0</v>
      </c>
    </row>
    <row r="1082" spans="1:27">
      <c r="A1082" s="142">
        <v>45831</v>
      </c>
      <c r="B1082" s="143" t="s">
        <v>187</v>
      </c>
      <c r="C1082" s="143" t="s">
        <v>188</v>
      </c>
      <c r="D1082" s="143" t="s">
        <v>174</v>
      </c>
      <c r="E1082" s="143">
        <v>85326</v>
      </c>
      <c r="F1082" s="144" t="s">
        <v>31</v>
      </c>
      <c r="G1082" s="143"/>
      <c r="H1082" s="145" t="s">
        <v>27</v>
      </c>
      <c r="I1082" s="146"/>
      <c r="J1082" s="146"/>
      <c r="K1082" s="146"/>
      <c r="L1082" s="145"/>
      <c r="M1082" s="145"/>
      <c r="N1082" s="145"/>
      <c r="O1082" s="146"/>
      <c r="P1082" s="146"/>
      <c r="Q1082" s="146"/>
      <c r="R1082" s="143"/>
      <c r="S1082" s="143"/>
      <c r="T1082" s="143"/>
      <c r="U1082" s="143"/>
      <c r="AA1082">
        <f>IF(COUNTIF('Call Queue'!$H$6:$H$20,V1082)&gt;0,0,IF(AND(ISNUMBER(N1082),N1082&gt;0),10000000+N1082,IF(ISNUMBER(N1082*1),IF(N1082*1&gt;0,10000000+N1082*1,0),0))+IF(ISNUMBER(SEARCH("(",L1082)),1000000+IFERROR(VALUE(SUBSTITUTE(SUBSTITUTE(SUBSTITUTE(MID(L1082,SEARCH("(",L1082)+1,SEARCH(")",L1082)-SEARCH("(",L1082)-1),"$",""),",","")," ","")),0),0))</f>
        <v>0</v>
      </c>
    </row>
    <row r="1083" spans="1:27">
      <c r="A1083" s="137">
        <v>45831</v>
      </c>
      <c r="B1083" s="138" t="s">
        <v>198</v>
      </c>
      <c r="C1083" s="138" t="s">
        <v>199</v>
      </c>
      <c r="D1083" s="138" t="s">
        <v>63</v>
      </c>
      <c r="E1083" s="138">
        <v>85085</v>
      </c>
      <c r="F1083" s="139" t="s">
        <v>25</v>
      </c>
      <c r="G1083" s="138"/>
      <c r="H1083" s="140" t="s">
        <v>90</v>
      </c>
      <c r="I1083" s="141"/>
      <c r="J1083" s="141"/>
      <c r="K1083" s="141"/>
      <c r="L1083" s="140"/>
      <c r="M1083" s="140"/>
      <c r="N1083" s="140"/>
      <c r="O1083" s="141"/>
      <c r="P1083" s="141"/>
      <c r="Q1083" s="141"/>
      <c r="R1083" s="138"/>
      <c r="S1083" s="138"/>
      <c r="T1083" s="138"/>
      <c r="U1083" s="138"/>
      <c r="AA1083">
        <f>IF(COUNTIF('Call Queue'!$H$6:$H$20,V1083)&gt;0,0,IF(AND(ISNUMBER(N1083),N1083&gt;0),10000000+N1083,IF(ISNUMBER(N1083*1),IF(N1083*1&gt;0,10000000+N1083*1,0),0))+IF(ISNUMBER(SEARCH("(",L1083)),1000000+IFERROR(VALUE(SUBSTITUTE(SUBSTITUTE(SUBSTITUTE(MID(L1083,SEARCH("(",L1083)+1,SEARCH(")",L1083)-SEARCH("(",L1083)-1),"$",""),",","")," ","")),0),0))</f>
        <v>0</v>
      </c>
    </row>
    <row r="1084" spans="1:27">
      <c r="A1084" s="137">
        <v>45831</v>
      </c>
      <c r="B1084" s="138" t="s">
        <v>205</v>
      </c>
      <c r="C1084" s="138" t="s">
        <v>206</v>
      </c>
      <c r="D1084" s="138" t="s">
        <v>30</v>
      </c>
      <c r="E1084" s="138" t="s">
        <v>30</v>
      </c>
      <c r="F1084" s="139" t="s">
        <v>25</v>
      </c>
      <c r="G1084" s="138"/>
      <c r="H1084" s="140" t="s">
        <v>27</v>
      </c>
      <c r="I1084" s="141"/>
      <c r="J1084" s="141"/>
      <c r="K1084" s="141"/>
      <c r="L1084" s="140"/>
      <c r="M1084" s="140"/>
      <c r="N1084" s="140"/>
      <c r="O1084" s="141"/>
      <c r="P1084" s="141"/>
      <c r="Q1084" s="141"/>
      <c r="R1084" s="138"/>
      <c r="S1084" s="138"/>
      <c r="T1084" s="138"/>
      <c r="U1084" s="138"/>
      <c r="AA1084">
        <f>IF(COUNTIF('Call Queue'!$H$6:$H$20,V1084)&gt;0,0,IF(AND(ISNUMBER(N1084),N1084&gt;0),10000000+N1084,IF(ISNUMBER(N1084*1),IF(N1084*1&gt;0,10000000+N1084*1,0),0))+IF(ISNUMBER(SEARCH("(",L1084)),1000000+IFERROR(VALUE(SUBSTITUTE(SUBSTITUTE(SUBSTITUTE(MID(L1084,SEARCH("(",L1084)+1,SEARCH(")",L1084)-SEARCH("(",L1084)-1),"$",""),",","")," ","")),0),0))</f>
        <v>0</v>
      </c>
    </row>
    <row r="1085" spans="1:27">
      <c r="A1085" s="142">
        <v>45833</v>
      </c>
      <c r="B1085" s="143" t="s">
        <v>214</v>
      </c>
      <c r="C1085" s="143" t="s">
        <v>215</v>
      </c>
      <c r="D1085" s="143" t="s">
        <v>30</v>
      </c>
      <c r="E1085" s="143" t="s">
        <v>30</v>
      </c>
      <c r="F1085" s="144" t="s">
        <v>31</v>
      </c>
      <c r="G1085" s="143"/>
      <c r="H1085" s="145" t="s">
        <v>27</v>
      </c>
      <c r="I1085" s="146"/>
      <c r="J1085" s="146"/>
      <c r="K1085" s="146"/>
      <c r="L1085" s="146"/>
      <c r="M1085" s="146"/>
      <c r="N1085" s="146"/>
      <c r="O1085" s="146"/>
      <c r="P1085" s="146"/>
      <c r="Q1085" s="146"/>
      <c r="R1085" s="143"/>
      <c r="S1085" s="143"/>
      <c r="T1085" s="143"/>
      <c r="U1085" s="143"/>
      <c r="AA1085">
        <f>IF(COUNTIF('Call Queue'!$H$6:$H$20,V1085)&gt;0,0,IF(AND(ISNUMBER(N1085),N1085&gt;0),10000000+N1085,IF(ISNUMBER(N1085*1),IF(N1085*1&gt;0,10000000+N1085*1,0),0))+IF(ISNUMBER(SEARCH("(",L1085)),1000000+IFERROR(VALUE(SUBSTITUTE(SUBSTITUTE(SUBSTITUTE(MID(L1085,SEARCH("(",L1085)+1,SEARCH(")",L1085)-SEARCH("(",L1085)-1),"$",""),",","")," ","")),0),0))</f>
        <v>0</v>
      </c>
    </row>
    <row r="1086" spans="1:27">
      <c r="A1086" s="137">
        <v>45835</v>
      </c>
      <c r="B1086" s="138" t="s">
        <v>216</v>
      </c>
      <c r="C1086" s="138" t="s">
        <v>217</v>
      </c>
      <c r="D1086" s="138" t="s">
        <v>125</v>
      </c>
      <c r="E1086" s="138">
        <v>85260</v>
      </c>
      <c r="F1086" s="139" t="s">
        <v>31</v>
      </c>
      <c r="G1086" s="138" t="s">
        <v>218</v>
      </c>
      <c r="H1086" s="140" t="s">
        <v>27</v>
      </c>
      <c r="I1086" s="141"/>
      <c r="J1086" s="141"/>
      <c r="K1086" s="141"/>
      <c r="L1086" s="141"/>
      <c r="M1086" s="141"/>
      <c r="N1086" s="141"/>
      <c r="O1086" s="141"/>
      <c r="P1086" s="141"/>
      <c r="Q1086" s="141"/>
      <c r="R1086" s="138"/>
      <c r="S1086" s="138"/>
      <c r="T1086" s="138"/>
      <c r="U1086" s="138"/>
      <c r="AA1086">
        <f>IF(COUNTIF('Call Queue'!$H$6:$H$20,V1086)&gt;0,0,IF(AND(ISNUMBER(N1086),N1086&gt;0),10000000+N1086,IF(ISNUMBER(N1086*1),IF(N1086*1&gt;0,10000000+N1086*1,0),0))+IF(ISNUMBER(SEARCH("(",L1086)),1000000+IFERROR(VALUE(SUBSTITUTE(SUBSTITUTE(SUBSTITUTE(MID(L1086,SEARCH("(",L1086)+1,SEARCH(")",L1086)-SEARCH("(",L1086)-1),"$",""),",","")," ","")),0),0))</f>
        <v>0</v>
      </c>
    </row>
    <row r="1087" spans="1:27">
      <c r="A1087" s="137">
        <v>45840</v>
      </c>
      <c r="B1087" s="138" t="s">
        <v>224</v>
      </c>
      <c r="C1087" s="138" t="s">
        <v>225</v>
      </c>
      <c r="D1087" s="138" t="s">
        <v>30</v>
      </c>
      <c r="E1087" s="138" t="s">
        <v>30</v>
      </c>
      <c r="F1087" s="139" t="s">
        <v>31</v>
      </c>
      <c r="G1087" s="138" t="s">
        <v>226</v>
      </c>
      <c r="H1087" s="140" t="s">
        <v>27</v>
      </c>
      <c r="I1087" s="141"/>
      <c r="J1087" s="141"/>
      <c r="K1087" s="141"/>
      <c r="L1087" s="141"/>
      <c r="M1087" s="141"/>
      <c r="N1087" s="141"/>
      <c r="O1087" s="141"/>
      <c r="P1087" s="141"/>
      <c r="Q1087" s="141"/>
      <c r="R1087" s="138"/>
      <c r="S1087" s="138"/>
      <c r="T1087" s="138"/>
      <c r="U1087" s="138" t="s">
        <v>77</v>
      </c>
      <c r="AA1087">
        <f>IF(COUNTIF('Call Queue'!$H$6:$H$20,V1087)&gt;0,0,IF(AND(ISNUMBER(N1087),N1087&gt;0),10000000+N1087,IF(ISNUMBER(N1087*1),IF(N1087*1&gt;0,10000000+N1087*1,0),0))+IF(ISNUMBER(SEARCH("(",L1087)),1000000+IFERROR(VALUE(SUBSTITUTE(SUBSTITUTE(SUBSTITUTE(MID(L1087,SEARCH("(",L1087)+1,SEARCH(")",L1087)-SEARCH("(",L1087)-1),"$",""),",","")," ","")),0),0))</f>
        <v>0</v>
      </c>
    </row>
    <row r="1088" spans="1:27">
      <c r="A1088" s="142">
        <v>45840</v>
      </c>
      <c r="B1088" s="143" t="s">
        <v>227</v>
      </c>
      <c r="C1088" s="143" t="s">
        <v>228</v>
      </c>
      <c r="D1088" s="143" t="s">
        <v>30</v>
      </c>
      <c r="E1088" s="143" t="s">
        <v>30</v>
      </c>
      <c r="F1088" s="144" t="s">
        <v>31</v>
      </c>
      <c r="G1088" s="143" t="s">
        <v>226</v>
      </c>
      <c r="H1088" s="145" t="s">
        <v>27</v>
      </c>
      <c r="I1088" s="149"/>
      <c r="J1088" s="146"/>
      <c r="K1088" s="146"/>
      <c r="L1088" s="146"/>
      <c r="M1088" s="146"/>
      <c r="N1088" s="146"/>
      <c r="O1088" s="146"/>
      <c r="P1088" s="146"/>
      <c r="Q1088" s="146"/>
      <c r="R1088" s="143"/>
      <c r="S1088" s="143"/>
      <c r="T1088" s="143"/>
      <c r="U1088" s="143" t="s">
        <v>77</v>
      </c>
      <c r="AA1088">
        <f>IF(COUNTIF('Call Queue'!$H$6:$H$20,V1088)&gt;0,0,IF(AND(ISNUMBER(N1088),N1088&gt;0),10000000+N1088,IF(ISNUMBER(N1088*1),IF(N1088*1&gt;0,10000000+N1088*1,0),0))+IF(ISNUMBER(SEARCH("(",L1088)),1000000+IFERROR(VALUE(SUBSTITUTE(SUBSTITUTE(SUBSTITUTE(MID(L1088,SEARCH("(",L1088)+1,SEARCH(")",L1088)-SEARCH("(",L1088)-1),"$",""),",","")," ","")),0),0))</f>
        <v>0</v>
      </c>
    </row>
    <row r="1089" spans="1:27">
      <c r="A1089" s="137">
        <v>45845</v>
      </c>
      <c r="B1089" s="138" t="s">
        <v>229</v>
      </c>
      <c r="C1089" s="138" t="s">
        <v>230</v>
      </c>
      <c r="D1089" s="138" t="s">
        <v>63</v>
      </c>
      <c r="E1089" s="138">
        <v>85022</v>
      </c>
      <c r="F1089" s="139" t="s">
        <v>31</v>
      </c>
      <c r="G1089" s="138" t="s">
        <v>231</v>
      </c>
      <c r="H1089" s="140" t="s">
        <v>27</v>
      </c>
      <c r="I1089" s="141"/>
      <c r="J1089" s="141"/>
      <c r="K1089" s="141"/>
      <c r="L1089" s="141"/>
      <c r="M1089" s="141"/>
      <c r="N1089" s="141"/>
      <c r="O1089" s="141"/>
      <c r="P1089" s="141"/>
      <c r="Q1089" s="141"/>
      <c r="R1089" s="138"/>
      <c r="S1089" s="138"/>
      <c r="T1089" s="138"/>
      <c r="U1089" s="138"/>
      <c r="AA1089">
        <f>IF(COUNTIF('Call Queue'!$H$6:$H$20,V1089)&gt;0,0,IF(AND(ISNUMBER(N1089),N1089&gt;0),10000000+N1089,IF(ISNUMBER(N1089*1),IF(N1089*1&gt;0,10000000+N1089*1,0),0))+IF(ISNUMBER(SEARCH("(",L1089)),1000000+IFERROR(VALUE(SUBSTITUTE(SUBSTITUTE(SUBSTITUTE(MID(L1089,SEARCH("(",L1089)+1,SEARCH(")",L1089)-SEARCH("(",L1089)-1),"$",""),",","")," ","")),0),0))</f>
        <v>0</v>
      </c>
    </row>
    <row r="1090" spans="1:27">
      <c r="A1090" s="137">
        <v>45848</v>
      </c>
      <c r="B1090" s="138" t="s">
        <v>251</v>
      </c>
      <c r="C1090" s="138" t="s">
        <v>252</v>
      </c>
      <c r="D1090" s="138" t="s">
        <v>253</v>
      </c>
      <c r="E1090" s="138">
        <v>87048</v>
      </c>
      <c r="F1090" s="139" t="s">
        <v>31</v>
      </c>
      <c r="G1090" s="138" t="s">
        <v>254</v>
      </c>
      <c r="H1090" s="140" t="s">
        <v>27</v>
      </c>
      <c r="I1090" s="141"/>
      <c r="J1090" s="141"/>
      <c r="K1090" s="141"/>
      <c r="L1090" s="141"/>
      <c r="M1090" s="141"/>
      <c r="N1090" s="141"/>
      <c r="O1090" s="141"/>
      <c r="P1090" s="141"/>
      <c r="Q1090" s="141"/>
      <c r="R1090" s="138"/>
      <c r="S1090" s="138"/>
      <c r="T1090" s="138"/>
      <c r="U1090" s="138"/>
      <c r="AA1090">
        <f>IF(COUNTIF('Call Queue'!$H$6:$H$20,V1090)&gt;0,0,IF(AND(ISNUMBER(N1090),N1090&gt;0),10000000+N1090,IF(ISNUMBER(N1090*1),IF(N1090*1&gt;0,10000000+N1090*1,0),0))+IF(ISNUMBER(SEARCH("(",L1090)),1000000+IFERROR(VALUE(SUBSTITUTE(SUBSTITUTE(SUBSTITUTE(MID(L1090,SEARCH("(",L1090)+1,SEARCH(")",L1090)-SEARCH("(",L1090)-1),"$",""),",","")," ","")),0),0))</f>
        <v>0</v>
      </c>
    </row>
    <row r="1091" spans="1:27">
      <c r="A1091" s="142">
        <v>45848</v>
      </c>
      <c r="B1091" s="143" t="s">
        <v>255</v>
      </c>
      <c r="C1091" s="143" t="s">
        <v>256</v>
      </c>
      <c r="D1091" s="143" t="s">
        <v>89</v>
      </c>
      <c r="E1091" s="143">
        <v>86336</v>
      </c>
      <c r="F1091" s="144" t="s">
        <v>257</v>
      </c>
      <c r="G1091" s="143" t="s">
        <v>254</v>
      </c>
      <c r="H1091" s="145" t="s">
        <v>90</v>
      </c>
      <c r="I1091" s="146"/>
      <c r="J1091" s="146"/>
      <c r="K1091" s="146"/>
      <c r="L1091" s="146"/>
      <c r="M1091" s="146"/>
      <c r="N1091" s="146"/>
      <c r="O1091" s="146"/>
      <c r="P1091" s="146"/>
      <c r="Q1091" s="146"/>
      <c r="R1091" s="143"/>
      <c r="S1091" s="143"/>
      <c r="T1091" s="143"/>
      <c r="U1091" s="143"/>
      <c r="AA1091">
        <f>IF(COUNTIF('Call Queue'!$H$6:$H$20,V1091)&gt;0,0,IF(AND(ISNUMBER(N1091),N1091&gt;0),10000000+N1091,IF(ISNUMBER(N1091*1),IF(N1091*1&gt;0,10000000+N1091*1,0),0))+IF(ISNUMBER(SEARCH("(",L1091)),1000000+IFERROR(VALUE(SUBSTITUTE(SUBSTITUTE(SUBSTITUTE(MID(L1091,SEARCH("(",L1091)+1,SEARCH(")",L1091)-SEARCH("(",L1091)-1),"$",""),",","")," ","")),0),0))</f>
        <v>0</v>
      </c>
    </row>
    <row r="1092" spans="1:27">
      <c r="A1092" s="142">
        <v>45861</v>
      </c>
      <c r="B1092" s="143" t="s">
        <v>281</v>
      </c>
      <c r="C1092" s="143" t="s">
        <v>153</v>
      </c>
      <c r="D1092" s="143" t="s">
        <v>30</v>
      </c>
      <c r="E1092" s="143" t="s">
        <v>30</v>
      </c>
      <c r="F1092" s="144" t="s">
        <v>282</v>
      </c>
      <c r="G1092" s="143" t="s">
        <v>277</v>
      </c>
      <c r="H1092" s="145" t="s">
        <v>27</v>
      </c>
      <c r="I1092" s="146"/>
      <c r="J1092" s="146"/>
      <c r="K1092" s="146"/>
      <c r="L1092" s="146"/>
      <c r="M1092" s="146"/>
      <c r="N1092" s="146"/>
      <c r="O1092" s="146"/>
      <c r="P1092" s="146"/>
      <c r="Q1092" s="146"/>
      <c r="R1092" s="143"/>
      <c r="S1092" s="143"/>
      <c r="T1092" s="143"/>
      <c r="U1092" s="143"/>
      <c r="AA1092">
        <f>IF(COUNTIF('Call Queue'!$H$6:$H$20,V1092)&gt;0,0,IF(AND(ISNUMBER(N1092),N1092&gt;0),10000000+N1092,IF(ISNUMBER(N1092*1),IF(N1092*1&gt;0,10000000+N1092*1,0),0))+IF(ISNUMBER(SEARCH("(",L1092)),1000000+IFERROR(VALUE(SUBSTITUTE(SUBSTITUTE(SUBSTITUTE(MID(L1092,SEARCH("(",L1092)+1,SEARCH(")",L1092)-SEARCH("(",L1092)-1),"$",""),",","")," ","")),0),0))</f>
        <v>0</v>
      </c>
    </row>
    <row r="1093" spans="1:27">
      <c r="A1093" s="142">
        <v>45883</v>
      </c>
      <c r="B1093" s="143" t="s">
        <v>290</v>
      </c>
      <c r="C1093" s="143" t="s">
        <v>291</v>
      </c>
      <c r="D1093" s="143" t="s">
        <v>63</v>
      </c>
      <c r="E1093" s="143">
        <v>85023</v>
      </c>
      <c r="F1093" s="144" t="s">
        <v>31</v>
      </c>
      <c r="G1093" s="143" t="s">
        <v>286</v>
      </c>
      <c r="H1093" s="145" t="s">
        <v>27</v>
      </c>
      <c r="I1093" s="146"/>
      <c r="J1093" s="146"/>
      <c r="K1093" s="146"/>
      <c r="L1093" s="146"/>
      <c r="M1093" s="146"/>
      <c r="N1093" s="146"/>
      <c r="O1093" s="146"/>
      <c r="P1093" s="146"/>
      <c r="Q1093" s="146"/>
      <c r="R1093" s="143"/>
      <c r="S1093" s="143"/>
      <c r="T1093" s="143"/>
      <c r="U1093" s="143"/>
      <c r="AA1093">
        <f>IF(COUNTIF('Call Queue'!$H$6:$H$20,V1093)&gt;0,0,IF(AND(ISNUMBER(N1093),N1093&gt;0),10000000+N1093,IF(ISNUMBER(N1093*1),IF(N1093*1&gt;0,10000000+N1093*1,0),0))+IF(ISNUMBER(SEARCH("(",L1093)),1000000+IFERROR(VALUE(SUBSTITUTE(SUBSTITUTE(SUBSTITUTE(MID(L1093,SEARCH("(",L1093)+1,SEARCH(")",L1093)-SEARCH("(",L1093)-1),"$",""),",","")," ","")),0),0))</f>
        <v>0</v>
      </c>
    </row>
    <row r="1094" spans="1:27">
      <c r="A1094" s="137">
        <v>45895</v>
      </c>
      <c r="B1094" s="138" t="s">
        <v>292</v>
      </c>
      <c r="C1094" s="138" t="s">
        <v>135</v>
      </c>
      <c r="D1094" s="138" t="s">
        <v>293</v>
      </c>
      <c r="E1094" s="138">
        <v>85139</v>
      </c>
      <c r="F1094" s="139" t="s">
        <v>294</v>
      </c>
      <c r="G1094" s="138" t="s">
        <v>295</v>
      </c>
      <c r="H1094" s="140" t="s">
        <v>27</v>
      </c>
      <c r="I1094" s="141"/>
      <c r="J1094" s="141"/>
      <c r="K1094" s="141"/>
      <c r="L1094" s="141"/>
      <c r="M1094" s="141"/>
      <c r="N1094" s="141"/>
      <c r="O1094" s="141"/>
      <c r="P1094" s="141"/>
      <c r="Q1094" s="141"/>
      <c r="R1094" s="138"/>
      <c r="S1094" s="138"/>
      <c r="T1094" s="138"/>
      <c r="U1094" s="138"/>
      <c r="AA1094">
        <f>IF(COUNTIF('Call Queue'!$H$6:$H$20,V1094)&gt;0,0,IF(AND(ISNUMBER(N1094),N1094&gt;0),10000000+N1094,IF(ISNUMBER(N1094*1),IF(N1094*1&gt;0,10000000+N1094*1,0),0))+IF(ISNUMBER(SEARCH("(",L1094)),1000000+IFERROR(VALUE(SUBSTITUTE(SUBSTITUTE(SUBSTITUTE(MID(L1094,SEARCH("(",L1094)+1,SEARCH(")",L1094)-SEARCH("(",L1094)-1),"$",""),",","")," ","")),0),0))</f>
        <v>0</v>
      </c>
    </row>
    <row r="1095" spans="1:27">
      <c r="A1095" s="142">
        <v>45902</v>
      </c>
      <c r="B1095" s="143" t="s">
        <v>304</v>
      </c>
      <c r="C1095" s="143" t="s">
        <v>225</v>
      </c>
      <c r="D1095" s="143" t="s">
        <v>125</v>
      </c>
      <c r="E1095" s="143">
        <v>85254</v>
      </c>
      <c r="F1095" s="144" t="s">
        <v>305</v>
      </c>
      <c r="G1095" s="143" t="s">
        <v>303</v>
      </c>
      <c r="H1095" s="145" t="s">
        <v>27</v>
      </c>
      <c r="I1095" s="146"/>
      <c r="J1095" s="146"/>
      <c r="K1095" s="146"/>
      <c r="L1095" s="146"/>
      <c r="M1095" s="146"/>
      <c r="N1095" s="146"/>
      <c r="O1095" s="146"/>
      <c r="P1095" s="146"/>
      <c r="Q1095" s="146"/>
      <c r="R1095" s="143"/>
      <c r="S1095" s="143"/>
      <c r="T1095" s="143"/>
      <c r="U1095" s="143"/>
      <c r="AA1095">
        <f>IF(COUNTIF('Call Queue'!$H$6:$H$20,V1095)&gt;0,0,IF(AND(ISNUMBER(N1095),N1095&gt;0),10000000+N1095,IF(ISNUMBER(N1095*1),IF(N1095*1&gt;0,10000000+N1095*1,0),0))+IF(ISNUMBER(SEARCH("(",L1095)),1000000+IFERROR(VALUE(SUBSTITUTE(SUBSTITUTE(SUBSTITUTE(MID(L1095,SEARCH("(",L1095)+1,SEARCH(")",L1095)-SEARCH("(",L1095)-1),"$",""),",","")," ","")),0),0))</f>
        <v>0</v>
      </c>
    </row>
    <row r="1096" spans="1:27">
      <c r="A1096" s="137">
        <v>56859</v>
      </c>
      <c r="B1096" s="138" t="s">
        <v>306</v>
      </c>
      <c r="C1096" s="138" t="s">
        <v>307</v>
      </c>
      <c r="D1096" s="138" t="s">
        <v>202</v>
      </c>
      <c r="E1096" s="138">
        <v>85382</v>
      </c>
      <c r="F1096" s="139" t="s">
        <v>305</v>
      </c>
      <c r="G1096" s="138" t="s">
        <v>303</v>
      </c>
      <c r="H1096" s="140" t="s">
        <v>27</v>
      </c>
      <c r="I1096" s="141"/>
      <c r="J1096" s="141"/>
      <c r="K1096" s="141"/>
      <c r="L1096" s="141"/>
      <c r="M1096" s="141"/>
      <c r="N1096" s="141"/>
      <c r="O1096" s="141"/>
      <c r="P1096" s="141"/>
      <c r="Q1096" s="141"/>
      <c r="R1096" s="138"/>
      <c r="S1096" s="138"/>
      <c r="T1096" s="138"/>
      <c r="U1096" s="138"/>
      <c r="AA1096">
        <f>IF(COUNTIF('Call Queue'!$H$6:$H$20,V1096)&gt;0,0,IF(AND(ISNUMBER(N1096),N1096&gt;0),10000000+N1096,IF(ISNUMBER(N1096*1),IF(N1096*1&gt;0,10000000+N1096*1,0),0))+IF(ISNUMBER(SEARCH("(",L1096)),1000000+IFERROR(VALUE(SUBSTITUTE(SUBSTITUTE(SUBSTITUTE(MID(L1096,SEARCH("(",L1096)+1,SEARCH(")",L1096)-SEARCH("(",L1096)-1),"$",""),",","")," ","")),0),0))</f>
        <v>0</v>
      </c>
    </row>
    <row r="1097" spans="1:27">
      <c r="A1097" s="142">
        <v>45902</v>
      </c>
      <c r="B1097" s="143" t="s">
        <v>308</v>
      </c>
      <c r="C1097" s="143" t="s">
        <v>309</v>
      </c>
      <c r="D1097" s="143" t="s">
        <v>112</v>
      </c>
      <c r="E1097" s="143">
        <v>85387</v>
      </c>
      <c r="F1097" s="143" t="s">
        <v>310</v>
      </c>
      <c r="G1097" s="143" t="s">
        <v>303</v>
      </c>
      <c r="H1097" s="145" t="s">
        <v>27</v>
      </c>
      <c r="I1097" s="146"/>
      <c r="J1097" s="146"/>
      <c r="K1097" s="146"/>
      <c r="L1097" s="146"/>
      <c r="M1097" s="146"/>
      <c r="N1097" s="146"/>
      <c r="O1097" s="146"/>
      <c r="P1097" s="146"/>
      <c r="Q1097" s="146"/>
      <c r="R1097" s="143"/>
      <c r="S1097" s="143"/>
      <c r="T1097" s="143"/>
      <c r="U1097" s="143"/>
      <c r="AA1097">
        <f>IF(COUNTIF('Call Queue'!$H$6:$H$20,V1097)&gt;0,0,IF(AND(ISNUMBER(N1097),N1097&gt;0),10000000+N1097,IF(ISNUMBER(N1097*1),IF(N1097*1&gt;0,10000000+N1097*1,0),0))+IF(ISNUMBER(SEARCH("(",L1097)),1000000+IFERROR(VALUE(SUBSTITUTE(SUBSTITUTE(SUBSTITUTE(MID(L1097,SEARCH("(",L1097)+1,SEARCH(")",L1097)-SEARCH("(",L1097)-1),"$",""),",","")," ","")),0),0))</f>
        <v>0</v>
      </c>
    </row>
    <row r="1098" spans="1:27">
      <c r="A1098" s="142">
        <v>45902</v>
      </c>
      <c r="B1098" s="143" t="s">
        <v>314</v>
      </c>
      <c r="C1098" s="143" t="s">
        <v>315</v>
      </c>
      <c r="D1098" s="143" t="s">
        <v>174</v>
      </c>
      <c r="E1098" s="143">
        <v>85326</v>
      </c>
      <c r="F1098" s="144" t="s">
        <v>31</v>
      </c>
      <c r="G1098" s="143" t="s">
        <v>303</v>
      </c>
      <c r="H1098" s="145" t="s">
        <v>27</v>
      </c>
      <c r="I1098" s="146"/>
      <c r="J1098" s="146"/>
      <c r="K1098" s="146"/>
      <c r="L1098" s="146"/>
      <c r="M1098" s="146"/>
      <c r="N1098" s="146"/>
      <c r="O1098" s="146"/>
      <c r="P1098" s="146"/>
      <c r="Q1098" s="146"/>
      <c r="R1098" s="143"/>
      <c r="S1098" s="143"/>
      <c r="T1098" s="143"/>
      <c r="U1098" s="143"/>
      <c r="AA1098">
        <f>IF(COUNTIF('Call Queue'!$H$6:$H$20,V1098)&gt;0,0,IF(AND(ISNUMBER(N1098),N1098&gt;0),10000000+N1098,IF(ISNUMBER(N1098*1),IF(N1098*1&gt;0,10000000+N1098*1,0),0))+IF(ISNUMBER(SEARCH("(",L1098)),1000000+IFERROR(VALUE(SUBSTITUTE(SUBSTITUTE(SUBSTITUTE(MID(L1098,SEARCH("(",L1098)+1,SEARCH(")",L1098)-SEARCH("(",L1098)-1),"$",""),",","")," ","")),0),0))</f>
        <v>0</v>
      </c>
    </row>
    <row r="1099" spans="1:27">
      <c r="A1099" s="137">
        <v>45902</v>
      </c>
      <c r="B1099" s="138" t="s">
        <v>381</v>
      </c>
      <c r="C1099" s="138" t="s">
        <v>382</v>
      </c>
      <c r="D1099" s="138" t="s">
        <v>202</v>
      </c>
      <c r="E1099" s="138">
        <v>85345</v>
      </c>
      <c r="F1099" s="139" t="s">
        <v>31</v>
      </c>
      <c r="G1099" s="138" t="s">
        <v>303</v>
      </c>
      <c r="H1099" s="140" t="s">
        <v>27</v>
      </c>
      <c r="I1099" s="141"/>
      <c r="J1099" s="141"/>
      <c r="K1099" s="141"/>
      <c r="L1099" s="141"/>
      <c r="M1099" s="141"/>
      <c r="N1099" s="141"/>
      <c r="O1099" s="141"/>
      <c r="P1099" s="141"/>
      <c r="Q1099" s="141"/>
      <c r="R1099" s="138"/>
      <c r="S1099" s="138"/>
      <c r="T1099" s="138"/>
      <c r="U1099" s="138"/>
      <c r="AA1099">
        <f>IF(COUNTIF('Call Queue'!$H$6:$H$20,V1099)&gt;0,0,IF(AND(ISNUMBER(N1099),N1099&gt;0),10000000+N1099,IF(ISNUMBER(N1099*1),IF(N1099*1&gt;0,10000000+N1099*1,0),0))+IF(ISNUMBER(SEARCH("(",L1099)),1000000+IFERROR(VALUE(SUBSTITUTE(SUBSTITUTE(SUBSTITUTE(MID(L1099,SEARCH("(",L1099)+1,SEARCH(")",L1099)-SEARCH("(",L1099)-1),"$",""),",","")," ","")),0),0))</f>
        <v>0</v>
      </c>
    </row>
    <row r="1100" spans="1:27">
      <c r="A1100" s="137">
        <v>45902</v>
      </c>
      <c r="B1100" s="138" t="s">
        <v>419</v>
      </c>
      <c r="C1100" s="138" t="s">
        <v>420</v>
      </c>
      <c r="D1100" s="138" t="s">
        <v>174</v>
      </c>
      <c r="E1100" s="138">
        <v>85326</v>
      </c>
      <c r="F1100" s="139" t="s">
        <v>31</v>
      </c>
      <c r="G1100" s="138" t="s">
        <v>303</v>
      </c>
      <c r="H1100" s="140" t="s">
        <v>27</v>
      </c>
      <c r="I1100" s="141"/>
      <c r="J1100" s="141"/>
      <c r="K1100" s="141"/>
      <c r="L1100" s="141"/>
      <c r="M1100" s="141"/>
      <c r="N1100" s="141"/>
      <c r="O1100" s="141"/>
      <c r="P1100" s="141"/>
      <c r="Q1100" s="141"/>
      <c r="R1100" s="138"/>
      <c r="S1100" s="138"/>
      <c r="T1100" s="138"/>
      <c r="U1100" s="138"/>
      <c r="AA1100">
        <f>IF(COUNTIF('Call Queue'!$H$6:$H$20,V1100)&gt;0,0,IF(AND(ISNUMBER(N1100),N1100&gt;0),10000000+N1100,IF(ISNUMBER(N1100*1),IF(N1100*1&gt;0,10000000+N1100*1,0),0))+IF(ISNUMBER(SEARCH("(",L1100)),1000000+IFERROR(VALUE(SUBSTITUTE(SUBSTITUTE(SUBSTITUTE(MID(L1100,SEARCH("(",L1100)+1,SEARCH(")",L1100)-SEARCH("(",L1100)-1),"$",""),",","")," ","")),0),0))</f>
        <v>0</v>
      </c>
    </row>
    <row r="1101" spans="1:27">
      <c r="A1101" s="137">
        <v>45902</v>
      </c>
      <c r="B1101" s="138" t="s">
        <v>424</v>
      </c>
      <c r="C1101" s="138" t="s">
        <v>425</v>
      </c>
      <c r="D1101" s="138" t="s">
        <v>240</v>
      </c>
      <c r="E1101" s="138">
        <v>85340</v>
      </c>
      <c r="F1101" s="138" t="s">
        <v>310</v>
      </c>
      <c r="G1101" s="138" t="s">
        <v>303</v>
      </c>
      <c r="H1101" s="140" t="s">
        <v>27</v>
      </c>
      <c r="I1101" s="141"/>
      <c r="J1101" s="141"/>
      <c r="K1101" s="141"/>
      <c r="L1101" s="141"/>
      <c r="M1101" s="141"/>
      <c r="N1101" s="141"/>
      <c r="O1101" s="141"/>
      <c r="P1101" s="141"/>
      <c r="Q1101" s="141"/>
      <c r="R1101" s="138"/>
      <c r="S1101" s="138"/>
      <c r="T1101" s="138"/>
      <c r="U1101" s="138"/>
      <c r="AA1101">
        <f>IF(COUNTIF('Call Queue'!$H$6:$H$20,V1101)&gt;0,0,IF(AND(ISNUMBER(N1101),N1101&gt;0),10000000+N1101,IF(ISNUMBER(N1101*1),IF(N1101*1&gt;0,10000000+N1101*1,0),0))+IF(ISNUMBER(SEARCH("(",L1101)),1000000+IFERROR(VALUE(SUBSTITUTE(SUBSTITUTE(SUBSTITUTE(MID(L1101,SEARCH("(",L1101)+1,SEARCH(")",L1101)-SEARCH("(",L1101)-1),"$",""),",","")," ","")),0),0))</f>
        <v>0</v>
      </c>
    </row>
    <row r="1102" spans="1:27">
      <c r="A1102" s="142">
        <v>45902</v>
      </c>
      <c r="B1102" s="143" t="s">
        <v>426</v>
      </c>
      <c r="C1102" s="143" t="s">
        <v>427</v>
      </c>
      <c r="D1102" s="143" t="s">
        <v>428</v>
      </c>
      <c r="E1102" s="143">
        <v>85335</v>
      </c>
      <c r="F1102" s="144" t="s">
        <v>31</v>
      </c>
      <c r="G1102" s="143" t="s">
        <v>303</v>
      </c>
      <c r="H1102" s="145" t="s">
        <v>27</v>
      </c>
      <c r="I1102" s="146"/>
      <c r="J1102" s="146"/>
      <c r="K1102" s="146"/>
      <c r="L1102" s="146"/>
      <c r="M1102" s="146"/>
      <c r="N1102" s="146"/>
      <c r="O1102" s="146"/>
      <c r="P1102" s="146"/>
      <c r="Q1102" s="146"/>
      <c r="R1102" s="143"/>
      <c r="S1102" s="143"/>
      <c r="T1102" s="143"/>
      <c r="U1102" s="143"/>
      <c r="AA1102">
        <f>IF(COUNTIF('Call Queue'!$H$6:$H$20,V1102)&gt;0,0,IF(AND(ISNUMBER(N1102),N1102&gt;0),10000000+N1102,IF(ISNUMBER(N1102*1),IF(N1102*1&gt;0,10000000+N1102*1,0),0))+IF(ISNUMBER(SEARCH("(",L1102)),1000000+IFERROR(VALUE(SUBSTITUTE(SUBSTITUTE(SUBSTITUTE(MID(L1102,SEARCH("(",L1102)+1,SEARCH(")",L1102)-SEARCH("(",L1102)-1),"$",""),",","")," ","")),0),0))</f>
        <v>0</v>
      </c>
    </row>
    <row r="1103" spans="1:27">
      <c r="A1103" s="142">
        <v>45902</v>
      </c>
      <c r="B1103" s="143" t="s">
        <v>447</v>
      </c>
      <c r="C1103" s="143" t="s">
        <v>328</v>
      </c>
      <c r="D1103" s="143" t="s">
        <v>448</v>
      </c>
      <c r="E1103" s="143">
        <v>85361</v>
      </c>
      <c r="F1103" s="143" t="s">
        <v>310</v>
      </c>
      <c r="G1103" s="143" t="s">
        <v>303</v>
      </c>
      <c r="H1103" s="145" t="s">
        <v>27</v>
      </c>
      <c r="I1103" s="146"/>
      <c r="J1103" s="146"/>
      <c r="K1103" s="146"/>
      <c r="L1103" s="146"/>
      <c r="M1103" s="146"/>
      <c r="N1103" s="146"/>
      <c r="O1103" s="146"/>
      <c r="P1103" s="146"/>
      <c r="Q1103" s="146"/>
      <c r="R1103" s="143"/>
      <c r="S1103" s="143"/>
      <c r="T1103" s="143"/>
      <c r="U1103" s="143"/>
      <c r="AA1103">
        <f>IF(COUNTIF('Call Queue'!$H$6:$H$20,V1103)&gt;0,0,IF(AND(ISNUMBER(N1103),N1103&gt;0),10000000+N1103,IF(ISNUMBER(N1103*1),IF(N1103*1&gt;0,10000000+N1103*1,0),0))+IF(ISNUMBER(SEARCH("(",L1103)),1000000+IFERROR(VALUE(SUBSTITUTE(SUBSTITUTE(SUBSTITUTE(MID(L1103,SEARCH("(",L1103)+1,SEARCH(")",L1103)-SEARCH("(",L1103)-1),"$",""),",","")," ","")),0),0))</f>
        <v>0</v>
      </c>
    </row>
    <row r="1104" spans="1:27">
      <c r="A1104" s="142">
        <v>45902</v>
      </c>
      <c r="B1104" s="143" t="s">
        <v>451</v>
      </c>
      <c r="C1104" s="143" t="s">
        <v>452</v>
      </c>
      <c r="D1104" s="143" t="s">
        <v>202</v>
      </c>
      <c r="E1104" s="143">
        <v>85345</v>
      </c>
      <c r="F1104" s="143" t="s">
        <v>310</v>
      </c>
      <c r="G1104" s="143" t="s">
        <v>303</v>
      </c>
      <c r="H1104" s="145" t="s">
        <v>27</v>
      </c>
      <c r="I1104" s="146"/>
      <c r="J1104" s="146"/>
      <c r="K1104" s="146"/>
      <c r="L1104" s="146"/>
      <c r="M1104" s="146"/>
      <c r="N1104" s="146"/>
      <c r="O1104" s="146"/>
      <c r="P1104" s="146"/>
      <c r="Q1104" s="146"/>
      <c r="R1104" s="143"/>
      <c r="S1104" s="143"/>
      <c r="T1104" s="143"/>
      <c r="U1104" s="143"/>
      <c r="AA1104">
        <f>IF(COUNTIF('Call Queue'!$H$6:$H$20,V1104)&gt;0,0,IF(AND(ISNUMBER(N1104),N1104&gt;0),10000000+N1104,IF(ISNUMBER(N1104*1),IF(N1104*1&gt;0,10000000+N1104*1,0),0))+IF(ISNUMBER(SEARCH("(",L1104)),1000000+IFERROR(VALUE(SUBSTITUTE(SUBSTITUTE(SUBSTITUTE(MID(L1104,SEARCH("(",L1104)+1,SEARCH(")",L1104)-SEARCH("(",L1104)-1),"$",""),",","")," ","")),0),0))</f>
        <v>0</v>
      </c>
    </row>
    <row r="1105" spans="1:27">
      <c r="A1105" s="137">
        <v>45902</v>
      </c>
      <c r="B1105" s="138" t="s">
        <v>473</v>
      </c>
      <c r="C1105" s="138" t="s">
        <v>474</v>
      </c>
      <c r="D1105" s="138" t="s">
        <v>169</v>
      </c>
      <c r="E1105" s="138">
        <v>85395</v>
      </c>
      <c r="F1105" s="138" t="s">
        <v>310</v>
      </c>
      <c r="G1105" s="138" t="s">
        <v>303</v>
      </c>
      <c r="H1105" s="140" t="s">
        <v>27</v>
      </c>
      <c r="I1105" s="141"/>
      <c r="J1105" s="141"/>
      <c r="K1105" s="141"/>
      <c r="L1105" s="141"/>
      <c r="M1105" s="141"/>
      <c r="N1105" s="141"/>
      <c r="O1105" s="141"/>
      <c r="P1105" s="141"/>
      <c r="Q1105" s="141"/>
      <c r="R1105" s="138"/>
      <c r="S1105" s="138"/>
      <c r="T1105" s="138"/>
      <c r="U1105" s="138"/>
      <c r="AA1105">
        <f>IF(COUNTIF('Call Queue'!$H$6:$H$20,V1105)&gt;0,0,IF(AND(ISNUMBER(N1105),N1105&gt;0),10000000+N1105,IF(ISNUMBER(N1105*1),IF(N1105*1&gt;0,10000000+N1105*1,0),0))+IF(ISNUMBER(SEARCH("(",L1105)),1000000+IFERROR(VALUE(SUBSTITUTE(SUBSTITUTE(SUBSTITUTE(MID(L1105,SEARCH("(",L1105)+1,SEARCH(")",L1105)-SEARCH("(",L1105)-1),"$",""),",","")," ","")),0),0))</f>
        <v>0</v>
      </c>
    </row>
    <row r="1106" spans="1:27">
      <c r="A1106" s="137">
        <v>45902</v>
      </c>
      <c r="B1106" s="138" t="s">
        <v>478</v>
      </c>
      <c r="C1106" s="138" t="s">
        <v>479</v>
      </c>
      <c r="D1106" s="138" t="s">
        <v>63</v>
      </c>
      <c r="E1106" s="138">
        <v>85028</v>
      </c>
      <c r="F1106" s="138" t="s">
        <v>310</v>
      </c>
      <c r="G1106" s="138" t="s">
        <v>303</v>
      </c>
      <c r="H1106" s="140" t="s">
        <v>27</v>
      </c>
      <c r="I1106" s="141"/>
      <c r="J1106" s="141"/>
      <c r="K1106" s="141"/>
      <c r="L1106" s="141"/>
      <c r="M1106" s="141"/>
      <c r="N1106" s="141"/>
      <c r="O1106" s="141"/>
      <c r="P1106" s="141"/>
      <c r="Q1106" s="141"/>
      <c r="R1106" s="138"/>
      <c r="S1106" s="138"/>
      <c r="T1106" s="138"/>
      <c r="U1106" s="138"/>
      <c r="AA1106">
        <f>IF(COUNTIF('Call Queue'!$H$6:$H$20,V1106)&gt;0,0,IF(AND(ISNUMBER(N1106),N1106&gt;0),10000000+N1106,IF(ISNUMBER(N1106*1),IF(N1106*1&gt;0,10000000+N1106*1,0),0))+IF(ISNUMBER(SEARCH("(",L1106)),1000000+IFERROR(VALUE(SUBSTITUTE(SUBSTITUTE(SUBSTITUTE(MID(L1106,SEARCH("(",L1106)+1,SEARCH(")",L1106)-SEARCH("(",L1106)-1),"$",""),",","")," ","")),0),0))</f>
        <v>0</v>
      </c>
    </row>
    <row r="1107" spans="1:27">
      <c r="A1107" s="137">
        <v>45902</v>
      </c>
      <c r="B1107" s="138" t="s">
        <v>485</v>
      </c>
      <c r="C1107" s="138" t="s">
        <v>486</v>
      </c>
      <c r="D1107" s="138" t="s">
        <v>63</v>
      </c>
      <c r="E1107" s="138">
        <v>85013</v>
      </c>
      <c r="F1107" s="138" t="s">
        <v>310</v>
      </c>
      <c r="G1107" s="138" t="s">
        <v>303</v>
      </c>
      <c r="H1107" s="140" t="s">
        <v>27</v>
      </c>
      <c r="I1107" s="141"/>
      <c r="J1107" s="141"/>
      <c r="K1107" s="141"/>
      <c r="L1107" s="141"/>
      <c r="M1107" s="141"/>
      <c r="N1107" s="141"/>
      <c r="O1107" s="141"/>
      <c r="P1107" s="141"/>
      <c r="Q1107" s="141"/>
      <c r="R1107" s="138"/>
      <c r="S1107" s="138"/>
      <c r="T1107" s="138"/>
      <c r="U1107" s="138"/>
      <c r="AA1107">
        <f>IF(COUNTIF('Call Queue'!$H$6:$H$20,V1107)&gt;0,0,IF(AND(ISNUMBER(N1107),N1107&gt;0),10000000+N1107,IF(ISNUMBER(N1107*1),IF(N1107*1&gt;0,10000000+N1107*1,0),0))+IF(ISNUMBER(SEARCH("(",L1107)),1000000+IFERROR(VALUE(SUBSTITUTE(SUBSTITUTE(SUBSTITUTE(MID(L1107,SEARCH("(",L1107)+1,SEARCH(")",L1107)-SEARCH("(",L1107)-1),"$",""),",","")," ","")),0),0))</f>
        <v>0</v>
      </c>
    </row>
    <row r="1108" spans="1:27">
      <c r="A1108" s="137">
        <v>45902</v>
      </c>
      <c r="B1108" s="138" t="s">
        <v>496</v>
      </c>
      <c r="C1108" s="138" t="s">
        <v>497</v>
      </c>
      <c r="D1108" s="138" t="s">
        <v>63</v>
      </c>
      <c r="E1108" s="138">
        <v>85028</v>
      </c>
      <c r="F1108" s="138" t="s">
        <v>310</v>
      </c>
      <c r="G1108" s="138" t="s">
        <v>303</v>
      </c>
      <c r="H1108" s="140" t="s">
        <v>27</v>
      </c>
      <c r="I1108" s="141"/>
      <c r="J1108" s="141"/>
      <c r="K1108" s="141"/>
      <c r="L1108" s="141"/>
      <c r="M1108" s="141"/>
      <c r="N1108" s="141"/>
      <c r="O1108" s="141"/>
      <c r="P1108" s="141"/>
      <c r="Q1108" s="141"/>
      <c r="R1108" s="138"/>
      <c r="S1108" s="138"/>
      <c r="T1108" s="138"/>
      <c r="U1108" s="138"/>
      <c r="AA1108">
        <f>IF(COUNTIF('Call Queue'!$H$6:$H$20,V1108)&gt;0,0,IF(AND(ISNUMBER(N1108),N1108&gt;0),10000000+N1108,IF(ISNUMBER(N1108*1),IF(N1108*1&gt;0,10000000+N1108*1,0),0))+IF(ISNUMBER(SEARCH("(",L1108)),1000000+IFERROR(VALUE(SUBSTITUTE(SUBSTITUTE(SUBSTITUTE(MID(L1108,SEARCH("(",L1108)+1,SEARCH(")",L1108)-SEARCH("(",L1108)-1),"$",""),",","")," ","")),0),0))</f>
        <v>0</v>
      </c>
    </row>
    <row r="1109" spans="1:27">
      <c r="A1109" s="142">
        <v>45902</v>
      </c>
      <c r="B1109" s="143" t="s">
        <v>498</v>
      </c>
      <c r="C1109" s="143" t="s">
        <v>443</v>
      </c>
      <c r="D1109" s="143" t="s">
        <v>63</v>
      </c>
      <c r="E1109" s="143">
        <v>85023</v>
      </c>
      <c r="F1109" s="143" t="s">
        <v>310</v>
      </c>
      <c r="G1109" s="143" t="s">
        <v>303</v>
      </c>
      <c r="H1109" s="145" t="s">
        <v>27</v>
      </c>
      <c r="I1109" s="146"/>
      <c r="J1109" s="146"/>
      <c r="K1109" s="146"/>
      <c r="L1109" s="146"/>
      <c r="M1109" s="146"/>
      <c r="N1109" s="146"/>
      <c r="O1109" s="146"/>
      <c r="P1109" s="146"/>
      <c r="Q1109" s="146"/>
      <c r="R1109" s="143"/>
      <c r="S1109" s="143"/>
      <c r="T1109" s="143"/>
      <c r="U1109" s="143"/>
      <c r="AA1109">
        <f>IF(COUNTIF('Call Queue'!$H$6:$H$20,V1109)&gt;0,0,IF(AND(ISNUMBER(N1109),N1109&gt;0),10000000+N1109,IF(ISNUMBER(N1109*1),IF(N1109*1&gt;0,10000000+N1109*1,0),0))+IF(ISNUMBER(SEARCH("(",L1109)),1000000+IFERROR(VALUE(SUBSTITUTE(SUBSTITUTE(SUBSTITUTE(MID(L1109,SEARCH("(",L1109)+1,SEARCH(")",L1109)-SEARCH("(",L1109)-1),"$",""),",","")," ","")),0),0))</f>
        <v>0</v>
      </c>
    </row>
    <row r="1110" spans="1:27">
      <c r="A1110" s="142">
        <v>45903</v>
      </c>
      <c r="B1110" s="143" t="s">
        <v>527</v>
      </c>
      <c r="C1110" s="143" t="s">
        <v>471</v>
      </c>
      <c r="D1110" s="143" t="s">
        <v>169</v>
      </c>
      <c r="E1110" s="143">
        <v>85338</v>
      </c>
      <c r="F1110" s="143" t="s">
        <v>31</v>
      </c>
      <c r="G1110" s="143" t="s">
        <v>506</v>
      </c>
      <c r="H1110" s="145" t="s">
        <v>27</v>
      </c>
      <c r="I1110" s="146"/>
      <c r="J1110" s="146"/>
      <c r="K1110" s="146"/>
      <c r="L1110" s="146"/>
      <c r="M1110" s="146"/>
      <c r="N1110" s="146"/>
      <c r="O1110" s="146"/>
      <c r="P1110" s="146"/>
      <c r="Q1110" s="146"/>
      <c r="R1110" s="143"/>
      <c r="S1110" s="143"/>
      <c r="T1110" s="143"/>
      <c r="U1110" s="143"/>
      <c r="AA1110">
        <f>IF(COUNTIF('Call Queue'!$H$6:$H$20,V1110)&gt;0,0,IF(AND(ISNUMBER(N1110),N1110&gt;0),10000000+N1110,IF(ISNUMBER(N1110*1),IF(N1110*1&gt;0,10000000+N1110*1,0),0))+IF(ISNUMBER(SEARCH("(",L1110)),1000000+IFERROR(VALUE(SUBSTITUTE(SUBSTITUTE(SUBSTITUTE(MID(L1110,SEARCH("(",L1110)+1,SEARCH(")",L1110)-SEARCH("(",L1110)-1),"$",""),",","")," ","")),0),0))</f>
        <v>0</v>
      </c>
    </row>
    <row r="1111" spans="1:27">
      <c r="A1111" s="137">
        <v>45903</v>
      </c>
      <c r="B1111" s="138" t="s">
        <v>547</v>
      </c>
      <c r="C1111" s="138" t="s">
        <v>548</v>
      </c>
      <c r="D1111" s="138" t="s">
        <v>63</v>
      </c>
      <c r="E1111" s="138">
        <v>85085</v>
      </c>
      <c r="F1111" s="138" t="s">
        <v>31</v>
      </c>
      <c r="G1111" s="138" t="s">
        <v>506</v>
      </c>
      <c r="H1111" s="140" t="s">
        <v>27</v>
      </c>
      <c r="I1111" s="141"/>
      <c r="J1111" s="141"/>
      <c r="K1111" s="141"/>
      <c r="L1111" s="141"/>
      <c r="M1111" s="141"/>
      <c r="N1111" s="141"/>
      <c r="O1111" s="141"/>
      <c r="P1111" s="141"/>
      <c r="Q1111" s="141"/>
      <c r="R1111" s="138"/>
      <c r="S1111" s="138"/>
      <c r="T1111" s="138"/>
      <c r="U1111" s="138"/>
      <c r="AA1111">
        <f>IF(COUNTIF('Call Queue'!$H$6:$H$20,V1111)&gt;0,0,IF(AND(ISNUMBER(N1111),N1111&gt;0),10000000+N1111,IF(ISNUMBER(N1111*1),IF(N1111*1&gt;0,10000000+N1111*1,0),0))+IF(ISNUMBER(SEARCH("(",L1111)),1000000+IFERROR(VALUE(SUBSTITUTE(SUBSTITUTE(SUBSTITUTE(MID(L1111,SEARCH("(",L1111)+1,SEARCH(")",L1111)-SEARCH("(",L1111)-1),"$",""),",","")," ","")),0),0))</f>
        <v>0</v>
      </c>
    </row>
    <row r="1112" spans="1:27">
      <c r="A1112" s="142">
        <v>45903</v>
      </c>
      <c r="B1112" s="143" t="s">
        <v>555</v>
      </c>
      <c r="C1112" s="143" t="s">
        <v>556</v>
      </c>
      <c r="D1112" s="143" t="s">
        <v>125</v>
      </c>
      <c r="E1112" s="143">
        <v>85255</v>
      </c>
      <c r="F1112" s="143" t="s">
        <v>31</v>
      </c>
      <c r="G1112" s="143" t="s">
        <v>506</v>
      </c>
      <c r="H1112" s="145" t="s">
        <v>27</v>
      </c>
      <c r="I1112" s="146"/>
      <c r="J1112" s="146"/>
      <c r="K1112" s="146"/>
      <c r="L1112" s="146"/>
      <c r="M1112" s="146"/>
      <c r="N1112" s="146"/>
      <c r="O1112" s="146"/>
      <c r="P1112" s="146"/>
      <c r="Q1112" s="146"/>
      <c r="R1112" s="143"/>
      <c r="S1112" s="143"/>
      <c r="T1112" s="143"/>
      <c r="U1112" s="143"/>
      <c r="AA1112">
        <f>IF(COUNTIF('Call Queue'!$H$6:$H$20,V1112)&gt;0,0,IF(AND(ISNUMBER(N1112),N1112&gt;0),10000000+N1112,IF(ISNUMBER(N1112*1),IF(N1112*1&gt;0,10000000+N1112*1,0),0))+IF(ISNUMBER(SEARCH("(",L1112)),1000000+IFERROR(VALUE(SUBSTITUTE(SUBSTITUTE(SUBSTITUTE(MID(L1112,SEARCH("(",L1112)+1,SEARCH(")",L1112)-SEARCH("(",L1112)-1),"$",""),",","")," ","")),0),0))</f>
        <v>0</v>
      </c>
    </row>
    <row r="1113" spans="1:27">
      <c r="A1113" s="142">
        <v>45903</v>
      </c>
      <c r="B1113" s="143" t="s">
        <v>567</v>
      </c>
      <c r="C1113" s="143" t="s">
        <v>568</v>
      </c>
      <c r="D1113" s="143" t="s">
        <v>63</v>
      </c>
      <c r="E1113" s="143">
        <v>85004</v>
      </c>
      <c r="F1113" s="143" t="s">
        <v>310</v>
      </c>
      <c r="G1113" s="143" t="s">
        <v>506</v>
      </c>
      <c r="H1113" s="145" t="s">
        <v>27</v>
      </c>
      <c r="I1113" s="146"/>
      <c r="J1113" s="146"/>
      <c r="K1113" s="146"/>
      <c r="L1113" s="146"/>
      <c r="M1113" s="146"/>
      <c r="N1113" s="146"/>
      <c r="O1113" s="146"/>
      <c r="P1113" s="146"/>
      <c r="Q1113" s="146"/>
      <c r="R1113" s="143"/>
      <c r="S1113" s="143"/>
      <c r="T1113" s="143"/>
      <c r="U1113" s="143"/>
      <c r="AA1113">
        <f>IF(COUNTIF('Call Queue'!$H$6:$H$20,V1113)&gt;0,0,IF(AND(ISNUMBER(N1113),N1113&gt;0),10000000+N1113,IF(ISNUMBER(N1113*1),IF(N1113*1&gt;0,10000000+N1113*1,0),0))+IF(ISNUMBER(SEARCH("(",L1113)),1000000+IFERROR(VALUE(SUBSTITUTE(SUBSTITUTE(SUBSTITUTE(MID(L1113,SEARCH("(",L1113)+1,SEARCH(")",L1113)-SEARCH("(",L1113)-1),"$",""),",","")," ","")),0),0))</f>
        <v>0</v>
      </c>
    </row>
    <row r="1114" spans="1:27">
      <c r="A1114" s="142">
        <v>45903</v>
      </c>
      <c r="B1114" s="143" t="s">
        <v>584</v>
      </c>
      <c r="C1114" s="143" t="s">
        <v>585</v>
      </c>
      <c r="D1114" s="143" t="s">
        <v>63</v>
      </c>
      <c r="E1114" s="143">
        <v>85016</v>
      </c>
      <c r="F1114" s="143" t="s">
        <v>310</v>
      </c>
      <c r="G1114" s="143" t="s">
        <v>506</v>
      </c>
      <c r="H1114" s="145" t="s">
        <v>27</v>
      </c>
      <c r="I1114" s="146"/>
      <c r="J1114" s="146"/>
      <c r="K1114" s="146"/>
      <c r="L1114" s="146"/>
      <c r="M1114" s="146"/>
      <c r="N1114" s="146"/>
      <c r="O1114" s="146"/>
      <c r="P1114" s="146"/>
      <c r="Q1114" s="146"/>
      <c r="R1114" s="143"/>
      <c r="S1114" s="143"/>
      <c r="T1114" s="143"/>
      <c r="U1114" s="143"/>
      <c r="AA1114">
        <f>IF(COUNTIF('Call Queue'!$H$6:$H$20,V1114)&gt;0,0,IF(AND(ISNUMBER(N1114),N1114&gt;0),10000000+N1114,IF(ISNUMBER(N1114*1),IF(N1114*1&gt;0,10000000+N1114*1,0),0))+IF(ISNUMBER(SEARCH("(",L1114)),1000000+IFERROR(VALUE(SUBSTITUTE(SUBSTITUTE(SUBSTITUTE(MID(L1114,SEARCH("(",L1114)+1,SEARCH(")",L1114)-SEARCH("(",L1114)-1),"$",""),",","")," ","")),0),0))</f>
        <v>0</v>
      </c>
    </row>
    <row r="1115" spans="1:27">
      <c r="A1115" s="137">
        <v>45903</v>
      </c>
      <c r="B1115" s="138" t="s">
        <v>623</v>
      </c>
      <c r="C1115" s="138" t="s">
        <v>624</v>
      </c>
      <c r="D1115" s="138" t="s">
        <v>63</v>
      </c>
      <c r="E1115" s="138">
        <v>85013</v>
      </c>
      <c r="F1115" s="138" t="s">
        <v>310</v>
      </c>
      <c r="G1115" s="138" t="s">
        <v>506</v>
      </c>
      <c r="H1115" s="140" t="s">
        <v>27</v>
      </c>
      <c r="I1115" s="141"/>
      <c r="J1115" s="141"/>
      <c r="K1115" s="141"/>
      <c r="L1115" s="141"/>
      <c r="M1115" s="141"/>
      <c r="N1115" s="141"/>
      <c r="O1115" s="141"/>
      <c r="P1115" s="141"/>
      <c r="Q1115" s="141"/>
      <c r="R1115" s="138"/>
      <c r="S1115" s="138"/>
      <c r="T1115" s="138"/>
      <c r="U1115" s="138"/>
      <c r="AA1115">
        <f>IF(COUNTIF('Call Queue'!$H$6:$H$20,V1115)&gt;0,0,IF(AND(ISNUMBER(N1115),N1115&gt;0),10000000+N1115,IF(ISNUMBER(N1115*1),IF(N1115*1&gt;0,10000000+N1115*1,0),0))+IF(ISNUMBER(SEARCH("(",L1115)),1000000+IFERROR(VALUE(SUBSTITUTE(SUBSTITUTE(SUBSTITUTE(MID(L1115,SEARCH("(",L1115)+1,SEARCH(")",L1115)-SEARCH("(",L1115)-1),"$",""),",","")," ","")),0),0))</f>
        <v>0</v>
      </c>
    </row>
    <row r="1116" spans="1:27">
      <c r="A1116" s="142">
        <v>45903</v>
      </c>
      <c r="B1116" s="143" t="s">
        <v>633</v>
      </c>
      <c r="C1116" s="143" t="s">
        <v>634</v>
      </c>
      <c r="D1116" s="143" t="s">
        <v>635</v>
      </c>
      <c r="E1116" s="143">
        <v>85281</v>
      </c>
      <c r="F1116" s="143" t="s">
        <v>310</v>
      </c>
      <c r="G1116" s="143" t="s">
        <v>506</v>
      </c>
      <c r="H1116" s="145" t="s">
        <v>27</v>
      </c>
      <c r="I1116" s="146"/>
      <c r="J1116" s="146"/>
      <c r="K1116" s="146"/>
      <c r="L1116" s="146"/>
      <c r="M1116" s="146"/>
      <c r="N1116" s="146"/>
      <c r="O1116" s="146"/>
      <c r="P1116" s="146"/>
      <c r="Q1116" s="146"/>
      <c r="R1116" s="143"/>
      <c r="S1116" s="143"/>
      <c r="T1116" s="143"/>
      <c r="U1116" s="143"/>
      <c r="AA1116">
        <f>IF(COUNTIF('Call Queue'!$H$6:$H$20,V1116)&gt;0,0,IF(AND(ISNUMBER(N1116),N1116&gt;0),10000000+N1116,IF(ISNUMBER(N1116*1),IF(N1116*1&gt;0,10000000+N1116*1,0),0))+IF(ISNUMBER(SEARCH("(",L1116)),1000000+IFERROR(VALUE(SUBSTITUTE(SUBSTITUTE(SUBSTITUTE(MID(L1116,SEARCH("(",L1116)+1,SEARCH(")",L1116)-SEARCH("(",L1116)-1),"$",""),",","")," ","")),0),0))</f>
        <v>0</v>
      </c>
    </row>
    <row r="1117" spans="1:27">
      <c r="A1117" s="142">
        <v>45903</v>
      </c>
      <c r="B1117" s="143" t="s">
        <v>661</v>
      </c>
      <c r="C1117" s="143" t="s">
        <v>662</v>
      </c>
      <c r="D1117" s="143" t="s">
        <v>24</v>
      </c>
      <c r="E1117" s="143">
        <v>85308</v>
      </c>
      <c r="F1117" s="143" t="s">
        <v>310</v>
      </c>
      <c r="G1117" s="143" t="s">
        <v>506</v>
      </c>
      <c r="H1117" s="145" t="s">
        <v>27</v>
      </c>
      <c r="I1117" s="146"/>
      <c r="J1117" s="146"/>
      <c r="K1117" s="146"/>
      <c r="L1117" s="146"/>
      <c r="M1117" s="146"/>
      <c r="N1117" s="146"/>
      <c r="O1117" s="146"/>
      <c r="P1117" s="146"/>
      <c r="Q1117" s="146"/>
      <c r="R1117" s="143"/>
      <c r="S1117" s="143"/>
      <c r="T1117" s="143"/>
      <c r="U1117" s="143"/>
      <c r="AA1117">
        <f>IF(COUNTIF('Call Queue'!$H$6:$H$20,V1117)&gt;0,0,IF(AND(ISNUMBER(N1117),N1117&gt;0),10000000+N1117,IF(ISNUMBER(N1117*1),IF(N1117*1&gt;0,10000000+N1117*1,0),0))+IF(ISNUMBER(SEARCH("(",L1117)),1000000+IFERROR(VALUE(SUBSTITUTE(SUBSTITUTE(SUBSTITUTE(MID(L1117,SEARCH("(",L1117)+1,SEARCH(")",L1117)-SEARCH("(",L1117)-1),"$",""),",","")," ","")),0),0))</f>
        <v>0</v>
      </c>
    </row>
    <row r="1118" spans="1:27">
      <c r="A1118" s="137">
        <v>45903</v>
      </c>
      <c r="B1118" s="138" t="s">
        <v>663</v>
      </c>
      <c r="C1118" s="138" t="s">
        <v>312</v>
      </c>
      <c r="D1118" s="138" t="s">
        <v>169</v>
      </c>
      <c r="E1118" s="138">
        <v>85338</v>
      </c>
      <c r="F1118" s="138" t="s">
        <v>664</v>
      </c>
      <c r="G1118" s="138" t="s">
        <v>506</v>
      </c>
      <c r="H1118" s="140" t="s">
        <v>27</v>
      </c>
      <c r="I1118" s="141"/>
      <c r="J1118" s="141"/>
      <c r="K1118" s="141"/>
      <c r="L1118" s="141"/>
      <c r="M1118" s="141"/>
      <c r="N1118" s="141"/>
      <c r="O1118" s="141"/>
      <c r="P1118" s="141"/>
      <c r="Q1118" s="141"/>
      <c r="R1118" s="138"/>
      <c r="S1118" s="138"/>
      <c r="T1118" s="138"/>
      <c r="U1118" s="138"/>
      <c r="AA1118">
        <f>IF(COUNTIF('Call Queue'!$H$6:$H$20,V1118)&gt;0,0,IF(AND(ISNUMBER(N1118),N1118&gt;0),10000000+N1118,IF(ISNUMBER(N1118*1),IF(N1118*1&gt;0,10000000+N1118*1,0),0))+IF(ISNUMBER(SEARCH("(",L1118)),1000000+IFERROR(VALUE(SUBSTITUTE(SUBSTITUTE(SUBSTITUTE(MID(L1118,SEARCH("(",L1118)+1,SEARCH(")",L1118)-SEARCH("(",L1118)-1),"$",""),",","")," ","")),0),0))</f>
        <v>0</v>
      </c>
    </row>
    <row r="1119" spans="1:27">
      <c r="A1119" s="137">
        <v>45903</v>
      </c>
      <c r="B1119" s="138" t="s">
        <v>682</v>
      </c>
      <c r="C1119" s="138" t="s">
        <v>683</v>
      </c>
      <c r="D1119" s="138" t="s">
        <v>63</v>
      </c>
      <c r="E1119" s="138">
        <v>85085</v>
      </c>
      <c r="F1119" s="138" t="s">
        <v>684</v>
      </c>
      <c r="G1119" s="138" t="s">
        <v>506</v>
      </c>
      <c r="H1119" s="140" t="s">
        <v>27</v>
      </c>
      <c r="I1119" s="141"/>
      <c r="J1119" s="141"/>
      <c r="K1119" s="141"/>
      <c r="L1119" s="141"/>
      <c r="M1119" s="141"/>
      <c r="N1119" s="141"/>
      <c r="O1119" s="141"/>
      <c r="P1119" s="141"/>
      <c r="Q1119" s="141"/>
      <c r="R1119" s="138"/>
      <c r="S1119" s="138"/>
      <c r="T1119" s="138"/>
      <c r="U1119" s="138"/>
      <c r="AA1119">
        <f>IF(COUNTIF('Call Queue'!$H$6:$H$20,V1119)&gt;0,0,IF(AND(ISNUMBER(N1119),N1119&gt;0),10000000+N1119,IF(ISNUMBER(N1119*1),IF(N1119*1&gt;0,10000000+N1119*1,0),0))+IF(ISNUMBER(SEARCH("(",L1119)),1000000+IFERROR(VALUE(SUBSTITUTE(SUBSTITUTE(SUBSTITUTE(MID(L1119,SEARCH("(",L1119)+1,SEARCH(")",L1119)-SEARCH("(",L1119)-1),"$",""),",","")," ","")),0),0))</f>
        <v>0</v>
      </c>
    </row>
    <row r="1120" spans="1:27">
      <c r="A1120" s="142">
        <v>45903</v>
      </c>
      <c r="B1120" s="143" t="s">
        <v>685</v>
      </c>
      <c r="C1120" s="143" t="s">
        <v>420</v>
      </c>
      <c r="D1120" s="143" t="s">
        <v>63</v>
      </c>
      <c r="E1120" s="143">
        <v>85326</v>
      </c>
      <c r="F1120" s="143" t="s">
        <v>310</v>
      </c>
      <c r="G1120" s="143" t="s">
        <v>506</v>
      </c>
      <c r="H1120" s="145" t="s">
        <v>27</v>
      </c>
      <c r="I1120" s="146"/>
      <c r="J1120" s="146"/>
      <c r="K1120" s="146"/>
      <c r="L1120" s="146"/>
      <c r="M1120" s="146"/>
      <c r="N1120" s="146"/>
      <c r="O1120" s="146"/>
      <c r="P1120" s="146"/>
      <c r="Q1120" s="146"/>
      <c r="R1120" s="143"/>
      <c r="S1120" s="143"/>
      <c r="T1120" s="143"/>
      <c r="U1120" s="143"/>
      <c r="AA1120">
        <f>IF(COUNTIF('Call Queue'!$H$6:$H$20,V1120)&gt;0,0,IF(AND(ISNUMBER(N1120),N1120&gt;0),10000000+N1120,IF(ISNUMBER(N1120*1),IF(N1120*1&gt;0,10000000+N1120*1,0),0))+IF(ISNUMBER(SEARCH("(",L1120)),1000000+IFERROR(VALUE(SUBSTITUTE(SUBSTITUTE(SUBSTITUTE(MID(L1120,SEARCH("(",L1120)+1,SEARCH(")",L1120)-SEARCH("(",L1120)-1),"$",""),",","")," ","")),0),0))</f>
        <v>0</v>
      </c>
    </row>
    <row r="1121" spans="1:27">
      <c r="A1121" s="137">
        <v>45903</v>
      </c>
      <c r="B1121" s="138" t="s">
        <v>689</v>
      </c>
      <c r="C1121" s="138" t="s">
        <v>690</v>
      </c>
      <c r="D1121" s="138" t="s">
        <v>63</v>
      </c>
      <c r="E1121" s="138">
        <v>85040</v>
      </c>
      <c r="F1121" s="138" t="s">
        <v>691</v>
      </c>
      <c r="G1121" s="138" t="s">
        <v>506</v>
      </c>
      <c r="H1121" s="140" t="s">
        <v>27</v>
      </c>
      <c r="I1121" s="141"/>
      <c r="J1121" s="141"/>
      <c r="K1121" s="141"/>
      <c r="L1121" s="141"/>
      <c r="M1121" s="141"/>
      <c r="N1121" s="141"/>
      <c r="O1121" s="141"/>
      <c r="P1121" s="141"/>
      <c r="Q1121" s="141"/>
      <c r="R1121" s="138"/>
      <c r="S1121" s="138"/>
      <c r="T1121" s="138"/>
      <c r="U1121" s="138"/>
      <c r="AA1121">
        <f>IF(COUNTIF('Call Queue'!$H$6:$H$20,V1121)&gt;0,0,IF(AND(ISNUMBER(N1121),N1121&gt;0),10000000+N1121,IF(ISNUMBER(N1121*1),IF(N1121*1&gt;0,10000000+N1121*1,0),0))+IF(ISNUMBER(SEARCH("(",L1121)),1000000+IFERROR(VALUE(SUBSTITUTE(SUBSTITUTE(SUBSTITUTE(MID(L1121,SEARCH("(",L1121)+1,SEARCH(")",L1121)-SEARCH("(",L1121)-1),"$",""),",","")," ","")),0),0))</f>
        <v>0</v>
      </c>
    </row>
    <row r="1122" spans="1:27">
      <c r="A1122" s="142">
        <v>45903</v>
      </c>
      <c r="B1122" s="143" t="s">
        <v>701</v>
      </c>
      <c r="C1122" s="143" t="s">
        <v>702</v>
      </c>
      <c r="D1122" s="143" t="s">
        <v>169</v>
      </c>
      <c r="E1122" s="143">
        <v>85395</v>
      </c>
      <c r="F1122" s="143" t="s">
        <v>703</v>
      </c>
      <c r="G1122" s="143" t="s">
        <v>506</v>
      </c>
      <c r="H1122" s="145" t="s">
        <v>90</v>
      </c>
      <c r="I1122" s="146"/>
      <c r="J1122" s="146"/>
      <c r="K1122" s="146"/>
      <c r="L1122" s="146"/>
      <c r="M1122" s="146"/>
      <c r="N1122" s="146"/>
      <c r="O1122" s="146"/>
      <c r="P1122" s="146"/>
      <c r="Q1122" s="146"/>
      <c r="R1122" s="143"/>
      <c r="S1122" s="143"/>
      <c r="T1122" s="143"/>
      <c r="U1122" s="143"/>
      <c r="AA1122">
        <f>IF(COUNTIF('Call Queue'!$H$6:$H$20,V1122)&gt;0,0,IF(AND(ISNUMBER(N1122),N1122&gt;0),10000000+N1122,IF(ISNUMBER(N1122*1),IF(N1122*1&gt;0,10000000+N1122*1,0),0))+IF(ISNUMBER(SEARCH("(",L1122)),1000000+IFERROR(VALUE(SUBSTITUTE(SUBSTITUTE(SUBSTITUTE(MID(L1122,SEARCH("(",L1122)+1,SEARCH(")",L1122)-SEARCH("(",L1122)-1),"$",""),",","")," ","")),0),0))</f>
        <v>0</v>
      </c>
    </row>
    <row r="1123" spans="1:27">
      <c r="A1123" s="137">
        <v>45903</v>
      </c>
      <c r="B1123" s="138" t="s">
        <v>704</v>
      </c>
      <c r="C1123" s="138" t="s">
        <v>395</v>
      </c>
      <c r="D1123" s="138" t="s">
        <v>63</v>
      </c>
      <c r="E1123" s="138">
        <v>85003</v>
      </c>
      <c r="F1123" s="138" t="s">
        <v>310</v>
      </c>
      <c r="G1123" s="138" t="s">
        <v>506</v>
      </c>
      <c r="H1123" s="140" t="s">
        <v>27</v>
      </c>
      <c r="I1123" s="141"/>
      <c r="J1123" s="141"/>
      <c r="K1123" s="141"/>
      <c r="L1123" s="141"/>
      <c r="M1123" s="141"/>
      <c r="N1123" s="141"/>
      <c r="O1123" s="141"/>
      <c r="P1123" s="141"/>
      <c r="Q1123" s="141"/>
      <c r="R1123" s="138"/>
      <c r="S1123" s="138"/>
      <c r="T1123" s="138"/>
      <c r="U1123" s="138"/>
      <c r="AA1123">
        <f>IF(COUNTIF('Call Queue'!$H$6:$H$20,V1123)&gt;0,0,IF(AND(ISNUMBER(N1123),N1123&gt;0),10000000+N1123,IF(ISNUMBER(N1123*1),IF(N1123*1&gt;0,10000000+N1123*1,0),0))+IF(ISNUMBER(SEARCH("(",L1123)),1000000+IFERROR(VALUE(SUBSTITUTE(SUBSTITUTE(SUBSTITUTE(MID(L1123,SEARCH("(",L1123)+1,SEARCH(")",L1123)-SEARCH("(",L1123)-1),"$",""),",","")," ","")),0),0))</f>
        <v>0</v>
      </c>
    </row>
    <row r="1124" spans="1:27">
      <c r="A1124" s="142">
        <v>45903</v>
      </c>
      <c r="B1124" s="143" t="s">
        <v>367</v>
      </c>
      <c r="C1124" s="143" t="s">
        <v>705</v>
      </c>
      <c r="D1124" s="143" t="s">
        <v>240</v>
      </c>
      <c r="E1124" s="143">
        <v>85340</v>
      </c>
      <c r="F1124" s="143" t="s">
        <v>310</v>
      </c>
      <c r="G1124" s="143" t="s">
        <v>506</v>
      </c>
      <c r="H1124" s="145" t="s">
        <v>27</v>
      </c>
      <c r="I1124" s="146"/>
      <c r="J1124" s="146"/>
      <c r="K1124" s="146"/>
      <c r="L1124" s="146"/>
      <c r="M1124" s="146"/>
      <c r="N1124" s="146"/>
      <c r="O1124" s="146"/>
      <c r="P1124" s="146"/>
      <c r="Q1124" s="146"/>
      <c r="R1124" s="143"/>
      <c r="S1124" s="143"/>
      <c r="T1124" s="143"/>
      <c r="U1124" s="143"/>
      <c r="AA1124">
        <f>IF(COUNTIF('Call Queue'!$H$6:$H$20,V1124)&gt;0,0,IF(AND(ISNUMBER(N1124),N1124&gt;0),10000000+N1124,IF(ISNUMBER(N1124*1),IF(N1124*1&gt;0,10000000+N1124*1,0),0))+IF(ISNUMBER(SEARCH("(",L1124)),1000000+IFERROR(VALUE(SUBSTITUTE(SUBSTITUTE(SUBSTITUTE(MID(L1124,SEARCH("(",L1124)+1,SEARCH(")",L1124)-SEARCH("(",L1124)-1),"$",""),",","")," ","")),0),0))</f>
        <v>0</v>
      </c>
    </row>
    <row r="1125" spans="1:27">
      <c r="A1125" s="142">
        <v>45903</v>
      </c>
      <c r="B1125" s="143" t="s">
        <v>710</v>
      </c>
      <c r="C1125" s="143" t="s">
        <v>711</v>
      </c>
      <c r="D1125" s="143" t="s">
        <v>174</v>
      </c>
      <c r="E1125" s="143">
        <v>85326</v>
      </c>
      <c r="F1125" s="143" t="s">
        <v>712</v>
      </c>
      <c r="G1125" s="143" t="s">
        <v>506</v>
      </c>
      <c r="H1125" s="145" t="s">
        <v>90</v>
      </c>
      <c r="I1125" s="146"/>
      <c r="J1125" s="146"/>
      <c r="K1125" s="146"/>
      <c r="L1125" s="146"/>
      <c r="M1125" s="146"/>
      <c r="N1125" s="146"/>
      <c r="O1125" s="146"/>
      <c r="P1125" s="146"/>
      <c r="Q1125" s="146"/>
      <c r="R1125" s="143"/>
      <c r="S1125" s="143"/>
      <c r="T1125" s="143"/>
      <c r="U1125" s="143"/>
      <c r="AA1125">
        <f>IF(COUNTIF('Call Queue'!$H$6:$H$20,V1125)&gt;0,0,IF(AND(ISNUMBER(N1125),N1125&gt;0),10000000+N1125,IF(ISNUMBER(N1125*1),IF(N1125*1&gt;0,10000000+N1125*1,0),0))+IF(ISNUMBER(SEARCH("(",L1125)),1000000+IFERROR(VALUE(SUBSTITUTE(SUBSTITUTE(SUBSTITUTE(MID(L1125,SEARCH("(",L1125)+1,SEARCH(")",L1125)-SEARCH("(",L1125)-1),"$",""),",","")," ","")),0),0))</f>
        <v>0</v>
      </c>
    </row>
    <row r="1126" spans="1:27">
      <c r="A1126" s="137">
        <v>45903</v>
      </c>
      <c r="B1126" s="138" t="s">
        <v>727</v>
      </c>
      <c r="C1126" s="138" t="s">
        <v>728</v>
      </c>
      <c r="D1126" s="138" t="s">
        <v>63</v>
      </c>
      <c r="E1126" s="138">
        <v>85393</v>
      </c>
      <c r="F1126" s="138" t="s">
        <v>310</v>
      </c>
      <c r="G1126" s="138" t="s">
        <v>506</v>
      </c>
      <c r="H1126" s="140" t="s">
        <v>27</v>
      </c>
      <c r="I1126" s="141"/>
      <c r="J1126" s="141"/>
      <c r="K1126" s="141"/>
      <c r="L1126" s="141"/>
      <c r="M1126" s="141"/>
      <c r="N1126" s="141"/>
      <c r="O1126" s="141"/>
      <c r="P1126" s="141"/>
      <c r="Q1126" s="141"/>
      <c r="R1126" s="138"/>
      <c r="S1126" s="138"/>
      <c r="T1126" s="138"/>
      <c r="U1126" s="138"/>
      <c r="AA1126">
        <f>IF(COUNTIF('Call Queue'!$H$6:$H$20,V1126)&gt;0,0,IF(AND(ISNUMBER(N1126),N1126&gt;0),10000000+N1126,IF(ISNUMBER(N1126*1),IF(N1126*1&gt;0,10000000+N1126*1,0),0))+IF(ISNUMBER(SEARCH("(",L1126)),1000000+IFERROR(VALUE(SUBSTITUTE(SUBSTITUTE(SUBSTITUTE(MID(L1126,SEARCH("(",L1126)+1,SEARCH(")",L1126)-SEARCH("(",L1126)-1),"$",""),",","")," ","")),0),0))</f>
        <v>0</v>
      </c>
    </row>
    <row r="1127" spans="1:27">
      <c r="A1127" s="142">
        <v>45903</v>
      </c>
      <c r="B1127" s="143" t="s">
        <v>750</v>
      </c>
      <c r="C1127" s="143" t="s">
        <v>230</v>
      </c>
      <c r="D1127" s="143" t="s">
        <v>169</v>
      </c>
      <c r="E1127" s="143">
        <v>85395</v>
      </c>
      <c r="F1127" s="143" t="s">
        <v>751</v>
      </c>
      <c r="G1127" s="143" t="s">
        <v>506</v>
      </c>
      <c r="H1127" s="145" t="s">
        <v>27</v>
      </c>
      <c r="I1127" s="146"/>
      <c r="J1127" s="146"/>
      <c r="K1127" s="146"/>
      <c r="L1127" s="146"/>
      <c r="M1127" s="146"/>
      <c r="N1127" s="146"/>
      <c r="O1127" s="146"/>
      <c r="P1127" s="146"/>
      <c r="Q1127" s="146"/>
      <c r="R1127" s="143"/>
      <c r="S1127" s="143"/>
      <c r="T1127" s="143"/>
      <c r="U1127" s="143" t="s">
        <v>724</v>
      </c>
      <c r="AA1127">
        <f>IF(COUNTIF('Call Queue'!$H$6:$H$20,V1127)&gt;0,0,IF(AND(ISNUMBER(N1127),N1127&gt;0),10000000+N1127,IF(ISNUMBER(N1127*1),IF(N1127*1&gt;0,10000000+N1127*1,0),0))+IF(ISNUMBER(SEARCH("(",L1127)),1000000+IFERROR(VALUE(SUBSTITUTE(SUBSTITUTE(SUBSTITUTE(MID(L1127,SEARCH("(",L1127)+1,SEARCH(")",L1127)-SEARCH("(",L1127)-1),"$",""),",","")," ","")),0),0))</f>
        <v>0</v>
      </c>
    </row>
    <row r="1128" spans="1:27">
      <c r="A1128" s="142">
        <v>45903</v>
      </c>
      <c r="B1128" s="143" t="s">
        <v>754</v>
      </c>
      <c r="C1128" s="143" t="s">
        <v>755</v>
      </c>
      <c r="D1128" s="143" t="s">
        <v>63</v>
      </c>
      <c r="E1128" s="143">
        <v>85034</v>
      </c>
      <c r="F1128" s="143" t="s">
        <v>31</v>
      </c>
      <c r="G1128" s="143" t="s">
        <v>506</v>
      </c>
      <c r="H1128" s="145" t="s">
        <v>90</v>
      </c>
      <c r="I1128" s="146"/>
      <c r="J1128" s="146"/>
      <c r="K1128" s="146"/>
      <c r="L1128" s="146"/>
      <c r="M1128" s="146"/>
      <c r="N1128" s="146"/>
      <c r="O1128" s="146"/>
      <c r="P1128" s="146"/>
      <c r="Q1128" s="146"/>
      <c r="R1128" s="143"/>
      <c r="S1128" s="143"/>
      <c r="T1128" s="143"/>
      <c r="U1128" s="143"/>
      <c r="AA1128">
        <f>IF(COUNTIF('Call Queue'!$H$6:$H$20,V1128)&gt;0,0,IF(AND(ISNUMBER(N1128),N1128&gt;0),10000000+N1128,IF(ISNUMBER(N1128*1),IF(N1128*1&gt;0,10000000+N1128*1,0),0))+IF(ISNUMBER(SEARCH("(",L1128)),1000000+IFERROR(VALUE(SUBSTITUTE(SUBSTITUTE(SUBSTITUTE(MID(L1128,SEARCH("(",L1128)+1,SEARCH(")",L1128)-SEARCH("(",L1128)-1),"$",""),",","")," ","")),0),0))</f>
        <v>0</v>
      </c>
    </row>
    <row r="1129" spans="1:27">
      <c r="A1129" s="137">
        <v>45903</v>
      </c>
      <c r="B1129" s="138" t="s">
        <v>781</v>
      </c>
      <c r="C1129" s="138" t="s">
        <v>782</v>
      </c>
      <c r="D1129" s="138" t="s">
        <v>202</v>
      </c>
      <c r="E1129" s="138">
        <v>85383</v>
      </c>
      <c r="F1129" s="138" t="s">
        <v>31</v>
      </c>
      <c r="G1129" s="138" t="s">
        <v>506</v>
      </c>
      <c r="H1129" s="140" t="s">
        <v>27</v>
      </c>
      <c r="I1129" s="141"/>
      <c r="J1129" s="141"/>
      <c r="K1129" s="141"/>
      <c r="L1129" s="141"/>
      <c r="M1129" s="141"/>
      <c r="N1129" s="141"/>
      <c r="O1129" s="141"/>
      <c r="P1129" s="141"/>
      <c r="Q1129" s="141"/>
      <c r="R1129" s="138"/>
      <c r="S1129" s="138"/>
      <c r="T1129" s="138"/>
      <c r="U1129" s="138"/>
      <c r="AA1129">
        <f>IF(COUNTIF('Call Queue'!$H$6:$H$20,V1129)&gt;0,0,IF(AND(ISNUMBER(N1129),N1129&gt;0),10000000+N1129,IF(ISNUMBER(N1129*1),IF(N1129*1&gt;0,10000000+N1129*1,0),0))+IF(ISNUMBER(SEARCH("(",L1129)),1000000+IFERROR(VALUE(SUBSTITUTE(SUBSTITUTE(SUBSTITUTE(MID(L1129,SEARCH("(",L1129)+1,SEARCH(")",L1129)-SEARCH("(",L1129)-1),"$",""),",","")," ","")),0),0))</f>
        <v>0</v>
      </c>
    </row>
    <row r="1130" spans="1:27">
      <c r="A1130" s="142">
        <v>45903</v>
      </c>
      <c r="B1130" s="143" t="s">
        <v>783</v>
      </c>
      <c r="C1130" s="143" t="s">
        <v>784</v>
      </c>
      <c r="D1130" s="143" t="s">
        <v>63</v>
      </c>
      <c r="E1130" s="143">
        <v>85015</v>
      </c>
      <c r="F1130" s="143" t="s">
        <v>785</v>
      </c>
      <c r="G1130" s="143" t="s">
        <v>506</v>
      </c>
      <c r="H1130" s="145" t="s">
        <v>27</v>
      </c>
      <c r="I1130" s="146"/>
      <c r="J1130" s="146"/>
      <c r="K1130" s="146"/>
      <c r="L1130" s="146"/>
      <c r="M1130" s="146"/>
      <c r="N1130" s="146"/>
      <c r="O1130" s="146"/>
      <c r="P1130" s="146"/>
      <c r="Q1130" s="146"/>
      <c r="R1130" s="143"/>
      <c r="S1130" s="143"/>
      <c r="T1130" s="143"/>
      <c r="U1130" s="143" t="s">
        <v>724</v>
      </c>
      <c r="AA1130">
        <f>IF(COUNTIF('Call Queue'!$H$6:$H$20,V1130)&gt;0,0,IF(AND(ISNUMBER(N1130),N1130&gt;0),10000000+N1130,IF(ISNUMBER(N1130*1),IF(N1130*1&gt;0,10000000+N1130*1,0),0))+IF(ISNUMBER(SEARCH("(",L1130)),1000000+IFERROR(VALUE(SUBSTITUTE(SUBSTITUTE(SUBSTITUTE(MID(L1130,SEARCH("(",L1130)+1,SEARCH(")",L1130)-SEARCH("(",L1130)-1),"$",""),",","")," ","")),0),0))</f>
        <v>0</v>
      </c>
    </row>
    <row r="1131" spans="1:27">
      <c r="A1131" s="142">
        <v>45903</v>
      </c>
      <c r="B1131" s="143" t="s">
        <v>789</v>
      </c>
      <c r="C1131" s="143" t="s">
        <v>790</v>
      </c>
      <c r="D1131" s="143" t="s">
        <v>523</v>
      </c>
      <c r="E1131" s="143">
        <v>85392</v>
      </c>
      <c r="F1131" s="143" t="s">
        <v>791</v>
      </c>
      <c r="G1131" s="143" t="s">
        <v>506</v>
      </c>
      <c r="H1131" s="145" t="s">
        <v>27</v>
      </c>
      <c r="I1131" s="146"/>
      <c r="J1131" s="146"/>
      <c r="K1131" s="146"/>
      <c r="L1131" s="146"/>
      <c r="M1131" s="146"/>
      <c r="N1131" s="146"/>
      <c r="O1131" s="146"/>
      <c r="P1131" s="146"/>
      <c r="Q1131" s="146"/>
      <c r="R1131" s="143"/>
      <c r="S1131" s="143"/>
      <c r="T1131" s="143"/>
      <c r="U1131" s="143"/>
      <c r="AA1131">
        <f>IF(COUNTIF('Call Queue'!$H$6:$H$20,V1131)&gt;0,0,IF(AND(ISNUMBER(N1131),N1131&gt;0),10000000+N1131,IF(ISNUMBER(N1131*1),IF(N1131*1&gt;0,10000000+N1131*1,0),0))+IF(ISNUMBER(SEARCH("(",L1131)),1000000+IFERROR(VALUE(SUBSTITUTE(SUBSTITUTE(SUBSTITUTE(MID(L1131,SEARCH("(",L1131)+1,SEARCH(")",L1131)-SEARCH("(",L1131)-1),"$",""),",","")," ","")),0),0))</f>
        <v>0</v>
      </c>
    </row>
    <row r="1132" spans="1:27">
      <c r="A1132" s="142">
        <v>45903</v>
      </c>
      <c r="B1132" s="143" t="s">
        <v>795</v>
      </c>
      <c r="C1132" s="143" t="s">
        <v>796</v>
      </c>
      <c r="D1132" s="143" t="s">
        <v>202</v>
      </c>
      <c r="E1132" s="143">
        <v>85383</v>
      </c>
      <c r="F1132" s="143" t="s">
        <v>310</v>
      </c>
      <c r="G1132" s="143" t="s">
        <v>506</v>
      </c>
      <c r="H1132" s="145" t="s">
        <v>27</v>
      </c>
      <c r="I1132" s="146"/>
      <c r="J1132" s="146"/>
      <c r="K1132" s="146"/>
      <c r="L1132" s="146"/>
      <c r="M1132" s="146"/>
      <c r="N1132" s="146"/>
      <c r="O1132" s="146"/>
      <c r="P1132" s="146"/>
      <c r="Q1132" s="146"/>
      <c r="R1132" s="143"/>
      <c r="S1132" s="143"/>
      <c r="T1132" s="143"/>
      <c r="U1132" s="143"/>
      <c r="AA1132">
        <f>IF(COUNTIF('Call Queue'!$H$6:$H$20,V1132)&gt;0,0,IF(AND(ISNUMBER(N1132),N1132&gt;0),10000000+N1132,IF(ISNUMBER(N1132*1),IF(N1132*1&gt;0,10000000+N1132*1,0),0))+IF(ISNUMBER(SEARCH("(",L1132)),1000000+IFERROR(VALUE(SUBSTITUTE(SUBSTITUTE(SUBSTITUTE(MID(L1132,SEARCH("(",L1132)+1,SEARCH(")",L1132)-SEARCH("(",L1132)-1),"$",""),",","")," ","")),0),0))</f>
        <v>0</v>
      </c>
    </row>
    <row r="1133" spans="1:27">
      <c r="A1133" s="142">
        <v>45903</v>
      </c>
      <c r="B1133" s="143" t="s">
        <v>807</v>
      </c>
      <c r="C1133" s="143" t="s">
        <v>808</v>
      </c>
      <c r="D1133" s="143" t="s">
        <v>169</v>
      </c>
      <c r="E1133" s="143">
        <v>85338</v>
      </c>
      <c r="F1133" s="143" t="s">
        <v>809</v>
      </c>
      <c r="G1133" s="143" t="s">
        <v>506</v>
      </c>
      <c r="H1133" s="145" t="s">
        <v>27</v>
      </c>
      <c r="I1133" s="146"/>
      <c r="J1133" s="146"/>
      <c r="K1133" s="146"/>
      <c r="L1133" s="146"/>
      <c r="M1133" s="146"/>
      <c r="N1133" s="146"/>
      <c r="O1133" s="146"/>
      <c r="P1133" s="146"/>
      <c r="Q1133" s="146"/>
      <c r="R1133" s="143"/>
      <c r="S1133" s="143"/>
      <c r="T1133" s="143"/>
      <c r="U1133" s="143"/>
      <c r="AA1133">
        <f>IF(COUNTIF('Call Queue'!$H$6:$H$20,V1133)&gt;0,0,IF(AND(ISNUMBER(N1133),N1133&gt;0),10000000+N1133,IF(ISNUMBER(N1133*1),IF(N1133*1&gt;0,10000000+N1133*1,0),0))+IF(ISNUMBER(SEARCH("(",L1133)),1000000+IFERROR(VALUE(SUBSTITUTE(SUBSTITUTE(SUBSTITUTE(MID(L1133,SEARCH("(",L1133)+1,SEARCH(")",L1133)-SEARCH("(",L1133)-1),"$",""),",","")," ","")),0),0))</f>
        <v>0</v>
      </c>
    </row>
    <row r="1134" spans="1:27">
      <c r="A1134" s="137">
        <v>45903</v>
      </c>
      <c r="B1134" s="138" t="s">
        <v>830</v>
      </c>
      <c r="C1134" s="138" t="s">
        <v>831</v>
      </c>
      <c r="D1134" s="138" t="s">
        <v>63</v>
      </c>
      <c r="E1134" s="138">
        <v>85016</v>
      </c>
      <c r="F1134" s="138" t="s">
        <v>310</v>
      </c>
      <c r="G1134" s="138" t="s">
        <v>506</v>
      </c>
      <c r="H1134" s="140" t="s">
        <v>27</v>
      </c>
      <c r="I1134" s="141"/>
      <c r="J1134" s="141"/>
      <c r="K1134" s="141"/>
      <c r="L1134" s="141"/>
      <c r="M1134" s="141"/>
      <c r="N1134" s="141"/>
      <c r="O1134" s="141"/>
      <c r="P1134" s="141"/>
      <c r="Q1134" s="141"/>
      <c r="R1134" s="138"/>
      <c r="S1134" s="138"/>
      <c r="T1134" s="138"/>
      <c r="U1134" s="138"/>
      <c r="AA1134">
        <f>IF(COUNTIF('Call Queue'!$H$6:$H$20,V1134)&gt;0,0,IF(AND(ISNUMBER(N1134),N1134&gt;0),10000000+N1134,IF(ISNUMBER(N1134*1),IF(N1134*1&gt;0,10000000+N1134*1,0),0))+IF(ISNUMBER(SEARCH("(",L1134)),1000000+IFERROR(VALUE(SUBSTITUTE(SUBSTITUTE(SUBSTITUTE(MID(L1134,SEARCH("(",L1134)+1,SEARCH(")",L1134)-SEARCH("(",L1134)-1),"$",""),",","")," ","")),0),0))</f>
        <v>0</v>
      </c>
    </row>
    <row r="1135" spans="1:27">
      <c r="A1135" s="142">
        <v>45903</v>
      </c>
      <c r="B1135" s="143" t="s">
        <v>849</v>
      </c>
      <c r="C1135" s="143" t="s">
        <v>850</v>
      </c>
      <c r="D1135" s="143" t="s">
        <v>125</v>
      </c>
      <c r="E1135" s="143">
        <v>85251</v>
      </c>
      <c r="F1135" s="143" t="s">
        <v>310</v>
      </c>
      <c r="G1135" s="143" t="s">
        <v>506</v>
      </c>
      <c r="H1135" s="145" t="s">
        <v>27</v>
      </c>
      <c r="I1135" s="146"/>
      <c r="J1135" s="146"/>
      <c r="K1135" s="146"/>
      <c r="L1135" s="146"/>
      <c r="M1135" s="146"/>
      <c r="N1135" s="146"/>
      <c r="O1135" s="146"/>
      <c r="P1135" s="146"/>
      <c r="Q1135" s="146"/>
      <c r="R1135" s="143"/>
      <c r="S1135" s="143"/>
      <c r="T1135" s="143"/>
      <c r="U1135" s="143"/>
      <c r="AA1135">
        <f>IF(COUNTIF('Call Queue'!$H$6:$H$20,V1135)&gt;0,0,IF(AND(ISNUMBER(N1135),N1135&gt;0),10000000+N1135,IF(ISNUMBER(N1135*1),IF(N1135*1&gt;0,10000000+N1135*1,0),0))+IF(ISNUMBER(SEARCH("(",L1135)),1000000+IFERROR(VALUE(SUBSTITUTE(SUBSTITUTE(SUBSTITUTE(MID(L1135,SEARCH("(",L1135)+1,SEARCH(")",L1135)-SEARCH("(",L1135)-1),"$",""),",","")," ","")),0),0))</f>
        <v>0</v>
      </c>
    </row>
    <row r="1136" spans="1:27">
      <c r="A1136" s="142">
        <v>45903</v>
      </c>
      <c r="B1136" s="143" t="s">
        <v>467</v>
      </c>
      <c r="C1136" s="143" t="s">
        <v>899</v>
      </c>
      <c r="D1136" s="143" t="s">
        <v>202</v>
      </c>
      <c r="E1136" s="143">
        <v>85382</v>
      </c>
      <c r="F1136" s="143" t="s">
        <v>310</v>
      </c>
      <c r="G1136" s="143" t="s">
        <v>506</v>
      </c>
      <c r="H1136" s="145" t="s">
        <v>27</v>
      </c>
      <c r="I1136" s="146"/>
      <c r="J1136" s="146"/>
      <c r="K1136" s="146"/>
      <c r="L1136" s="146"/>
      <c r="M1136" s="146"/>
      <c r="N1136" s="146"/>
      <c r="O1136" s="146"/>
      <c r="P1136" s="146"/>
      <c r="Q1136" s="146"/>
      <c r="R1136" s="143"/>
      <c r="S1136" s="143"/>
      <c r="T1136" s="143"/>
      <c r="U1136" s="143"/>
      <c r="AA1136">
        <f>IF(COUNTIF('Call Queue'!$H$6:$H$20,V1136)&gt;0,0,IF(AND(ISNUMBER(N1136),N1136&gt;0),10000000+N1136,IF(ISNUMBER(N1136*1),IF(N1136*1&gt;0,10000000+N1136*1,0),0))+IF(ISNUMBER(SEARCH("(",L1136)),1000000+IFERROR(VALUE(SUBSTITUTE(SUBSTITUTE(SUBSTITUTE(MID(L1136,SEARCH("(",L1136)+1,SEARCH(")",L1136)-SEARCH("(",L1136)-1),"$",""),",","")," ","")),0),0))</f>
        <v>0</v>
      </c>
    </row>
    <row r="1137" spans="1:27">
      <c r="A1137" s="137">
        <v>45903</v>
      </c>
      <c r="B1137" s="138" t="s">
        <v>907</v>
      </c>
      <c r="C1137" s="138" t="s">
        <v>908</v>
      </c>
      <c r="D1137" s="138" t="s">
        <v>169</v>
      </c>
      <c r="E1137" s="138">
        <v>85338</v>
      </c>
      <c r="F1137" s="138" t="s">
        <v>909</v>
      </c>
      <c r="G1137" s="138" t="s">
        <v>506</v>
      </c>
      <c r="H1137" s="140" t="s">
        <v>27</v>
      </c>
      <c r="I1137" s="141"/>
      <c r="J1137" s="141"/>
      <c r="K1137" s="141"/>
      <c r="L1137" s="141"/>
      <c r="M1137" s="141"/>
      <c r="N1137" s="141"/>
      <c r="O1137" s="141"/>
      <c r="P1137" s="141"/>
      <c r="Q1137" s="141"/>
      <c r="R1137" s="138"/>
      <c r="S1137" s="138"/>
      <c r="T1137" s="138"/>
      <c r="U1137" s="138"/>
      <c r="AA1137">
        <f>IF(COUNTIF('Call Queue'!$H$6:$H$20,V1137)&gt;0,0,IF(AND(ISNUMBER(N1137),N1137&gt;0),10000000+N1137,IF(ISNUMBER(N1137*1),IF(N1137*1&gt;0,10000000+N1137*1,0),0))+IF(ISNUMBER(SEARCH("(",L1137)),1000000+IFERROR(VALUE(SUBSTITUTE(SUBSTITUTE(SUBSTITUTE(MID(L1137,SEARCH("(",L1137)+1,SEARCH(")",L1137)-SEARCH("(",L1137)-1),"$",""),",","")," ","")),0),0))</f>
        <v>0</v>
      </c>
    </row>
    <row r="1138" spans="1:27">
      <c r="A1138" s="142">
        <v>45903</v>
      </c>
      <c r="B1138" s="143" t="s">
        <v>967</v>
      </c>
      <c r="C1138" s="143" t="s">
        <v>890</v>
      </c>
      <c r="D1138" s="143" t="s">
        <v>202</v>
      </c>
      <c r="E1138" s="143">
        <v>85383</v>
      </c>
      <c r="F1138" s="143" t="s">
        <v>310</v>
      </c>
      <c r="G1138" s="143" t="s">
        <v>506</v>
      </c>
      <c r="H1138" s="145" t="s">
        <v>27</v>
      </c>
      <c r="I1138" s="146"/>
      <c r="J1138" s="146"/>
      <c r="K1138" s="146"/>
      <c r="L1138" s="146"/>
      <c r="M1138" s="146"/>
      <c r="N1138" s="146"/>
      <c r="O1138" s="146"/>
      <c r="P1138" s="146"/>
      <c r="Q1138" s="146"/>
      <c r="R1138" s="143"/>
      <c r="S1138" s="143"/>
      <c r="T1138" s="143"/>
      <c r="U1138" s="143"/>
      <c r="AA1138">
        <f>IF(COUNTIF('Call Queue'!$H$6:$H$20,V1138)&gt;0,0,IF(AND(ISNUMBER(N1138),N1138&gt;0),10000000+N1138,IF(ISNUMBER(N1138*1),IF(N1138*1&gt;0,10000000+N1138*1,0),0))+IF(ISNUMBER(SEARCH("(",L1138)),1000000+IFERROR(VALUE(SUBSTITUTE(SUBSTITUTE(SUBSTITUTE(MID(L1138,SEARCH("(",L1138)+1,SEARCH(")",L1138)-SEARCH("(",L1138)-1),"$",""),",","")," ","")),0),0))</f>
        <v>0</v>
      </c>
    </row>
    <row r="1139" spans="1:27">
      <c r="A1139" s="137">
        <v>45903</v>
      </c>
      <c r="B1139" s="138" t="s">
        <v>160</v>
      </c>
      <c r="C1139" s="138" t="s">
        <v>968</v>
      </c>
      <c r="D1139" s="138" t="s">
        <v>240</v>
      </c>
      <c r="E1139" s="138">
        <v>85340</v>
      </c>
      <c r="F1139" s="138" t="s">
        <v>969</v>
      </c>
      <c r="G1139" s="138" t="s">
        <v>506</v>
      </c>
      <c r="H1139" s="140" t="s">
        <v>27</v>
      </c>
      <c r="I1139" s="141"/>
      <c r="J1139" s="141"/>
      <c r="K1139" s="141"/>
      <c r="L1139" s="141"/>
      <c r="M1139" s="141"/>
      <c r="N1139" s="141"/>
      <c r="O1139" s="141"/>
      <c r="P1139" s="141"/>
      <c r="Q1139" s="141"/>
      <c r="R1139" s="138"/>
      <c r="S1139" s="138"/>
      <c r="T1139" s="138"/>
      <c r="U1139" s="138"/>
      <c r="AA1139">
        <f>IF(COUNTIF('Call Queue'!$H$6:$H$20,V1139)&gt;0,0,IF(AND(ISNUMBER(N1139),N1139&gt;0),10000000+N1139,IF(ISNUMBER(N1139*1),IF(N1139*1&gt;0,10000000+N1139*1,0),0))+IF(ISNUMBER(SEARCH("(",L1139)),1000000+IFERROR(VALUE(SUBSTITUTE(SUBSTITUTE(SUBSTITUTE(MID(L1139,SEARCH("(",L1139)+1,SEARCH(")",L1139)-SEARCH("(",L1139)-1),"$",""),",","")," ","")),0),0))</f>
        <v>0</v>
      </c>
    </row>
    <row r="1140" spans="1:27">
      <c r="A1140" s="137">
        <v>45903</v>
      </c>
      <c r="B1140" s="138" t="s">
        <v>989</v>
      </c>
      <c r="C1140" s="138" t="s">
        <v>437</v>
      </c>
      <c r="D1140" s="138" t="s">
        <v>63</v>
      </c>
      <c r="E1140" s="138">
        <v>85028</v>
      </c>
      <c r="F1140" s="138" t="s">
        <v>310</v>
      </c>
      <c r="G1140" s="138" t="s">
        <v>506</v>
      </c>
      <c r="H1140" s="140" t="s">
        <v>27</v>
      </c>
      <c r="I1140" s="141"/>
      <c r="J1140" s="141"/>
      <c r="K1140" s="141"/>
      <c r="L1140" s="141"/>
      <c r="M1140" s="141"/>
      <c r="N1140" s="141"/>
      <c r="O1140" s="141"/>
      <c r="P1140" s="141"/>
      <c r="Q1140" s="141"/>
      <c r="R1140" s="138"/>
      <c r="S1140" s="138"/>
      <c r="T1140" s="138"/>
      <c r="U1140" s="138"/>
      <c r="AA1140">
        <f>IF(COUNTIF('Call Queue'!$H$6:$H$20,V1140)&gt;0,0,IF(AND(ISNUMBER(N1140),N1140&gt;0),10000000+N1140,IF(ISNUMBER(N1140*1),IF(N1140*1&gt;0,10000000+N1140*1,0),0))+IF(ISNUMBER(SEARCH("(",L1140)),1000000+IFERROR(VALUE(SUBSTITUTE(SUBSTITUTE(SUBSTITUTE(MID(L1140,SEARCH("(",L1140)+1,SEARCH(")",L1140)-SEARCH("(",L1140)-1),"$",""),",","")," ","")),0),0))</f>
        <v>0</v>
      </c>
    </row>
    <row r="1141" spans="1:27">
      <c r="A1141" s="137">
        <v>45903</v>
      </c>
      <c r="B1141" s="138" t="s">
        <v>996</v>
      </c>
      <c r="C1141" s="138" t="s">
        <v>997</v>
      </c>
      <c r="D1141" s="138" t="s">
        <v>129</v>
      </c>
      <c r="E1141" s="138">
        <v>85298</v>
      </c>
      <c r="F1141" s="138" t="s">
        <v>310</v>
      </c>
      <c r="G1141" s="138" t="s">
        <v>506</v>
      </c>
      <c r="H1141" s="140" t="s">
        <v>27</v>
      </c>
      <c r="I1141" s="141"/>
      <c r="J1141" s="141"/>
      <c r="K1141" s="141"/>
      <c r="L1141" s="141"/>
      <c r="M1141" s="141"/>
      <c r="N1141" s="141"/>
      <c r="O1141" s="141"/>
      <c r="P1141" s="141"/>
      <c r="Q1141" s="141"/>
      <c r="R1141" s="138"/>
      <c r="S1141" s="138"/>
      <c r="T1141" s="138"/>
      <c r="U1141" s="138"/>
      <c r="AA1141">
        <f>IF(COUNTIF('Call Queue'!$H$6:$H$20,V1141)&gt;0,0,IF(AND(ISNUMBER(N1141),N1141&gt;0),10000000+N1141,IF(ISNUMBER(N1141*1),IF(N1141*1&gt;0,10000000+N1141*1,0),0))+IF(ISNUMBER(SEARCH("(",L1141)),1000000+IFERROR(VALUE(SUBSTITUTE(SUBSTITUTE(SUBSTITUTE(MID(L1141,SEARCH("(",L1141)+1,SEARCH(")",L1141)-SEARCH("(",L1141)-1),"$",""),",","")," ","")),0),0))</f>
        <v>0</v>
      </c>
    </row>
    <row r="1142" spans="1:27">
      <c r="A1142" s="142">
        <v>45903</v>
      </c>
      <c r="B1142" s="143" t="s">
        <v>1005</v>
      </c>
      <c r="C1142" s="143" t="s">
        <v>443</v>
      </c>
      <c r="D1142" s="143" t="s">
        <v>63</v>
      </c>
      <c r="E1142" s="143">
        <v>85027</v>
      </c>
      <c r="F1142" s="143" t="s">
        <v>310</v>
      </c>
      <c r="G1142" s="143" t="s">
        <v>506</v>
      </c>
      <c r="H1142" s="145" t="s">
        <v>27</v>
      </c>
      <c r="I1142" s="146"/>
      <c r="J1142" s="146"/>
      <c r="K1142" s="146"/>
      <c r="L1142" s="146"/>
      <c r="M1142" s="146"/>
      <c r="N1142" s="146"/>
      <c r="O1142" s="146"/>
      <c r="P1142" s="146"/>
      <c r="Q1142" s="146"/>
      <c r="R1142" s="143"/>
      <c r="S1142" s="143"/>
      <c r="T1142" s="143"/>
      <c r="U1142" s="143"/>
      <c r="AA1142">
        <f>IF(COUNTIF('Call Queue'!$H$6:$H$20,V1142)&gt;0,0,IF(AND(ISNUMBER(N1142),N1142&gt;0),10000000+N1142,IF(ISNUMBER(N1142*1),IF(N1142*1&gt;0,10000000+N1142*1,0),0))+IF(ISNUMBER(SEARCH("(",L1142)),1000000+IFERROR(VALUE(SUBSTITUTE(SUBSTITUTE(SUBSTITUTE(MID(L1142,SEARCH("(",L1142)+1,SEARCH(")",L1142)-SEARCH("(",L1142)-1),"$",""),",","")," ","")),0),0))</f>
        <v>0</v>
      </c>
    </row>
    <row r="1143" spans="1:27">
      <c r="A1143" s="142">
        <v>45903</v>
      </c>
      <c r="B1143" s="143" t="s">
        <v>1019</v>
      </c>
      <c r="C1143" s="143" t="s">
        <v>1020</v>
      </c>
      <c r="D1143" s="143" t="s">
        <v>619</v>
      </c>
      <c r="E1143" s="143">
        <v>85366</v>
      </c>
      <c r="F1143" s="143" t="s">
        <v>31</v>
      </c>
      <c r="G1143" s="143" t="s">
        <v>506</v>
      </c>
      <c r="H1143" s="145" t="s">
        <v>27</v>
      </c>
      <c r="I1143" s="146"/>
      <c r="J1143" s="146"/>
      <c r="K1143" s="146"/>
      <c r="L1143" s="146"/>
      <c r="M1143" s="146"/>
      <c r="N1143" s="146"/>
      <c r="O1143" s="146"/>
      <c r="P1143" s="146"/>
      <c r="Q1143" s="146"/>
      <c r="R1143" s="143"/>
      <c r="S1143" s="143"/>
      <c r="T1143" s="143"/>
      <c r="U1143" s="143"/>
      <c r="AA1143">
        <f>IF(COUNTIF('Call Queue'!$H$6:$H$20,V1143)&gt;0,0,IF(AND(ISNUMBER(N1143),N1143&gt;0),10000000+N1143,IF(ISNUMBER(N1143*1),IF(N1143*1&gt;0,10000000+N1143*1,0),0))+IF(ISNUMBER(SEARCH("(",L1143)),1000000+IFERROR(VALUE(SUBSTITUTE(SUBSTITUTE(SUBSTITUTE(MID(L1143,SEARCH("(",L1143)+1,SEARCH(")",L1143)-SEARCH("(",L1143)-1),"$",""),",","")," ","")),0),0))</f>
        <v>0</v>
      </c>
    </row>
    <row r="1144" spans="1:27">
      <c r="A1144" s="142">
        <v>45903</v>
      </c>
      <c r="B1144" s="143" t="s">
        <v>1036</v>
      </c>
      <c r="C1144" s="143" t="s">
        <v>658</v>
      </c>
      <c r="D1144" s="143" t="s">
        <v>24</v>
      </c>
      <c r="E1144" s="143">
        <v>85310</v>
      </c>
      <c r="F1144" s="143" t="s">
        <v>310</v>
      </c>
      <c r="G1144" s="143" t="s">
        <v>506</v>
      </c>
      <c r="H1144" s="145" t="s">
        <v>90</v>
      </c>
      <c r="I1144" s="146"/>
      <c r="J1144" s="146"/>
      <c r="K1144" s="146"/>
      <c r="L1144" s="146"/>
      <c r="M1144" s="146"/>
      <c r="N1144" s="146"/>
      <c r="O1144" s="146"/>
      <c r="P1144" s="146"/>
      <c r="Q1144" s="146"/>
      <c r="R1144" s="143"/>
      <c r="S1144" s="143"/>
      <c r="T1144" s="143"/>
      <c r="U1144" s="143"/>
      <c r="AA1144">
        <f>IF(COUNTIF('Call Queue'!$H$6:$H$20,V1144)&gt;0,0,IF(AND(ISNUMBER(N1144),N1144&gt;0),10000000+N1144,IF(ISNUMBER(N1144*1),IF(N1144*1&gt;0,10000000+N1144*1,0),0))+IF(ISNUMBER(SEARCH("(",L1144)),1000000+IFERROR(VALUE(SUBSTITUTE(SUBSTITUTE(SUBSTITUTE(MID(L1144,SEARCH("(",L1144)+1,SEARCH(")",L1144)-SEARCH("(",L1144)-1),"$",""),",","")," ","")),0),0))</f>
        <v>0</v>
      </c>
    </row>
    <row r="1145" spans="1:27">
      <c r="A1145" s="142">
        <v>45903</v>
      </c>
      <c r="B1145" s="143" t="s">
        <v>1052</v>
      </c>
      <c r="C1145" s="143" t="s">
        <v>1053</v>
      </c>
      <c r="D1145" s="143" t="s">
        <v>1054</v>
      </c>
      <c r="E1145" s="143">
        <v>85268</v>
      </c>
      <c r="F1145" s="143" t="s">
        <v>1055</v>
      </c>
      <c r="G1145" s="143" t="s">
        <v>506</v>
      </c>
      <c r="H1145" s="145" t="s">
        <v>27</v>
      </c>
      <c r="I1145" s="146"/>
      <c r="J1145" s="146"/>
      <c r="K1145" s="146"/>
      <c r="L1145" s="146"/>
      <c r="M1145" s="146"/>
      <c r="N1145" s="146"/>
      <c r="O1145" s="146"/>
      <c r="P1145" s="146"/>
      <c r="Q1145" s="146"/>
      <c r="R1145" s="143"/>
      <c r="S1145" s="143"/>
      <c r="T1145" s="143"/>
      <c r="U1145" s="143"/>
      <c r="AA1145">
        <f>IF(COUNTIF('Call Queue'!$H$6:$H$20,V1145)&gt;0,0,IF(AND(ISNUMBER(N1145),N1145&gt;0),10000000+N1145,IF(ISNUMBER(N1145*1),IF(N1145*1&gt;0,10000000+N1145*1,0),0))+IF(ISNUMBER(SEARCH("(",L1145)),1000000+IFERROR(VALUE(SUBSTITUTE(SUBSTITUTE(SUBSTITUTE(MID(L1145,SEARCH("(",L1145)+1,SEARCH(")",L1145)-SEARCH("(",L1145)-1),"$",""),",","")," ","")),0),0))</f>
        <v>0</v>
      </c>
    </row>
    <row r="1146" spans="1:27">
      <c r="A1146" s="137">
        <v>45903</v>
      </c>
      <c r="B1146" s="138" t="s">
        <v>1091</v>
      </c>
      <c r="C1146" s="138" t="s">
        <v>62</v>
      </c>
      <c r="D1146" s="138" t="s">
        <v>523</v>
      </c>
      <c r="E1146" s="138">
        <v>85392</v>
      </c>
      <c r="F1146" s="138" t="s">
        <v>31</v>
      </c>
      <c r="G1146" s="138" t="s">
        <v>506</v>
      </c>
      <c r="H1146" s="140" t="s">
        <v>27</v>
      </c>
      <c r="I1146" s="141"/>
      <c r="J1146" s="141"/>
      <c r="K1146" s="141"/>
      <c r="L1146" s="141"/>
      <c r="M1146" s="141"/>
      <c r="N1146" s="141"/>
      <c r="O1146" s="141"/>
      <c r="P1146" s="141"/>
      <c r="Q1146" s="141"/>
      <c r="R1146" s="138"/>
      <c r="S1146" s="138"/>
      <c r="T1146" s="138"/>
      <c r="U1146" s="138"/>
      <c r="AA1146">
        <f>IF(COUNTIF('Call Queue'!$H$6:$H$20,V1146)&gt;0,0,IF(AND(ISNUMBER(N1146),N1146&gt;0),10000000+N1146,IF(ISNUMBER(N1146*1),IF(N1146*1&gt;0,10000000+N1146*1,0),0))+IF(ISNUMBER(SEARCH("(",L1146)),1000000+IFERROR(VALUE(SUBSTITUTE(SUBSTITUTE(SUBSTITUTE(MID(L1146,SEARCH("(",L1146)+1,SEARCH(")",L1146)-SEARCH("(",L1146)-1),"$",""),",","")," ","")),0),0))</f>
        <v>0</v>
      </c>
    </row>
    <row r="1147" spans="1:27">
      <c r="A1147" s="142">
        <v>45903</v>
      </c>
      <c r="B1147" s="143" t="s">
        <v>1104</v>
      </c>
      <c r="C1147" s="143" t="s">
        <v>1105</v>
      </c>
      <c r="D1147" s="143" t="s">
        <v>174</v>
      </c>
      <c r="E1147" s="143">
        <v>85396</v>
      </c>
      <c r="F1147" s="143" t="s">
        <v>1106</v>
      </c>
      <c r="G1147" s="143" t="s">
        <v>506</v>
      </c>
      <c r="H1147" s="145" t="s">
        <v>90</v>
      </c>
      <c r="I1147" s="146"/>
      <c r="J1147" s="146"/>
      <c r="K1147" s="146"/>
      <c r="L1147" s="146"/>
      <c r="M1147" s="146"/>
      <c r="N1147" s="146"/>
      <c r="O1147" s="146"/>
      <c r="P1147" s="146"/>
      <c r="Q1147" s="146"/>
      <c r="R1147" s="143"/>
      <c r="S1147" s="143"/>
      <c r="T1147" s="143"/>
      <c r="U1147" s="143"/>
      <c r="AA1147">
        <f>IF(COUNTIF('Call Queue'!$H$6:$H$20,V1147)&gt;0,0,IF(AND(ISNUMBER(N1147),N1147&gt;0),10000000+N1147,IF(ISNUMBER(N1147*1),IF(N1147*1&gt;0,10000000+N1147*1,0),0))+IF(ISNUMBER(SEARCH("(",L1147)),1000000+IFERROR(VALUE(SUBSTITUTE(SUBSTITUTE(SUBSTITUTE(MID(L1147,SEARCH("(",L1147)+1,SEARCH(")",L1147)-SEARCH("(",L1147)-1),"$",""),",","")," ","")),0),0))</f>
        <v>0</v>
      </c>
    </row>
    <row r="1148" spans="1:27">
      <c r="A1148" s="142">
        <v>45903</v>
      </c>
      <c r="B1148" s="143" t="s">
        <v>1110</v>
      </c>
      <c r="C1148" s="143" t="s">
        <v>131</v>
      </c>
      <c r="D1148" s="143" t="s">
        <v>169</v>
      </c>
      <c r="E1148" s="143">
        <v>85395</v>
      </c>
      <c r="F1148" s="143" t="s">
        <v>1111</v>
      </c>
      <c r="G1148" s="143" t="s">
        <v>506</v>
      </c>
      <c r="H1148" s="145" t="s">
        <v>27</v>
      </c>
      <c r="I1148" s="146"/>
      <c r="J1148" s="146"/>
      <c r="K1148" s="146"/>
      <c r="L1148" s="146"/>
      <c r="M1148" s="146"/>
      <c r="N1148" s="146"/>
      <c r="O1148" s="146"/>
      <c r="P1148" s="146"/>
      <c r="Q1148" s="146"/>
      <c r="R1148" s="143"/>
      <c r="S1148" s="143"/>
      <c r="T1148" s="143"/>
      <c r="U1148" s="143"/>
      <c r="AA1148">
        <f>IF(COUNTIF('Call Queue'!$H$6:$H$20,V1148)&gt;0,0,IF(AND(ISNUMBER(N1148),N1148&gt;0),10000000+N1148,IF(ISNUMBER(N1148*1),IF(N1148*1&gt;0,10000000+N1148*1,0),0))+IF(ISNUMBER(SEARCH("(",L1148)),1000000+IFERROR(VALUE(SUBSTITUTE(SUBSTITUTE(SUBSTITUTE(MID(L1148,SEARCH("(",L1148)+1,SEARCH(")",L1148)-SEARCH("(",L1148)-1),"$",""),",","")," ","")),0),0))</f>
        <v>0</v>
      </c>
    </row>
    <row r="1149" spans="1:27">
      <c r="A1149" s="142">
        <v>45903</v>
      </c>
      <c r="B1149" s="143" t="s">
        <v>1114</v>
      </c>
      <c r="C1149" s="143" t="s">
        <v>1115</v>
      </c>
      <c r="D1149" s="143" t="s">
        <v>63</v>
      </c>
      <c r="E1149" s="143">
        <v>85024</v>
      </c>
      <c r="F1149" s="143" t="s">
        <v>31</v>
      </c>
      <c r="G1149" s="143" t="s">
        <v>506</v>
      </c>
      <c r="H1149" s="145" t="s">
        <v>27</v>
      </c>
      <c r="I1149" s="146"/>
      <c r="J1149" s="146"/>
      <c r="K1149" s="146"/>
      <c r="L1149" s="146"/>
      <c r="M1149" s="146"/>
      <c r="N1149" s="146"/>
      <c r="O1149" s="146"/>
      <c r="P1149" s="146"/>
      <c r="Q1149" s="146"/>
      <c r="R1149" s="143"/>
      <c r="S1149" s="143"/>
      <c r="T1149" s="143"/>
      <c r="U1149" s="143"/>
      <c r="AA1149">
        <f>IF(COUNTIF('Call Queue'!$H$6:$H$20,V1149)&gt;0,0,IF(AND(ISNUMBER(N1149),N1149&gt;0),10000000+N1149,IF(ISNUMBER(N1149*1),IF(N1149*1&gt;0,10000000+N1149*1,0),0))+IF(ISNUMBER(SEARCH("(",L1149)),1000000+IFERROR(VALUE(SUBSTITUTE(SUBSTITUTE(SUBSTITUTE(MID(L1149,SEARCH("(",L1149)+1,SEARCH(")",L1149)-SEARCH("(",L1149)-1),"$",""),",","")," ","")),0),0))</f>
        <v>0</v>
      </c>
    </row>
    <row r="1150" spans="1:27">
      <c r="A1150" s="142">
        <v>45903</v>
      </c>
      <c r="B1150" s="143" t="s">
        <v>1147</v>
      </c>
      <c r="C1150" s="143" t="s">
        <v>1143</v>
      </c>
      <c r="D1150" s="143" t="s">
        <v>63</v>
      </c>
      <c r="E1150" s="143">
        <v>85050</v>
      </c>
      <c r="F1150" s="143" t="s">
        <v>31</v>
      </c>
      <c r="G1150" s="143" t="s">
        <v>506</v>
      </c>
      <c r="H1150" s="145" t="s">
        <v>27</v>
      </c>
      <c r="I1150" s="146"/>
      <c r="J1150" s="146"/>
      <c r="K1150" s="146"/>
      <c r="L1150" s="146"/>
      <c r="M1150" s="146"/>
      <c r="N1150" s="146"/>
      <c r="O1150" s="146"/>
      <c r="P1150" s="146"/>
      <c r="Q1150" s="146"/>
      <c r="R1150" s="143"/>
      <c r="S1150" s="143"/>
      <c r="T1150" s="143"/>
      <c r="U1150" s="143"/>
      <c r="AA1150">
        <f>IF(COUNTIF('Call Queue'!$H$6:$H$20,V1150)&gt;0,0,IF(AND(ISNUMBER(N1150),N1150&gt;0),10000000+N1150,IF(ISNUMBER(N1150*1),IF(N1150*1&gt;0,10000000+N1150*1,0),0))+IF(ISNUMBER(SEARCH("(",L1150)),1000000+IFERROR(VALUE(SUBSTITUTE(SUBSTITUTE(SUBSTITUTE(MID(L1150,SEARCH("(",L1150)+1,SEARCH(")",L1150)-SEARCH("(",L1150)-1),"$",""),",","")," ","")),0),0))</f>
        <v>0</v>
      </c>
    </row>
    <row r="1151" spans="1:27">
      <c r="A1151" s="137">
        <v>45903</v>
      </c>
      <c r="B1151" s="138" t="s">
        <v>1148</v>
      </c>
      <c r="C1151" s="138" t="s">
        <v>1149</v>
      </c>
      <c r="D1151" s="138" t="s">
        <v>169</v>
      </c>
      <c r="E1151" s="138">
        <v>85338</v>
      </c>
      <c r="F1151" s="138" t="s">
        <v>1150</v>
      </c>
      <c r="G1151" s="138" t="s">
        <v>506</v>
      </c>
      <c r="H1151" s="140" t="s">
        <v>90</v>
      </c>
      <c r="I1151" s="141"/>
      <c r="J1151" s="141"/>
      <c r="K1151" s="141"/>
      <c r="L1151" s="141"/>
      <c r="M1151" s="141"/>
      <c r="N1151" s="141"/>
      <c r="O1151" s="141"/>
      <c r="P1151" s="141"/>
      <c r="Q1151" s="141"/>
      <c r="R1151" s="138"/>
      <c r="S1151" s="138"/>
      <c r="T1151" s="138"/>
      <c r="U1151" s="138"/>
      <c r="AA1151">
        <f>IF(COUNTIF('Call Queue'!$H$6:$H$20,V1151)&gt;0,0,IF(AND(ISNUMBER(N1151),N1151&gt;0),10000000+N1151,IF(ISNUMBER(N1151*1),IF(N1151*1&gt;0,10000000+N1151*1,0),0))+IF(ISNUMBER(SEARCH("(",L1151)),1000000+IFERROR(VALUE(SUBSTITUTE(SUBSTITUTE(SUBSTITUTE(MID(L1151,SEARCH("(",L1151)+1,SEARCH(")",L1151)-SEARCH("(",L1151)-1),"$",""),",","")," ","")),0),0))</f>
        <v>0</v>
      </c>
    </row>
    <row r="1152" spans="1:27">
      <c r="A1152" s="142">
        <v>45903</v>
      </c>
      <c r="B1152" s="143" t="s">
        <v>1176</v>
      </c>
      <c r="C1152" s="143" t="s">
        <v>1177</v>
      </c>
      <c r="D1152" s="143" t="s">
        <v>523</v>
      </c>
      <c r="E1152" s="143">
        <v>85392</v>
      </c>
      <c r="F1152" s="143" t="s">
        <v>31</v>
      </c>
      <c r="G1152" s="143" t="s">
        <v>506</v>
      </c>
      <c r="H1152" s="145" t="s">
        <v>27</v>
      </c>
      <c r="I1152" s="146"/>
      <c r="J1152" s="146"/>
      <c r="K1152" s="146"/>
      <c r="L1152" s="146"/>
      <c r="M1152" s="146"/>
      <c r="N1152" s="146"/>
      <c r="O1152" s="146"/>
      <c r="P1152" s="146"/>
      <c r="Q1152" s="146"/>
      <c r="R1152" s="143"/>
      <c r="S1152" s="143"/>
      <c r="T1152" s="143"/>
      <c r="U1152" s="143"/>
      <c r="AA1152">
        <f>IF(COUNTIF('Call Queue'!$H$6:$H$20,V1152)&gt;0,0,IF(AND(ISNUMBER(N1152),N1152&gt;0),10000000+N1152,IF(ISNUMBER(N1152*1),IF(N1152*1&gt;0,10000000+N1152*1,0),0))+IF(ISNUMBER(SEARCH("(",L1152)),1000000+IFERROR(VALUE(SUBSTITUTE(SUBSTITUTE(SUBSTITUTE(MID(L1152,SEARCH("(",L1152)+1,SEARCH(")",L1152)-SEARCH("(",L1152)-1),"$",""),",","")," ","")),0),0))</f>
        <v>0</v>
      </c>
    </row>
    <row r="1153" spans="1:27">
      <c r="A1153" s="142">
        <v>45903</v>
      </c>
      <c r="B1153" s="143" t="s">
        <v>1182</v>
      </c>
      <c r="C1153" s="143" t="s">
        <v>1183</v>
      </c>
      <c r="D1153" s="143" t="s">
        <v>202</v>
      </c>
      <c r="E1153" s="143">
        <v>85383</v>
      </c>
      <c r="F1153" s="143" t="s">
        <v>1184</v>
      </c>
      <c r="G1153" s="143" t="s">
        <v>506</v>
      </c>
      <c r="H1153" s="145" t="s">
        <v>27</v>
      </c>
      <c r="I1153" s="146"/>
      <c r="J1153" s="146"/>
      <c r="K1153" s="146"/>
      <c r="L1153" s="146"/>
      <c r="M1153" s="146"/>
      <c r="N1153" s="146"/>
      <c r="O1153" s="146"/>
      <c r="P1153" s="146"/>
      <c r="Q1153" s="146"/>
      <c r="R1153" s="143"/>
      <c r="S1153" s="143"/>
      <c r="T1153" s="143"/>
      <c r="U1153" s="143"/>
      <c r="AA1153">
        <f>IF(COUNTIF('Call Queue'!$H$6:$H$20,V1153)&gt;0,0,IF(AND(ISNUMBER(N1153),N1153&gt;0),10000000+N1153,IF(ISNUMBER(N1153*1),IF(N1153*1&gt;0,10000000+N1153*1,0),0))+IF(ISNUMBER(SEARCH("(",L1153)),1000000+IFERROR(VALUE(SUBSTITUTE(SUBSTITUTE(SUBSTITUTE(MID(L1153,SEARCH("(",L1153)+1,SEARCH(")",L1153)-SEARCH("(",L1153)-1),"$",""),",","")," ","")),0),0))</f>
        <v>0</v>
      </c>
    </row>
    <row r="1154" spans="1:27">
      <c r="A1154" s="137">
        <v>45903</v>
      </c>
      <c r="B1154" s="138" t="s">
        <v>1188</v>
      </c>
      <c r="C1154" s="138" t="s">
        <v>1189</v>
      </c>
      <c r="D1154" s="138" t="s">
        <v>63</v>
      </c>
      <c r="E1154" s="138">
        <v>85032</v>
      </c>
      <c r="F1154" s="138" t="s">
        <v>310</v>
      </c>
      <c r="G1154" s="138" t="s">
        <v>506</v>
      </c>
      <c r="H1154" s="140" t="s">
        <v>27</v>
      </c>
      <c r="I1154" s="141"/>
      <c r="J1154" s="141"/>
      <c r="K1154" s="141"/>
      <c r="L1154" s="141"/>
      <c r="M1154" s="141"/>
      <c r="N1154" s="141"/>
      <c r="O1154" s="141"/>
      <c r="P1154" s="141"/>
      <c r="Q1154" s="141"/>
      <c r="R1154" s="138"/>
      <c r="S1154" s="138"/>
      <c r="T1154" s="138"/>
      <c r="U1154" s="138"/>
      <c r="AA1154">
        <f>IF(COUNTIF('Call Queue'!$H$6:$H$20,V1154)&gt;0,0,IF(AND(ISNUMBER(N1154),N1154&gt;0),10000000+N1154,IF(ISNUMBER(N1154*1),IF(N1154*1&gt;0,10000000+N1154*1,0),0))+IF(ISNUMBER(SEARCH("(",L1154)),1000000+IFERROR(VALUE(SUBSTITUTE(SUBSTITUTE(SUBSTITUTE(MID(L1154,SEARCH("(",L1154)+1,SEARCH(")",L1154)-SEARCH("(",L1154)-1),"$",""),",","")," ","")),0),0))</f>
        <v>0</v>
      </c>
    </row>
    <row r="1155" spans="1:27">
      <c r="A1155" s="142">
        <v>45903</v>
      </c>
      <c r="B1155" s="143" t="s">
        <v>1201</v>
      </c>
      <c r="C1155" s="143" t="s">
        <v>471</v>
      </c>
      <c r="D1155" s="143" t="s">
        <v>63</v>
      </c>
      <c r="E1155" s="143">
        <v>85042</v>
      </c>
      <c r="F1155" s="143" t="s">
        <v>310</v>
      </c>
      <c r="G1155" s="143" t="s">
        <v>506</v>
      </c>
      <c r="H1155" s="145" t="s">
        <v>90</v>
      </c>
      <c r="I1155" s="146"/>
      <c r="J1155" s="146"/>
      <c r="K1155" s="146"/>
      <c r="L1155" s="146"/>
      <c r="M1155" s="146"/>
      <c r="N1155" s="146"/>
      <c r="O1155" s="146"/>
      <c r="P1155" s="146"/>
      <c r="Q1155" s="146"/>
      <c r="R1155" s="143"/>
      <c r="S1155" s="143"/>
      <c r="T1155" s="143"/>
      <c r="U1155" s="143"/>
      <c r="AA1155">
        <f>IF(COUNTIF('Call Queue'!$H$6:$H$20,V1155)&gt;0,0,IF(AND(ISNUMBER(N1155),N1155&gt;0),10000000+N1155,IF(ISNUMBER(N1155*1),IF(N1155*1&gt;0,10000000+N1155*1,0),0))+IF(ISNUMBER(SEARCH("(",L1155)),1000000+IFERROR(VALUE(SUBSTITUTE(SUBSTITUTE(SUBSTITUTE(MID(L1155,SEARCH("(",L1155)+1,SEARCH(")",L1155)-SEARCH("(",L1155)-1),"$",""),",","")," ","")),0),0))</f>
        <v>0</v>
      </c>
    </row>
    <row r="1156" spans="1:27">
      <c r="A1156" s="137">
        <v>45903</v>
      </c>
      <c r="B1156" s="138" t="s">
        <v>1208</v>
      </c>
      <c r="C1156" s="138" t="s">
        <v>1209</v>
      </c>
      <c r="D1156" s="138" t="s">
        <v>202</v>
      </c>
      <c r="E1156" s="138">
        <v>85383</v>
      </c>
      <c r="F1156" s="138" t="s">
        <v>310</v>
      </c>
      <c r="G1156" s="138" t="s">
        <v>506</v>
      </c>
      <c r="H1156" s="140" t="s">
        <v>90</v>
      </c>
      <c r="I1156" s="141"/>
      <c r="J1156" s="141"/>
      <c r="K1156" s="141"/>
      <c r="L1156" s="141"/>
      <c r="M1156" s="141"/>
      <c r="N1156" s="141"/>
      <c r="O1156" s="141"/>
      <c r="P1156" s="141"/>
      <c r="Q1156" s="141"/>
      <c r="R1156" s="138"/>
      <c r="S1156" s="138"/>
      <c r="T1156" s="138"/>
      <c r="U1156" s="138"/>
      <c r="AA1156">
        <f>IF(COUNTIF('Call Queue'!$H$6:$H$20,V1156)&gt;0,0,IF(AND(ISNUMBER(N1156),N1156&gt;0),10000000+N1156,IF(ISNUMBER(N1156*1),IF(N1156*1&gt;0,10000000+N1156*1,0),0))+IF(ISNUMBER(SEARCH("(",L1156)),1000000+IFERROR(VALUE(SUBSTITUTE(SUBSTITUTE(SUBSTITUTE(MID(L1156,SEARCH("(",L1156)+1,SEARCH(")",L1156)-SEARCH("(",L1156)-1),"$",""),",","")," ","")),0),0))</f>
        <v>0</v>
      </c>
    </row>
    <row r="1157" spans="1:27">
      <c r="A1157" s="137">
        <v>45903</v>
      </c>
      <c r="B1157" s="138" t="s">
        <v>1231</v>
      </c>
      <c r="C1157" s="138" t="s">
        <v>1232</v>
      </c>
      <c r="D1157" s="138" t="s">
        <v>174</v>
      </c>
      <c r="E1157" s="138">
        <v>85326</v>
      </c>
      <c r="F1157" s="138" t="s">
        <v>310</v>
      </c>
      <c r="G1157" s="138" t="s">
        <v>506</v>
      </c>
      <c r="H1157" s="140" t="s">
        <v>90</v>
      </c>
      <c r="I1157" s="141"/>
      <c r="J1157" s="141"/>
      <c r="K1157" s="141"/>
      <c r="L1157" s="141"/>
      <c r="M1157" s="141"/>
      <c r="N1157" s="141"/>
      <c r="O1157" s="141"/>
      <c r="P1157" s="141"/>
      <c r="Q1157" s="141"/>
      <c r="R1157" s="138"/>
      <c r="S1157" s="138"/>
      <c r="T1157" s="138"/>
      <c r="U1157" s="138"/>
      <c r="AA1157">
        <f>IF(COUNTIF('Call Queue'!$H$6:$H$20,V1157)&gt;0,0,IF(AND(ISNUMBER(N1157),N1157&gt;0),10000000+N1157,IF(ISNUMBER(N1157*1),IF(N1157*1&gt;0,10000000+N1157*1,0),0))+IF(ISNUMBER(SEARCH("(",L1157)),1000000+IFERROR(VALUE(SUBSTITUTE(SUBSTITUTE(SUBSTITUTE(MID(L1157,SEARCH("(",L1157)+1,SEARCH(")",L1157)-SEARCH("(",L1157)-1),"$",""),",","")," ","")),0),0))</f>
        <v>0</v>
      </c>
    </row>
    <row r="1158" spans="1:27">
      <c r="A1158" s="137">
        <v>45903</v>
      </c>
      <c r="B1158" s="138" t="s">
        <v>1246</v>
      </c>
      <c r="C1158" s="138" t="s">
        <v>768</v>
      </c>
      <c r="D1158" s="138" t="s">
        <v>202</v>
      </c>
      <c r="E1158" s="138">
        <v>85383</v>
      </c>
      <c r="F1158" s="138" t="s">
        <v>310</v>
      </c>
      <c r="G1158" s="138" t="s">
        <v>506</v>
      </c>
      <c r="H1158" s="140" t="s">
        <v>27</v>
      </c>
      <c r="I1158" s="141"/>
      <c r="J1158" s="141"/>
      <c r="K1158" s="141"/>
      <c r="L1158" s="141"/>
      <c r="M1158" s="141"/>
      <c r="N1158" s="141"/>
      <c r="O1158" s="141"/>
      <c r="P1158" s="141"/>
      <c r="Q1158" s="141"/>
      <c r="R1158" s="138"/>
      <c r="S1158" s="138"/>
      <c r="T1158" s="138"/>
      <c r="U1158" s="138"/>
      <c r="AA1158">
        <f>IF(COUNTIF('Call Queue'!$H$6:$H$20,V1158)&gt;0,0,IF(AND(ISNUMBER(N1158),N1158&gt;0),10000000+N1158,IF(ISNUMBER(N1158*1),IF(N1158*1&gt;0,10000000+N1158*1,0),0))+IF(ISNUMBER(SEARCH("(",L1158)),1000000+IFERROR(VALUE(SUBSTITUTE(SUBSTITUTE(SUBSTITUTE(MID(L1158,SEARCH("(",L1158)+1,SEARCH(")",L1158)-SEARCH("(",L1158)-1),"$",""),",","")," ","")),0),0))</f>
        <v>0</v>
      </c>
    </row>
    <row r="1159" spans="1:27">
      <c r="A1159" s="137">
        <v>45903</v>
      </c>
      <c r="B1159" s="138" t="s">
        <v>1263</v>
      </c>
      <c r="C1159" s="138" t="s">
        <v>333</v>
      </c>
      <c r="D1159" s="138" t="s">
        <v>635</v>
      </c>
      <c r="E1159" s="138">
        <v>85281</v>
      </c>
      <c r="F1159" s="138" t="s">
        <v>31</v>
      </c>
      <c r="G1159" s="138" t="s">
        <v>506</v>
      </c>
      <c r="H1159" s="140" t="s">
        <v>27</v>
      </c>
      <c r="I1159" s="141"/>
      <c r="J1159" s="141"/>
      <c r="K1159" s="141"/>
      <c r="L1159" s="141"/>
      <c r="M1159" s="141"/>
      <c r="N1159" s="141"/>
      <c r="O1159" s="141"/>
      <c r="P1159" s="141"/>
      <c r="Q1159" s="141"/>
      <c r="R1159" s="138"/>
      <c r="S1159" s="138"/>
      <c r="T1159" s="138"/>
      <c r="U1159" s="138"/>
      <c r="AA1159">
        <f>IF(COUNTIF('Call Queue'!$H$6:$H$20,V1159)&gt;0,0,IF(AND(ISNUMBER(N1159),N1159&gt;0),10000000+N1159,IF(ISNUMBER(N1159*1),IF(N1159*1&gt;0,10000000+N1159*1,0),0))+IF(ISNUMBER(SEARCH("(",L1159)),1000000+IFERROR(VALUE(SUBSTITUTE(SUBSTITUTE(SUBSTITUTE(MID(L1159,SEARCH("(",L1159)+1,SEARCH(")",L1159)-SEARCH("(",L1159)-1),"$",""),",","")," ","")),0),0))</f>
        <v>0</v>
      </c>
    </row>
    <row r="1160" spans="1:27">
      <c r="A1160" s="142">
        <v>45903</v>
      </c>
      <c r="B1160" s="143" t="s">
        <v>1264</v>
      </c>
      <c r="C1160" s="143" t="s">
        <v>1265</v>
      </c>
      <c r="D1160" s="143" t="s">
        <v>202</v>
      </c>
      <c r="E1160" s="143">
        <v>85383</v>
      </c>
      <c r="F1160" s="143" t="s">
        <v>31</v>
      </c>
      <c r="G1160" s="143" t="s">
        <v>506</v>
      </c>
      <c r="H1160" s="145" t="s">
        <v>27</v>
      </c>
      <c r="I1160" s="146"/>
      <c r="J1160" s="146"/>
      <c r="K1160" s="146"/>
      <c r="L1160" s="146"/>
      <c r="M1160" s="146"/>
      <c r="N1160" s="146"/>
      <c r="O1160" s="146"/>
      <c r="P1160" s="146"/>
      <c r="Q1160" s="146"/>
      <c r="R1160" s="143"/>
      <c r="S1160" s="143"/>
      <c r="T1160" s="143"/>
      <c r="U1160" s="143"/>
      <c r="AA1160">
        <f>IF(COUNTIF('Call Queue'!$H$6:$H$20,V1160)&gt;0,0,IF(AND(ISNUMBER(N1160),N1160&gt;0),10000000+N1160,IF(ISNUMBER(N1160*1),IF(N1160*1&gt;0,10000000+N1160*1,0),0))+IF(ISNUMBER(SEARCH("(",L1160)),1000000+IFERROR(VALUE(SUBSTITUTE(SUBSTITUTE(SUBSTITUTE(MID(L1160,SEARCH("(",L1160)+1,SEARCH(")",L1160)-SEARCH("(",L1160)-1),"$",""),",","")," ","")),0),0))</f>
        <v>0</v>
      </c>
    </row>
    <row r="1161" spans="1:27">
      <c r="A1161" s="137">
        <v>45903</v>
      </c>
      <c r="B1161" s="138" t="s">
        <v>1266</v>
      </c>
      <c r="C1161" s="138" t="s">
        <v>1267</v>
      </c>
      <c r="D1161" s="138" t="s">
        <v>63</v>
      </c>
      <c r="E1161" s="138">
        <v>85007</v>
      </c>
      <c r="F1161" s="138" t="s">
        <v>310</v>
      </c>
      <c r="G1161" s="138" t="s">
        <v>506</v>
      </c>
      <c r="H1161" s="140" t="s">
        <v>90</v>
      </c>
      <c r="I1161" s="141"/>
      <c r="J1161" s="141"/>
      <c r="K1161" s="141"/>
      <c r="L1161" s="141"/>
      <c r="M1161" s="141"/>
      <c r="N1161" s="141"/>
      <c r="O1161" s="141"/>
      <c r="P1161" s="141"/>
      <c r="Q1161" s="141"/>
      <c r="R1161" s="138"/>
      <c r="S1161" s="138"/>
      <c r="T1161" s="138"/>
      <c r="U1161" s="138"/>
      <c r="AA1161">
        <f>IF(COUNTIF('Call Queue'!$H$6:$H$20,V1161)&gt;0,0,IF(AND(ISNUMBER(N1161),N1161&gt;0),10000000+N1161,IF(ISNUMBER(N1161*1),IF(N1161*1&gt;0,10000000+N1161*1,0),0))+IF(ISNUMBER(SEARCH("(",L1161)),1000000+IFERROR(VALUE(SUBSTITUTE(SUBSTITUTE(SUBSTITUTE(MID(L1161,SEARCH("(",L1161)+1,SEARCH(")",L1161)-SEARCH("(",L1161)-1),"$",""),",","")," ","")),0),0))</f>
        <v>0</v>
      </c>
    </row>
    <row r="1162" spans="1:27">
      <c r="A1162" s="137">
        <v>45903</v>
      </c>
      <c r="B1162" s="138" t="s">
        <v>1277</v>
      </c>
      <c r="C1162" s="138" t="s">
        <v>1278</v>
      </c>
      <c r="D1162" s="138" t="s">
        <v>523</v>
      </c>
      <c r="E1162" s="138">
        <v>85392</v>
      </c>
      <c r="F1162" s="138" t="s">
        <v>1279</v>
      </c>
      <c r="G1162" s="138" t="s">
        <v>506</v>
      </c>
      <c r="H1162" s="140" t="s">
        <v>27</v>
      </c>
      <c r="I1162" s="141"/>
      <c r="J1162" s="141"/>
      <c r="K1162" s="141"/>
      <c r="L1162" s="141"/>
      <c r="M1162" s="141"/>
      <c r="N1162" s="141"/>
      <c r="O1162" s="141"/>
      <c r="P1162" s="141"/>
      <c r="Q1162" s="141"/>
      <c r="R1162" s="138"/>
      <c r="S1162" s="138"/>
      <c r="T1162" s="138"/>
      <c r="U1162" s="138"/>
      <c r="AA1162">
        <f>IF(COUNTIF('Call Queue'!$H$6:$H$20,V1162)&gt;0,0,IF(AND(ISNUMBER(N1162),N1162&gt;0),10000000+N1162,IF(ISNUMBER(N1162*1),IF(N1162*1&gt;0,10000000+N1162*1,0),0))+IF(ISNUMBER(SEARCH("(",L1162)),1000000+IFERROR(VALUE(SUBSTITUTE(SUBSTITUTE(SUBSTITUTE(MID(L1162,SEARCH("(",L1162)+1,SEARCH(")",L1162)-SEARCH("(",L1162)-1),"$",""),",","")," ","")),0),0))</f>
        <v>0</v>
      </c>
    </row>
    <row r="1163" spans="1:27">
      <c r="A1163" s="137">
        <v>45903</v>
      </c>
      <c r="B1163" s="138" t="s">
        <v>1288</v>
      </c>
      <c r="C1163" s="138" t="s">
        <v>1289</v>
      </c>
      <c r="D1163" s="138" t="s">
        <v>63</v>
      </c>
      <c r="E1163" s="138">
        <v>85022</v>
      </c>
      <c r="F1163" s="138" t="s">
        <v>31</v>
      </c>
      <c r="G1163" s="138" t="s">
        <v>506</v>
      </c>
      <c r="H1163" s="140" t="s">
        <v>27</v>
      </c>
      <c r="I1163" s="141"/>
      <c r="J1163" s="141"/>
      <c r="K1163" s="141"/>
      <c r="L1163" s="141"/>
      <c r="M1163" s="141"/>
      <c r="N1163" s="141"/>
      <c r="O1163" s="141"/>
      <c r="P1163" s="141"/>
      <c r="Q1163" s="141"/>
      <c r="R1163" s="138"/>
      <c r="S1163" s="138"/>
      <c r="T1163" s="138"/>
      <c r="U1163" s="138"/>
      <c r="AA1163">
        <f>IF(COUNTIF('Call Queue'!$H$6:$H$20,V1163)&gt;0,0,IF(AND(ISNUMBER(N1163),N1163&gt;0),10000000+N1163,IF(ISNUMBER(N1163*1),IF(N1163*1&gt;0,10000000+N1163*1,0),0))+IF(ISNUMBER(SEARCH("(",L1163)),1000000+IFERROR(VALUE(SUBSTITUTE(SUBSTITUTE(SUBSTITUTE(MID(L1163,SEARCH("(",L1163)+1,SEARCH(")",L1163)-SEARCH("(",L1163)-1),"$",""),",","")," ","")),0),0))</f>
        <v>0</v>
      </c>
    </row>
    <row r="1164" spans="1:27">
      <c r="A1164" s="142">
        <v>45903</v>
      </c>
      <c r="B1164" s="143" t="s">
        <v>1297</v>
      </c>
      <c r="C1164" s="143" t="s">
        <v>1298</v>
      </c>
      <c r="D1164" s="143" t="s">
        <v>1299</v>
      </c>
      <c r="E1164" s="143">
        <v>85349</v>
      </c>
      <c r="F1164" s="143" t="s">
        <v>31</v>
      </c>
      <c r="G1164" s="143" t="s">
        <v>506</v>
      </c>
      <c r="H1164" s="145" t="s">
        <v>27</v>
      </c>
      <c r="I1164" s="146"/>
      <c r="J1164" s="146"/>
      <c r="K1164" s="146"/>
      <c r="L1164" s="146"/>
      <c r="M1164" s="146"/>
      <c r="N1164" s="146"/>
      <c r="O1164" s="146"/>
      <c r="P1164" s="146"/>
      <c r="Q1164" s="146"/>
      <c r="R1164" s="143"/>
      <c r="S1164" s="143"/>
      <c r="T1164" s="143"/>
      <c r="U1164" s="143"/>
      <c r="AA1164">
        <f>IF(COUNTIF('Call Queue'!$H$6:$H$20,V1164)&gt;0,0,IF(AND(ISNUMBER(N1164),N1164&gt;0),10000000+N1164,IF(ISNUMBER(N1164*1),IF(N1164*1&gt;0,10000000+N1164*1,0),0))+IF(ISNUMBER(SEARCH("(",L1164)),1000000+IFERROR(VALUE(SUBSTITUTE(SUBSTITUTE(SUBSTITUTE(MID(L1164,SEARCH("(",L1164)+1,SEARCH(")",L1164)-SEARCH("(",L1164)-1),"$",""),",","")," ","")),0),0))</f>
        <v>0</v>
      </c>
    </row>
    <row r="1165" spans="1:27">
      <c r="A1165" s="142">
        <v>45903</v>
      </c>
      <c r="B1165" s="143" t="s">
        <v>1304</v>
      </c>
      <c r="C1165" s="143" t="s">
        <v>481</v>
      </c>
      <c r="D1165" s="143" t="s">
        <v>169</v>
      </c>
      <c r="E1165" s="143">
        <v>85338</v>
      </c>
      <c r="F1165" s="143" t="s">
        <v>1167</v>
      </c>
      <c r="G1165" s="143" t="s">
        <v>506</v>
      </c>
      <c r="H1165" s="145" t="s">
        <v>27</v>
      </c>
      <c r="I1165" s="146"/>
      <c r="J1165" s="146"/>
      <c r="K1165" s="146"/>
      <c r="L1165" s="146"/>
      <c r="M1165" s="146"/>
      <c r="N1165" s="146"/>
      <c r="O1165" s="146"/>
      <c r="P1165" s="146"/>
      <c r="Q1165" s="146"/>
      <c r="R1165" s="143"/>
      <c r="S1165" s="143"/>
      <c r="T1165" s="143"/>
      <c r="U1165" s="143"/>
      <c r="AA1165">
        <f>IF(COUNTIF('Call Queue'!$H$6:$H$20,V1165)&gt;0,0,IF(AND(ISNUMBER(N1165),N1165&gt;0),10000000+N1165,IF(ISNUMBER(N1165*1),IF(N1165*1&gt;0,10000000+N1165*1,0),0))+IF(ISNUMBER(SEARCH("(",L1165)),1000000+IFERROR(VALUE(SUBSTITUTE(SUBSTITUTE(SUBSTITUTE(MID(L1165,SEARCH("(",L1165)+1,SEARCH(")",L1165)-SEARCH("(",L1165)-1),"$",""),",","")," ","")),0),0))</f>
        <v>0</v>
      </c>
    </row>
    <row r="1166" spans="1:27">
      <c r="A1166" s="142">
        <v>45903</v>
      </c>
      <c r="B1166" s="143" t="s">
        <v>1309</v>
      </c>
      <c r="C1166" s="143" t="s">
        <v>1310</v>
      </c>
      <c r="D1166" s="143" t="s">
        <v>63</v>
      </c>
      <c r="E1166" s="143">
        <v>85015</v>
      </c>
      <c r="F1166" s="143" t="s">
        <v>31</v>
      </c>
      <c r="G1166" s="143" t="s">
        <v>506</v>
      </c>
      <c r="H1166" s="145" t="s">
        <v>27</v>
      </c>
      <c r="I1166" s="146"/>
      <c r="J1166" s="146"/>
      <c r="K1166" s="146"/>
      <c r="L1166" s="146"/>
      <c r="M1166" s="146"/>
      <c r="N1166" s="146"/>
      <c r="O1166" s="146"/>
      <c r="P1166" s="146"/>
      <c r="Q1166" s="146"/>
      <c r="R1166" s="143"/>
      <c r="S1166" s="143"/>
      <c r="T1166" s="143"/>
      <c r="U1166" s="143"/>
      <c r="AA1166">
        <f>IF(COUNTIF('Call Queue'!$H$6:$H$20,V1166)&gt;0,0,IF(AND(ISNUMBER(N1166),N1166&gt;0),10000000+N1166,IF(ISNUMBER(N1166*1),IF(N1166*1&gt;0,10000000+N1166*1,0),0))+IF(ISNUMBER(SEARCH("(",L1166)),1000000+IFERROR(VALUE(SUBSTITUTE(SUBSTITUTE(SUBSTITUTE(MID(L1166,SEARCH("(",L1166)+1,SEARCH(")",L1166)-SEARCH("(",L1166)-1),"$",""),",","")," ","")),0),0))</f>
        <v>0</v>
      </c>
    </row>
    <row r="1167" spans="1:27">
      <c r="A1167" s="142">
        <v>45903</v>
      </c>
      <c r="B1167" s="143" t="s">
        <v>1320</v>
      </c>
      <c r="C1167" s="143" t="s">
        <v>1321</v>
      </c>
      <c r="D1167" s="143" t="s">
        <v>112</v>
      </c>
      <c r="E1167" s="143">
        <v>85387</v>
      </c>
      <c r="F1167" s="143" t="s">
        <v>310</v>
      </c>
      <c r="G1167" s="143" t="s">
        <v>506</v>
      </c>
      <c r="H1167" s="145" t="s">
        <v>27</v>
      </c>
      <c r="I1167" s="146"/>
      <c r="J1167" s="146"/>
      <c r="K1167" s="146"/>
      <c r="L1167" s="146"/>
      <c r="M1167" s="146"/>
      <c r="N1167" s="146"/>
      <c r="O1167" s="146"/>
      <c r="P1167" s="146"/>
      <c r="Q1167" s="146"/>
      <c r="R1167" s="143"/>
      <c r="S1167" s="143"/>
      <c r="T1167" s="143"/>
      <c r="U1167" s="143"/>
      <c r="AA1167">
        <f>IF(COUNTIF('Call Queue'!$H$6:$H$20,V1167)&gt;0,0,IF(AND(ISNUMBER(N1167),N1167&gt;0),10000000+N1167,IF(ISNUMBER(N1167*1),IF(N1167*1&gt;0,10000000+N1167*1,0),0))+IF(ISNUMBER(SEARCH("(",L1167)),1000000+IFERROR(VALUE(SUBSTITUTE(SUBSTITUTE(SUBSTITUTE(MID(L1167,SEARCH("(",L1167)+1,SEARCH(")",L1167)-SEARCH("(",L1167)-1),"$",""),",","")," ","")),0),0))</f>
        <v>0</v>
      </c>
    </row>
    <row r="1168" spans="1:27">
      <c r="A1168" s="142">
        <v>45903</v>
      </c>
      <c r="B1168" s="143" t="s">
        <v>1331</v>
      </c>
      <c r="C1168" s="143" t="s">
        <v>1332</v>
      </c>
      <c r="D1168" s="143" t="s">
        <v>63</v>
      </c>
      <c r="E1168" s="143">
        <v>86032</v>
      </c>
      <c r="F1168" s="143" t="s">
        <v>31</v>
      </c>
      <c r="G1168" s="143" t="s">
        <v>1329</v>
      </c>
      <c r="H1168" s="145" t="s">
        <v>27</v>
      </c>
      <c r="I1168" s="146"/>
      <c r="J1168" s="146"/>
      <c r="K1168" s="146"/>
      <c r="L1168" s="146"/>
      <c r="M1168" s="146"/>
      <c r="N1168" s="146"/>
      <c r="O1168" s="146"/>
      <c r="P1168" s="146"/>
      <c r="Q1168" s="146"/>
      <c r="R1168" s="143"/>
      <c r="S1168" s="143"/>
      <c r="T1168" s="143"/>
      <c r="U1168" s="143"/>
      <c r="AA1168">
        <f>IF(COUNTIF('Call Queue'!$H$6:$H$20,V1168)&gt;0,0,IF(AND(ISNUMBER(N1168),N1168&gt;0),10000000+N1168,IF(ISNUMBER(N1168*1),IF(N1168*1&gt;0,10000000+N1168*1,0),0))+IF(ISNUMBER(SEARCH("(",L1168)),1000000+IFERROR(VALUE(SUBSTITUTE(SUBSTITUTE(SUBSTITUTE(MID(L1168,SEARCH("(",L1168)+1,SEARCH(")",L1168)-SEARCH("(",L1168)-1),"$",""),",","")," ","")),0),0))</f>
        <v>0</v>
      </c>
    </row>
    <row r="1169" spans="1:27">
      <c r="A1169" s="137">
        <v>45903</v>
      </c>
      <c r="B1169" s="138" t="s">
        <v>1350</v>
      </c>
      <c r="C1169" s="138" t="s">
        <v>1351</v>
      </c>
      <c r="D1169" s="138" t="s">
        <v>240</v>
      </c>
      <c r="E1169" s="138">
        <v>85340</v>
      </c>
      <c r="F1169" s="138" t="s">
        <v>31</v>
      </c>
      <c r="G1169" s="138" t="s">
        <v>1329</v>
      </c>
      <c r="H1169" s="140" t="s">
        <v>27</v>
      </c>
      <c r="I1169" s="141"/>
      <c r="J1169" s="141"/>
      <c r="K1169" s="141"/>
      <c r="L1169" s="141"/>
      <c r="M1169" s="141"/>
      <c r="N1169" s="141"/>
      <c r="O1169" s="141"/>
      <c r="P1169" s="141"/>
      <c r="Q1169" s="141"/>
      <c r="R1169" s="138"/>
      <c r="S1169" s="138"/>
      <c r="T1169" s="138"/>
      <c r="U1169" s="138"/>
      <c r="AA1169">
        <f>IF(COUNTIF('Call Queue'!$H$6:$H$20,V1169)&gt;0,0,IF(AND(ISNUMBER(N1169),N1169&gt;0),10000000+N1169,IF(ISNUMBER(N1169*1),IF(N1169*1&gt;0,10000000+N1169*1,0),0))+IF(ISNUMBER(SEARCH("(",L1169)),1000000+IFERROR(VALUE(SUBSTITUTE(SUBSTITUTE(SUBSTITUTE(MID(L1169,SEARCH("(",L1169)+1,SEARCH(")",L1169)-SEARCH("(",L1169)-1),"$",""),",","")," ","")),0),0))</f>
        <v>0</v>
      </c>
    </row>
    <row r="1170" spans="1:27">
      <c r="A1170" s="142">
        <v>45903</v>
      </c>
      <c r="B1170" s="143" t="s">
        <v>1369</v>
      </c>
      <c r="C1170" s="143" t="s">
        <v>1370</v>
      </c>
      <c r="D1170" s="143" t="s">
        <v>125</v>
      </c>
      <c r="E1170" s="143">
        <v>85259</v>
      </c>
      <c r="F1170" s="143" t="s">
        <v>310</v>
      </c>
      <c r="G1170" s="143" t="s">
        <v>1329</v>
      </c>
      <c r="H1170" s="145" t="s">
        <v>27</v>
      </c>
      <c r="I1170" s="146"/>
      <c r="J1170" s="146"/>
      <c r="K1170" s="146"/>
      <c r="L1170" s="146"/>
      <c r="M1170" s="146"/>
      <c r="N1170" s="146"/>
      <c r="O1170" s="146"/>
      <c r="P1170" s="146"/>
      <c r="Q1170" s="146"/>
      <c r="R1170" s="143"/>
      <c r="S1170" s="143"/>
      <c r="T1170" s="143"/>
      <c r="U1170" s="143"/>
      <c r="AA1170">
        <f>IF(COUNTIF('Call Queue'!$H$6:$H$20,V1170)&gt;0,0,IF(AND(ISNUMBER(N1170),N1170&gt;0),10000000+N1170,IF(ISNUMBER(N1170*1),IF(N1170*1&gt;0,10000000+N1170*1,0),0))+IF(ISNUMBER(SEARCH("(",L1170)),1000000+IFERROR(VALUE(SUBSTITUTE(SUBSTITUTE(SUBSTITUTE(MID(L1170,SEARCH("(",L1170)+1,SEARCH(")",L1170)-SEARCH("(",L1170)-1),"$",""),",","")," ","")),0),0))</f>
        <v>0</v>
      </c>
    </row>
    <row r="1171" spans="1:27">
      <c r="A1171" s="142">
        <v>45903</v>
      </c>
      <c r="B1171" s="143" t="s">
        <v>1374</v>
      </c>
      <c r="C1171" s="143" t="s">
        <v>1375</v>
      </c>
      <c r="D1171" s="143" t="s">
        <v>24</v>
      </c>
      <c r="E1171" s="143">
        <v>85308</v>
      </c>
      <c r="F1171" s="143" t="s">
        <v>31</v>
      </c>
      <c r="G1171" s="143" t="s">
        <v>1329</v>
      </c>
      <c r="H1171" s="145" t="s">
        <v>27</v>
      </c>
      <c r="I1171" s="146"/>
      <c r="J1171" s="146"/>
      <c r="K1171" s="146"/>
      <c r="L1171" s="146"/>
      <c r="M1171" s="146"/>
      <c r="N1171" s="146"/>
      <c r="O1171" s="146"/>
      <c r="P1171" s="146"/>
      <c r="Q1171" s="146"/>
      <c r="R1171" s="143"/>
      <c r="S1171" s="143"/>
      <c r="T1171" s="143"/>
      <c r="U1171" s="143"/>
      <c r="AA1171">
        <f>IF(COUNTIF('Call Queue'!$H$6:$H$20,V1171)&gt;0,0,IF(AND(ISNUMBER(N1171),N1171&gt;0),10000000+N1171,IF(ISNUMBER(N1171*1),IF(N1171*1&gt;0,10000000+N1171*1,0),0))+IF(ISNUMBER(SEARCH("(",L1171)),1000000+IFERROR(VALUE(SUBSTITUTE(SUBSTITUTE(SUBSTITUTE(MID(L1171,SEARCH("(",L1171)+1,SEARCH(")",L1171)-SEARCH("(",L1171)-1),"$",""),",","")," ","")),0),0))</f>
        <v>0</v>
      </c>
    </row>
    <row r="1172" spans="1:27">
      <c r="A1172" s="137">
        <v>45903</v>
      </c>
      <c r="B1172" s="138" t="s">
        <v>1376</v>
      </c>
      <c r="C1172" s="138" t="s">
        <v>1377</v>
      </c>
      <c r="D1172" s="138" t="s">
        <v>523</v>
      </c>
      <c r="E1172" s="138">
        <v>85392</v>
      </c>
      <c r="F1172" s="138" t="s">
        <v>31</v>
      </c>
      <c r="G1172" s="138" t="s">
        <v>1329</v>
      </c>
      <c r="H1172" s="140" t="s">
        <v>27</v>
      </c>
      <c r="I1172" s="141"/>
      <c r="J1172" s="141"/>
      <c r="K1172" s="141"/>
      <c r="L1172" s="141"/>
      <c r="M1172" s="141"/>
      <c r="N1172" s="141"/>
      <c r="O1172" s="141"/>
      <c r="P1172" s="141"/>
      <c r="Q1172" s="141"/>
      <c r="R1172" s="138"/>
      <c r="S1172" s="138"/>
      <c r="T1172" s="138"/>
      <c r="U1172" s="138"/>
      <c r="AA1172">
        <f>IF(COUNTIF('Call Queue'!$H$6:$H$20,V1172)&gt;0,0,IF(AND(ISNUMBER(N1172),N1172&gt;0),10000000+N1172,IF(ISNUMBER(N1172*1),IF(N1172*1&gt;0,10000000+N1172*1,0),0))+IF(ISNUMBER(SEARCH("(",L1172)),1000000+IFERROR(VALUE(SUBSTITUTE(SUBSTITUTE(SUBSTITUTE(MID(L1172,SEARCH("(",L1172)+1,SEARCH(")",L1172)-SEARCH("(",L1172)-1),"$",""),",","")," ","")),0),0))</f>
        <v>0</v>
      </c>
    </row>
    <row r="1173" spans="1:27">
      <c r="A1173" s="142">
        <v>45903</v>
      </c>
      <c r="B1173" s="143" t="s">
        <v>1378</v>
      </c>
      <c r="C1173" s="143" t="s">
        <v>135</v>
      </c>
      <c r="D1173" s="143" t="s">
        <v>1379</v>
      </c>
      <c r="E1173" s="143">
        <v>85353</v>
      </c>
      <c r="F1173" s="143" t="s">
        <v>31</v>
      </c>
      <c r="G1173" s="143" t="s">
        <v>1329</v>
      </c>
      <c r="H1173" s="145" t="s">
        <v>27</v>
      </c>
      <c r="I1173" s="146"/>
      <c r="J1173" s="146"/>
      <c r="K1173" s="146"/>
      <c r="L1173" s="146"/>
      <c r="M1173" s="146"/>
      <c r="N1173" s="146"/>
      <c r="O1173" s="146"/>
      <c r="P1173" s="146"/>
      <c r="Q1173" s="146"/>
      <c r="R1173" s="143"/>
      <c r="S1173" s="143"/>
      <c r="T1173" s="143"/>
      <c r="U1173" s="143"/>
      <c r="AA1173">
        <f>IF(COUNTIF('Call Queue'!$H$6:$H$20,V1173)&gt;0,0,IF(AND(ISNUMBER(N1173),N1173&gt;0),10000000+N1173,IF(ISNUMBER(N1173*1),IF(N1173*1&gt;0,10000000+N1173*1,0),0))+IF(ISNUMBER(SEARCH("(",L1173)),1000000+IFERROR(VALUE(SUBSTITUTE(SUBSTITUTE(SUBSTITUTE(MID(L1173,SEARCH("(",L1173)+1,SEARCH(")",L1173)-SEARCH("(",L1173)-1),"$",""),",","")," ","")),0),0))</f>
        <v>0</v>
      </c>
    </row>
    <row r="1174" spans="1:27">
      <c r="A1174" s="137">
        <v>45903</v>
      </c>
      <c r="B1174" s="138" t="s">
        <v>1380</v>
      </c>
      <c r="C1174" s="138" t="s">
        <v>529</v>
      </c>
      <c r="D1174" s="138" t="s">
        <v>504</v>
      </c>
      <c r="E1174" s="138">
        <v>86001</v>
      </c>
      <c r="F1174" s="138" t="s">
        <v>310</v>
      </c>
      <c r="G1174" s="138" t="s">
        <v>1329</v>
      </c>
      <c r="H1174" s="140" t="s">
        <v>27</v>
      </c>
      <c r="I1174" s="141"/>
      <c r="J1174" s="141"/>
      <c r="K1174" s="141"/>
      <c r="L1174" s="141"/>
      <c r="M1174" s="141"/>
      <c r="N1174" s="141"/>
      <c r="O1174" s="141"/>
      <c r="P1174" s="141"/>
      <c r="Q1174" s="141"/>
      <c r="R1174" s="138"/>
      <c r="S1174" s="138"/>
      <c r="T1174" s="138"/>
      <c r="U1174" s="138"/>
      <c r="AA1174">
        <f>IF(COUNTIF('Call Queue'!$H$6:$H$20,V1174)&gt;0,0,IF(AND(ISNUMBER(N1174),N1174&gt;0),10000000+N1174,IF(ISNUMBER(N1174*1),IF(N1174*1&gt;0,10000000+N1174*1,0),0))+IF(ISNUMBER(SEARCH("(",L1174)),1000000+IFERROR(VALUE(SUBSTITUTE(SUBSTITUTE(SUBSTITUTE(MID(L1174,SEARCH("(",L1174)+1,SEARCH(")",L1174)-SEARCH("(",L1174)-1),"$",""),",","")," ","")),0),0))</f>
        <v>0</v>
      </c>
    </row>
    <row r="1175" spans="1:27">
      <c r="A1175" s="142">
        <v>45903</v>
      </c>
      <c r="B1175" s="143" t="s">
        <v>1381</v>
      </c>
      <c r="C1175" s="143" t="s">
        <v>1382</v>
      </c>
      <c r="D1175" s="143" t="s">
        <v>125</v>
      </c>
      <c r="E1175" s="143">
        <v>85257</v>
      </c>
      <c r="F1175" s="143" t="s">
        <v>310</v>
      </c>
      <c r="G1175" s="143" t="s">
        <v>1329</v>
      </c>
      <c r="H1175" s="145" t="s">
        <v>27</v>
      </c>
      <c r="I1175" s="146"/>
      <c r="J1175" s="146"/>
      <c r="K1175" s="146"/>
      <c r="L1175" s="146"/>
      <c r="M1175" s="146"/>
      <c r="N1175" s="146"/>
      <c r="O1175" s="146"/>
      <c r="P1175" s="146"/>
      <c r="Q1175" s="146"/>
      <c r="R1175" s="143"/>
      <c r="S1175" s="143"/>
      <c r="T1175" s="143"/>
      <c r="U1175" s="143"/>
      <c r="AA1175">
        <f>IF(COUNTIF('Call Queue'!$H$6:$H$20,V1175)&gt;0,0,IF(AND(ISNUMBER(N1175),N1175&gt;0),10000000+N1175,IF(ISNUMBER(N1175*1),IF(N1175*1&gt;0,10000000+N1175*1,0),0))+IF(ISNUMBER(SEARCH("(",L1175)),1000000+IFERROR(VALUE(SUBSTITUTE(SUBSTITUTE(SUBSTITUTE(MID(L1175,SEARCH("(",L1175)+1,SEARCH(")",L1175)-SEARCH("(",L1175)-1),"$",""),",","")," ","")),0),0))</f>
        <v>0</v>
      </c>
    </row>
    <row r="1176" spans="1:27">
      <c r="A1176" s="137">
        <v>45903</v>
      </c>
      <c r="B1176" s="138" t="s">
        <v>1390</v>
      </c>
      <c r="C1176" s="138" t="s">
        <v>1391</v>
      </c>
      <c r="D1176" s="138" t="s">
        <v>63</v>
      </c>
      <c r="E1176" s="138">
        <v>85037</v>
      </c>
      <c r="F1176" s="138" t="s">
        <v>310</v>
      </c>
      <c r="G1176" s="138" t="s">
        <v>1329</v>
      </c>
      <c r="H1176" s="140" t="s">
        <v>90</v>
      </c>
      <c r="I1176" s="141"/>
      <c r="J1176" s="141"/>
      <c r="K1176" s="141"/>
      <c r="L1176" s="141"/>
      <c r="M1176" s="141"/>
      <c r="N1176" s="141"/>
      <c r="O1176" s="141"/>
      <c r="P1176" s="141"/>
      <c r="Q1176" s="141"/>
      <c r="R1176" s="138"/>
      <c r="S1176" s="138"/>
      <c r="T1176" s="138"/>
      <c r="U1176" s="138"/>
      <c r="AA1176">
        <f>IF(COUNTIF('Call Queue'!$H$6:$H$20,V1176)&gt;0,0,IF(AND(ISNUMBER(N1176),N1176&gt;0),10000000+N1176,IF(ISNUMBER(N1176*1),IF(N1176*1&gt;0,10000000+N1176*1,0),0))+IF(ISNUMBER(SEARCH("(",L1176)),1000000+IFERROR(VALUE(SUBSTITUTE(SUBSTITUTE(SUBSTITUTE(MID(L1176,SEARCH("(",L1176)+1,SEARCH(")",L1176)-SEARCH("(",L1176)-1),"$",""),",","")," ","")),0),0))</f>
        <v>0</v>
      </c>
    </row>
    <row r="1177" spans="1:27">
      <c r="A1177" s="142">
        <v>45903</v>
      </c>
      <c r="B1177" s="143" t="s">
        <v>1399</v>
      </c>
      <c r="C1177" s="143" t="s">
        <v>1400</v>
      </c>
      <c r="D1177" s="143" t="s">
        <v>129</v>
      </c>
      <c r="E1177" s="143">
        <v>85298</v>
      </c>
      <c r="F1177" s="143" t="s">
        <v>310</v>
      </c>
      <c r="G1177" s="143" t="s">
        <v>1329</v>
      </c>
      <c r="H1177" s="145" t="s">
        <v>27</v>
      </c>
      <c r="I1177" s="146"/>
      <c r="J1177" s="146"/>
      <c r="K1177" s="146"/>
      <c r="L1177" s="146"/>
      <c r="M1177" s="146"/>
      <c r="N1177" s="146"/>
      <c r="O1177" s="146"/>
      <c r="P1177" s="146"/>
      <c r="Q1177" s="146"/>
      <c r="R1177" s="143"/>
      <c r="S1177" s="143"/>
      <c r="T1177" s="143"/>
      <c r="U1177" s="143"/>
      <c r="AA1177">
        <f>IF(COUNTIF('Call Queue'!$H$6:$H$20,V1177)&gt;0,0,IF(AND(ISNUMBER(N1177),N1177&gt;0),10000000+N1177,IF(ISNUMBER(N1177*1),IF(N1177*1&gt;0,10000000+N1177*1,0),0))+IF(ISNUMBER(SEARCH("(",L1177)),1000000+IFERROR(VALUE(SUBSTITUTE(SUBSTITUTE(SUBSTITUTE(MID(L1177,SEARCH("(",L1177)+1,SEARCH(")",L1177)-SEARCH("(",L1177)-1),"$",""),",","")," ","")),0),0))</f>
        <v>0</v>
      </c>
    </row>
    <row r="1178" spans="1:27">
      <c r="A1178" s="137">
        <v>45903</v>
      </c>
      <c r="B1178" s="138" t="s">
        <v>1401</v>
      </c>
      <c r="C1178" s="138" t="s">
        <v>1402</v>
      </c>
      <c r="D1178" s="138" t="s">
        <v>63</v>
      </c>
      <c r="E1178" s="138">
        <v>85053</v>
      </c>
      <c r="F1178" s="138" t="s">
        <v>310</v>
      </c>
      <c r="G1178" s="138" t="s">
        <v>1329</v>
      </c>
      <c r="H1178" s="140" t="s">
        <v>90</v>
      </c>
      <c r="I1178" s="141"/>
      <c r="J1178" s="141"/>
      <c r="K1178" s="141"/>
      <c r="L1178" s="141"/>
      <c r="M1178" s="141"/>
      <c r="N1178" s="141"/>
      <c r="O1178" s="141"/>
      <c r="P1178" s="141"/>
      <c r="Q1178" s="141"/>
      <c r="R1178" s="138"/>
      <c r="S1178" s="138"/>
      <c r="T1178" s="138"/>
      <c r="U1178" s="138"/>
      <c r="AA1178">
        <f>IF(COUNTIF('Call Queue'!$H$6:$H$20,V1178)&gt;0,0,IF(AND(ISNUMBER(N1178),N1178&gt;0),10000000+N1178,IF(ISNUMBER(N1178*1),IF(N1178*1&gt;0,10000000+N1178*1,0),0))+IF(ISNUMBER(SEARCH("(",L1178)),1000000+IFERROR(VALUE(SUBSTITUTE(SUBSTITUTE(SUBSTITUTE(MID(L1178,SEARCH("(",L1178)+1,SEARCH(")",L1178)-SEARCH("(",L1178)-1),"$",""),",","")," ","")),0),0))</f>
        <v>0</v>
      </c>
    </row>
    <row r="1179" spans="1:27">
      <c r="A1179" s="137">
        <v>45903</v>
      </c>
      <c r="B1179" s="138" t="s">
        <v>930</v>
      </c>
      <c r="C1179" s="138" t="s">
        <v>328</v>
      </c>
      <c r="D1179" s="138" t="s">
        <v>125</v>
      </c>
      <c r="E1179" s="138">
        <v>85251</v>
      </c>
      <c r="F1179" s="138" t="s">
        <v>31</v>
      </c>
      <c r="G1179" s="138" t="s">
        <v>1329</v>
      </c>
      <c r="H1179" s="140" t="s">
        <v>27</v>
      </c>
      <c r="I1179" s="141"/>
      <c r="J1179" s="141"/>
      <c r="K1179" s="141"/>
      <c r="L1179" s="141"/>
      <c r="M1179" s="141"/>
      <c r="N1179" s="141"/>
      <c r="O1179" s="141"/>
      <c r="P1179" s="141"/>
      <c r="Q1179" s="141"/>
      <c r="R1179" s="138"/>
      <c r="S1179" s="138"/>
      <c r="T1179" s="138"/>
      <c r="U1179" s="138"/>
      <c r="AA1179">
        <f>IF(COUNTIF('Call Queue'!$H$6:$H$20,V1179)&gt;0,0,IF(AND(ISNUMBER(N1179),N1179&gt;0),10000000+N1179,IF(ISNUMBER(N1179*1),IF(N1179*1&gt;0,10000000+N1179*1,0),0))+IF(ISNUMBER(SEARCH("(",L1179)),1000000+IFERROR(VALUE(SUBSTITUTE(SUBSTITUTE(SUBSTITUTE(MID(L1179,SEARCH("(",L1179)+1,SEARCH(")",L1179)-SEARCH("(",L1179)-1),"$",""),",","")," ","")),0),0))</f>
        <v>0</v>
      </c>
    </row>
    <row r="1180" spans="1:27">
      <c r="A1180" s="137">
        <v>45903</v>
      </c>
      <c r="B1180" s="138" t="s">
        <v>1411</v>
      </c>
      <c r="C1180" s="138" t="s">
        <v>1412</v>
      </c>
      <c r="D1180" s="138" t="s">
        <v>202</v>
      </c>
      <c r="E1180" s="138">
        <v>85383</v>
      </c>
      <c r="F1180" s="138" t="s">
        <v>310</v>
      </c>
      <c r="G1180" s="138" t="s">
        <v>1329</v>
      </c>
      <c r="H1180" s="140" t="s">
        <v>27</v>
      </c>
      <c r="I1180" s="141"/>
      <c r="J1180" s="141"/>
      <c r="K1180" s="141"/>
      <c r="L1180" s="141"/>
      <c r="M1180" s="141"/>
      <c r="N1180" s="141"/>
      <c r="O1180" s="141"/>
      <c r="P1180" s="141"/>
      <c r="Q1180" s="141"/>
      <c r="R1180" s="138"/>
      <c r="S1180" s="138"/>
      <c r="T1180" s="138"/>
      <c r="U1180" s="138"/>
      <c r="AA1180">
        <f>IF(COUNTIF('Call Queue'!$H$6:$H$20,V1180)&gt;0,0,IF(AND(ISNUMBER(N1180),N1180&gt;0),10000000+N1180,IF(ISNUMBER(N1180*1),IF(N1180*1&gt;0,10000000+N1180*1,0),0))+IF(ISNUMBER(SEARCH("(",L1180)),1000000+IFERROR(VALUE(SUBSTITUTE(SUBSTITUTE(SUBSTITUTE(MID(L1180,SEARCH("(",L1180)+1,SEARCH(")",L1180)-SEARCH("(",L1180)-1),"$",""),",","")," ","")),0),0))</f>
        <v>0</v>
      </c>
    </row>
    <row r="1181" spans="1:27">
      <c r="A1181" s="137">
        <v>45903</v>
      </c>
      <c r="B1181" s="138" t="s">
        <v>1147</v>
      </c>
      <c r="C1181" s="138" t="s">
        <v>1430</v>
      </c>
      <c r="D1181" s="138" t="s">
        <v>63</v>
      </c>
      <c r="E1181" s="138">
        <v>85032</v>
      </c>
      <c r="F1181" s="138" t="s">
        <v>31</v>
      </c>
      <c r="G1181" s="138" t="s">
        <v>1329</v>
      </c>
      <c r="H1181" s="140" t="s">
        <v>90</v>
      </c>
      <c r="I1181" s="141"/>
      <c r="J1181" s="141"/>
      <c r="K1181" s="141"/>
      <c r="L1181" s="141"/>
      <c r="M1181" s="141"/>
      <c r="N1181" s="141"/>
      <c r="O1181" s="141"/>
      <c r="P1181" s="141"/>
      <c r="Q1181" s="141"/>
      <c r="R1181" s="138"/>
      <c r="S1181" s="138"/>
      <c r="T1181" s="138"/>
      <c r="U1181" s="138"/>
      <c r="AA1181">
        <f>IF(COUNTIF('Call Queue'!$H$6:$H$20,V1181)&gt;0,0,IF(AND(ISNUMBER(N1181),N1181&gt;0),10000000+N1181,IF(ISNUMBER(N1181*1),IF(N1181*1&gt;0,10000000+N1181*1,0),0))+IF(ISNUMBER(SEARCH("(",L1181)),1000000+IFERROR(VALUE(SUBSTITUTE(SUBSTITUTE(SUBSTITUTE(MID(L1181,SEARCH("(",L1181)+1,SEARCH(")",L1181)-SEARCH("(",L1181)-1),"$",""),",","")," ","")),0),0))</f>
        <v>0</v>
      </c>
    </row>
    <row r="1182" spans="1:27">
      <c r="A1182" s="137">
        <v>45903</v>
      </c>
      <c r="B1182" s="138" t="s">
        <v>1454</v>
      </c>
      <c r="C1182" s="138" t="s">
        <v>1455</v>
      </c>
      <c r="D1182" s="138" t="s">
        <v>202</v>
      </c>
      <c r="E1182" s="138">
        <v>85383</v>
      </c>
      <c r="F1182" s="138" t="s">
        <v>310</v>
      </c>
      <c r="G1182" s="138" t="s">
        <v>1329</v>
      </c>
      <c r="H1182" s="140" t="s">
        <v>27</v>
      </c>
      <c r="I1182" s="141"/>
      <c r="J1182" s="141"/>
      <c r="K1182" s="141"/>
      <c r="L1182" s="141"/>
      <c r="M1182" s="141"/>
      <c r="N1182" s="141"/>
      <c r="O1182" s="141"/>
      <c r="P1182" s="141"/>
      <c r="Q1182" s="141"/>
      <c r="R1182" s="138"/>
      <c r="S1182" s="138"/>
      <c r="T1182" s="138"/>
      <c r="U1182" s="138"/>
      <c r="AA1182">
        <f>IF(COUNTIF('Call Queue'!$H$6:$H$20,V1182)&gt;0,0,IF(AND(ISNUMBER(N1182),N1182&gt;0),10000000+N1182,IF(ISNUMBER(N1182*1),IF(N1182*1&gt;0,10000000+N1182*1,0),0))+IF(ISNUMBER(SEARCH("(",L1182)),1000000+IFERROR(VALUE(SUBSTITUTE(SUBSTITUTE(SUBSTITUTE(MID(L1182,SEARCH("(",L1182)+1,SEARCH(")",L1182)-SEARCH("(",L1182)-1),"$",""),",","")," ","")),0),0))</f>
        <v>0</v>
      </c>
    </row>
    <row r="1183" spans="1:27">
      <c r="A1183" s="142">
        <v>45903</v>
      </c>
      <c r="B1183" s="143" t="s">
        <v>1456</v>
      </c>
      <c r="C1183" s="143" t="s">
        <v>1457</v>
      </c>
      <c r="D1183" s="143" t="s">
        <v>202</v>
      </c>
      <c r="E1183" s="143">
        <v>85383</v>
      </c>
      <c r="F1183" s="143" t="s">
        <v>310</v>
      </c>
      <c r="G1183" s="143" t="s">
        <v>1329</v>
      </c>
      <c r="H1183" s="145" t="s">
        <v>27</v>
      </c>
      <c r="I1183" s="146"/>
      <c r="J1183" s="146"/>
      <c r="K1183" s="146"/>
      <c r="L1183" s="146"/>
      <c r="M1183" s="146"/>
      <c r="N1183" s="146"/>
      <c r="O1183" s="146"/>
      <c r="P1183" s="146"/>
      <c r="Q1183" s="146"/>
      <c r="R1183" s="143"/>
      <c r="S1183" s="143"/>
      <c r="T1183" s="143"/>
      <c r="U1183" s="143"/>
      <c r="AA1183">
        <f>IF(COUNTIF('Call Queue'!$H$6:$H$20,V1183)&gt;0,0,IF(AND(ISNUMBER(N1183),N1183&gt;0),10000000+N1183,IF(ISNUMBER(N1183*1),IF(N1183*1&gt;0,10000000+N1183*1,0),0))+IF(ISNUMBER(SEARCH("(",L1183)),1000000+IFERROR(VALUE(SUBSTITUTE(SUBSTITUTE(SUBSTITUTE(MID(L1183,SEARCH("(",L1183)+1,SEARCH(")",L1183)-SEARCH("(",L1183)-1),"$",""),",","")," ","")),0),0))</f>
        <v>0</v>
      </c>
    </row>
    <row r="1184" spans="1:27">
      <c r="A1184" s="142">
        <v>45903</v>
      </c>
      <c r="B1184" s="143" t="s">
        <v>1461</v>
      </c>
      <c r="C1184" s="143" t="s">
        <v>42</v>
      </c>
      <c r="D1184" s="143" t="s">
        <v>240</v>
      </c>
      <c r="E1184" s="143">
        <v>85340</v>
      </c>
      <c r="F1184" s="143" t="s">
        <v>31</v>
      </c>
      <c r="G1184" s="143" t="s">
        <v>1329</v>
      </c>
      <c r="H1184" s="145" t="s">
        <v>27</v>
      </c>
      <c r="I1184" s="146"/>
      <c r="J1184" s="146"/>
      <c r="K1184" s="146"/>
      <c r="L1184" s="146"/>
      <c r="M1184" s="146"/>
      <c r="N1184" s="146"/>
      <c r="O1184" s="146"/>
      <c r="P1184" s="146"/>
      <c r="Q1184" s="146"/>
      <c r="R1184" s="143"/>
      <c r="S1184" s="143"/>
      <c r="T1184" s="143"/>
      <c r="U1184" s="143"/>
      <c r="AA1184">
        <f>IF(COUNTIF('Call Queue'!$H$6:$H$20,V1184)&gt;0,0,IF(AND(ISNUMBER(N1184),N1184&gt;0),10000000+N1184,IF(ISNUMBER(N1184*1),IF(N1184*1&gt;0,10000000+N1184*1,0),0))+IF(ISNUMBER(SEARCH("(",L1184)),1000000+IFERROR(VALUE(SUBSTITUTE(SUBSTITUTE(SUBSTITUTE(MID(L1184,SEARCH("(",L1184)+1,SEARCH(")",L1184)-SEARCH("(",L1184)-1),"$",""),",","")," ","")),0),0))</f>
        <v>0</v>
      </c>
    </row>
    <row r="1185" spans="1:27">
      <c r="A1185" s="142">
        <v>45903</v>
      </c>
      <c r="B1185" s="143" t="s">
        <v>1465</v>
      </c>
      <c r="C1185" s="143" t="s">
        <v>145</v>
      </c>
      <c r="D1185" s="143" t="s">
        <v>169</v>
      </c>
      <c r="E1185" s="143">
        <v>85338</v>
      </c>
      <c r="F1185" s="143" t="s">
        <v>31</v>
      </c>
      <c r="G1185" s="143" t="s">
        <v>1329</v>
      </c>
      <c r="H1185" s="145" t="s">
        <v>27</v>
      </c>
      <c r="I1185" s="146"/>
      <c r="J1185" s="146"/>
      <c r="K1185" s="146"/>
      <c r="L1185" s="146"/>
      <c r="M1185" s="146"/>
      <c r="N1185" s="146"/>
      <c r="O1185" s="146"/>
      <c r="P1185" s="146"/>
      <c r="Q1185" s="146"/>
      <c r="R1185" s="143"/>
      <c r="S1185" s="143"/>
      <c r="T1185" s="143"/>
      <c r="U1185" s="143"/>
      <c r="AA1185">
        <f>IF(COUNTIF('Call Queue'!$H$6:$H$20,V1185)&gt;0,0,IF(AND(ISNUMBER(N1185),N1185&gt;0),10000000+N1185,IF(ISNUMBER(N1185*1),IF(N1185*1&gt;0,10000000+N1185*1,0),0))+IF(ISNUMBER(SEARCH("(",L1185)),1000000+IFERROR(VALUE(SUBSTITUTE(SUBSTITUTE(SUBSTITUTE(MID(L1185,SEARCH("(",L1185)+1,SEARCH(")",L1185)-SEARCH("(",L1185)-1),"$",""),",","")," ","")),0),0))</f>
        <v>0</v>
      </c>
    </row>
    <row r="1186" spans="1:27">
      <c r="A1186" s="137">
        <v>45903</v>
      </c>
      <c r="B1186" s="138" t="s">
        <v>1469</v>
      </c>
      <c r="C1186" s="138" t="s">
        <v>1470</v>
      </c>
      <c r="D1186" s="138" t="s">
        <v>202</v>
      </c>
      <c r="E1186" s="138">
        <v>85382</v>
      </c>
      <c r="F1186" s="138" t="s">
        <v>31</v>
      </c>
      <c r="G1186" s="138" t="s">
        <v>1329</v>
      </c>
      <c r="H1186" s="140" t="s">
        <v>27</v>
      </c>
      <c r="I1186" s="141"/>
      <c r="J1186" s="141"/>
      <c r="K1186" s="141"/>
      <c r="L1186" s="141"/>
      <c r="M1186" s="141"/>
      <c r="N1186" s="141"/>
      <c r="O1186" s="141"/>
      <c r="P1186" s="141"/>
      <c r="Q1186" s="141"/>
      <c r="R1186" s="138"/>
      <c r="S1186" s="138"/>
      <c r="T1186" s="138"/>
      <c r="U1186" s="138"/>
      <c r="AA1186">
        <f>IF(COUNTIF('Call Queue'!$H$6:$H$20,V1186)&gt;0,0,IF(AND(ISNUMBER(N1186),N1186&gt;0),10000000+N1186,IF(ISNUMBER(N1186*1),IF(N1186*1&gt;0,10000000+N1186*1,0),0))+IF(ISNUMBER(SEARCH("(",L1186)),1000000+IFERROR(VALUE(SUBSTITUTE(SUBSTITUTE(SUBSTITUTE(MID(L1186,SEARCH("(",L1186)+1,SEARCH(")",L1186)-SEARCH("(",L1186)-1),"$",""),",","")," ","")),0),0))</f>
        <v>0</v>
      </c>
    </row>
    <row r="1187" spans="1:27">
      <c r="A1187" s="137">
        <v>45903</v>
      </c>
      <c r="B1187" s="138" t="s">
        <v>1489</v>
      </c>
      <c r="C1187" s="138" t="s">
        <v>1490</v>
      </c>
      <c r="D1187" s="138" t="s">
        <v>169</v>
      </c>
      <c r="E1187" s="138">
        <v>85338</v>
      </c>
      <c r="F1187" s="138" t="s">
        <v>31</v>
      </c>
      <c r="G1187" s="138" t="s">
        <v>1329</v>
      </c>
      <c r="H1187" s="140" t="s">
        <v>27</v>
      </c>
      <c r="I1187" s="141"/>
      <c r="J1187" s="141"/>
      <c r="K1187" s="141"/>
      <c r="L1187" s="141"/>
      <c r="M1187" s="141"/>
      <c r="N1187" s="141"/>
      <c r="O1187" s="141"/>
      <c r="P1187" s="141"/>
      <c r="Q1187" s="141"/>
      <c r="R1187" s="138"/>
      <c r="S1187" s="138"/>
      <c r="T1187" s="138"/>
      <c r="U1187" s="138"/>
      <c r="AA1187">
        <f>IF(COUNTIF('Call Queue'!$H$6:$H$20,V1187)&gt;0,0,IF(AND(ISNUMBER(N1187),N1187&gt;0),10000000+N1187,IF(ISNUMBER(N1187*1),IF(N1187*1&gt;0,10000000+N1187*1,0),0))+IF(ISNUMBER(SEARCH("(",L1187)),1000000+IFERROR(VALUE(SUBSTITUTE(SUBSTITUTE(SUBSTITUTE(MID(L1187,SEARCH("(",L1187)+1,SEARCH(")",L1187)-SEARCH("(",L1187)-1),"$",""),",","")," ","")),0),0))</f>
        <v>0</v>
      </c>
    </row>
    <row r="1188" spans="1:27">
      <c r="A1188" s="137">
        <v>45903</v>
      </c>
      <c r="B1188" s="138" t="s">
        <v>1512</v>
      </c>
      <c r="C1188" s="138" t="s">
        <v>75</v>
      </c>
      <c r="D1188" s="138" t="s">
        <v>63</v>
      </c>
      <c r="E1188" s="138">
        <v>85013</v>
      </c>
      <c r="F1188" s="138" t="s">
        <v>310</v>
      </c>
      <c r="G1188" s="138" t="s">
        <v>1329</v>
      </c>
      <c r="H1188" s="140" t="s">
        <v>27</v>
      </c>
      <c r="I1188" s="141"/>
      <c r="J1188" s="141"/>
      <c r="K1188" s="141"/>
      <c r="L1188" s="141"/>
      <c r="M1188" s="141"/>
      <c r="N1188" s="141"/>
      <c r="O1188" s="141"/>
      <c r="P1188" s="141"/>
      <c r="Q1188" s="141"/>
      <c r="R1188" s="138"/>
      <c r="S1188" s="138"/>
      <c r="T1188" s="138"/>
      <c r="U1188" s="138"/>
      <c r="AA1188">
        <f>IF(COUNTIF('Call Queue'!$H$6:$H$20,V1188)&gt;0,0,IF(AND(ISNUMBER(N1188),N1188&gt;0),10000000+N1188,IF(ISNUMBER(N1188*1),IF(N1188*1&gt;0,10000000+N1188*1,0),0))+IF(ISNUMBER(SEARCH("(",L1188)),1000000+IFERROR(VALUE(SUBSTITUTE(SUBSTITUTE(SUBSTITUTE(MID(L1188,SEARCH("(",L1188)+1,SEARCH(")",L1188)-SEARCH("(",L1188)-1),"$",""),",","")," ","")),0),0))</f>
        <v>0</v>
      </c>
    </row>
    <row r="1189" spans="1:27">
      <c r="A1189" s="142">
        <v>45903</v>
      </c>
      <c r="B1189" s="143" t="s">
        <v>1513</v>
      </c>
      <c r="C1189" s="143" t="s">
        <v>1514</v>
      </c>
      <c r="D1189" s="143" t="s">
        <v>63</v>
      </c>
      <c r="E1189" s="143">
        <v>85014</v>
      </c>
      <c r="F1189" s="143" t="s">
        <v>310</v>
      </c>
      <c r="G1189" s="143" t="s">
        <v>1329</v>
      </c>
      <c r="H1189" s="145" t="s">
        <v>27</v>
      </c>
      <c r="I1189" s="146"/>
      <c r="J1189" s="146"/>
      <c r="K1189" s="146"/>
      <c r="L1189" s="146"/>
      <c r="M1189" s="146"/>
      <c r="N1189" s="146"/>
      <c r="O1189" s="146"/>
      <c r="P1189" s="146"/>
      <c r="Q1189" s="146"/>
      <c r="R1189" s="150"/>
      <c r="S1189" s="143"/>
      <c r="T1189" s="143"/>
      <c r="U1189" s="143"/>
      <c r="AA1189">
        <f>IF(COUNTIF('Call Queue'!$H$6:$H$20,V1189)&gt;0,0,IF(AND(ISNUMBER(N1189),N1189&gt;0),10000000+N1189,IF(ISNUMBER(N1189*1),IF(N1189*1&gt;0,10000000+N1189*1,0),0))+IF(ISNUMBER(SEARCH("(",L1189)),1000000+IFERROR(VALUE(SUBSTITUTE(SUBSTITUTE(SUBSTITUTE(MID(L1189,SEARCH("(",L1189)+1,SEARCH(")",L1189)-SEARCH("(",L1189)-1),"$",""),",","")," ","")),0),0))</f>
        <v>0</v>
      </c>
    </row>
    <row r="1190" spans="1:27">
      <c r="A1190" s="137">
        <v>45903</v>
      </c>
      <c r="B1190" s="138" t="s">
        <v>1549</v>
      </c>
      <c r="C1190" s="138" t="s">
        <v>760</v>
      </c>
      <c r="D1190" s="138" t="s">
        <v>523</v>
      </c>
      <c r="E1190" s="138">
        <v>85392</v>
      </c>
      <c r="F1190" s="138" t="s">
        <v>1550</v>
      </c>
      <c r="G1190" s="138" t="s">
        <v>1329</v>
      </c>
      <c r="H1190" s="140" t="s">
        <v>27</v>
      </c>
      <c r="I1190" s="141"/>
      <c r="J1190" s="141"/>
      <c r="K1190" s="141"/>
      <c r="L1190" s="141"/>
      <c r="M1190" s="141"/>
      <c r="N1190" s="141"/>
      <c r="O1190" s="141"/>
      <c r="P1190" s="141"/>
      <c r="Q1190" s="141"/>
      <c r="R1190" s="138"/>
      <c r="S1190" s="138"/>
      <c r="T1190" s="138"/>
      <c r="U1190" s="138"/>
      <c r="AA1190">
        <f>IF(COUNTIF('Call Queue'!$H$6:$H$20,V1190)&gt;0,0,IF(AND(ISNUMBER(N1190),N1190&gt;0),10000000+N1190,IF(ISNUMBER(N1190*1),IF(N1190*1&gt;0,10000000+N1190*1,0),0))+IF(ISNUMBER(SEARCH("(",L1190)),1000000+IFERROR(VALUE(SUBSTITUTE(SUBSTITUTE(SUBSTITUTE(MID(L1190,SEARCH("(",L1190)+1,SEARCH(")",L1190)-SEARCH("(",L1190)-1),"$",""),",","")," ","")),0),0))</f>
        <v>0</v>
      </c>
    </row>
    <row r="1191" spans="1:27">
      <c r="A1191" s="142">
        <v>45903</v>
      </c>
      <c r="B1191" s="143" t="s">
        <v>1551</v>
      </c>
      <c r="C1191" s="143" t="s">
        <v>1552</v>
      </c>
      <c r="D1191" s="143" t="s">
        <v>635</v>
      </c>
      <c r="E1191" s="143">
        <v>85281</v>
      </c>
      <c r="F1191" s="143" t="s">
        <v>1553</v>
      </c>
      <c r="G1191" s="143" t="s">
        <v>1329</v>
      </c>
      <c r="H1191" s="145" t="s">
        <v>27</v>
      </c>
      <c r="I1191" s="146"/>
      <c r="J1191" s="146"/>
      <c r="K1191" s="146"/>
      <c r="L1191" s="146"/>
      <c r="M1191" s="146"/>
      <c r="N1191" s="146"/>
      <c r="O1191" s="146"/>
      <c r="P1191" s="146"/>
      <c r="Q1191" s="146"/>
      <c r="R1191" s="143"/>
      <c r="S1191" s="143"/>
      <c r="T1191" s="143"/>
      <c r="U1191" s="143"/>
      <c r="AA1191">
        <f>IF(COUNTIF('Call Queue'!$H$6:$H$20,V1191)&gt;0,0,IF(AND(ISNUMBER(N1191),N1191&gt;0),10000000+N1191,IF(ISNUMBER(N1191*1),IF(N1191*1&gt;0,10000000+N1191*1,0),0))+IF(ISNUMBER(SEARCH("(",L1191)),1000000+IFERROR(VALUE(SUBSTITUTE(SUBSTITUTE(SUBSTITUTE(MID(L1191,SEARCH("(",L1191)+1,SEARCH(")",L1191)-SEARCH("(",L1191)-1),"$",""),",","")," ","")),0),0))</f>
        <v>0</v>
      </c>
    </row>
    <row r="1192" spans="1:27">
      <c r="A1192" s="142">
        <v>45903</v>
      </c>
      <c r="B1192" s="143" t="s">
        <v>1590</v>
      </c>
      <c r="C1192" s="143" t="s">
        <v>1591</v>
      </c>
      <c r="D1192" s="143" t="s">
        <v>202</v>
      </c>
      <c r="E1192" s="143">
        <v>85383</v>
      </c>
      <c r="F1192" s="143" t="s">
        <v>31</v>
      </c>
      <c r="G1192" s="143" t="s">
        <v>1329</v>
      </c>
      <c r="H1192" s="145" t="s">
        <v>27</v>
      </c>
      <c r="I1192" s="146"/>
      <c r="J1192" s="146"/>
      <c r="K1192" s="146"/>
      <c r="L1192" s="146"/>
      <c r="M1192" s="146"/>
      <c r="N1192" s="146"/>
      <c r="O1192" s="146"/>
      <c r="P1192" s="146"/>
      <c r="Q1192" s="146"/>
      <c r="R1192" s="143"/>
      <c r="S1192" s="143"/>
      <c r="T1192" s="143"/>
      <c r="U1192" s="143"/>
      <c r="AA1192">
        <f>IF(COUNTIF('Call Queue'!$H$6:$H$20,V1192)&gt;0,0,IF(AND(ISNUMBER(N1192),N1192&gt;0),10000000+N1192,IF(ISNUMBER(N1192*1),IF(N1192*1&gt;0,10000000+N1192*1,0),0))+IF(ISNUMBER(SEARCH("(",L1192)),1000000+IFERROR(VALUE(SUBSTITUTE(SUBSTITUTE(SUBSTITUTE(MID(L1192,SEARCH("(",L1192)+1,SEARCH(")",L1192)-SEARCH("(",L1192)-1),"$",""),",","")," ","")),0),0))</f>
        <v>0</v>
      </c>
    </row>
    <row r="1193" spans="1:27">
      <c r="A1193" s="137">
        <v>45903</v>
      </c>
      <c r="B1193" s="138" t="s">
        <v>1063</v>
      </c>
      <c r="C1193" s="138" t="s">
        <v>624</v>
      </c>
      <c r="D1193" s="138" t="s">
        <v>202</v>
      </c>
      <c r="E1193" s="138">
        <v>85345</v>
      </c>
      <c r="F1193" s="138" t="s">
        <v>310</v>
      </c>
      <c r="G1193" s="138" t="s">
        <v>1593</v>
      </c>
      <c r="H1193" s="140" t="s">
        <v>27</v>
      </c>
      <c r="I1193" s="141"/>
      <c r="J1193" s="141"/>
      <c r="K1193" s="141"/>
      <c r="L1193" s="141"/>
      <c r="M1193" s="141"/>
      <c r="N1193" s="141"/>
      <c r="O1193" s="141"/>
      <c r="P1193" s="141"/>
      <c r="Q1193" s="141"/>
      <c r="R1193" s="138"/>
      <c r="S1193" s="138"/>
      <c r="T1193" s="138"/>
      <c r="U1193" s="138"/>
      <c r="AA1193">
        <f>IF(COUNTIF('Call Queue'!$H$6:$H$20,V1193)&gt;0,0,IF(AND(ISNUMBER(N1193),N1193&gt;0),10000000+N1193,IF(ISNUMBER(N1193*1),IF(N1193*1&gt;0,10000000+N1193*1,0),0))+IF(ISNUMBER(SEARCH("(",L1193)),1000000+IFERROR(VALUE(SUBSTITUTE(SUBSTITUTE(SUBSTITUTE(MID(L1193,SEARCH("(",L1193)+1,SEARCH(")",L1193)-SEARCH("(",L1193)-1),"$",""),",","")," ","")),0),0))</f>
        <v>0</v>
      </c>
    </row>
    <row r="1194" spans="1:27">
      <c r="A1194" s="142">
        <v>45903</v>
      </c>
      <c r="B1194" s="143" t="s">
        <v>1613</v>
      </c>
      <c r="C1194" s="143" t="s">
        <v>1614</v>
      </c>
      <c r="D1194" s="143" t="s">
        <v>1615</v>
      </c>
      <c r="E1194" s="143">
        <v>85131</v>
      </c>
      <c r="F1194" s="143" t="s">
        <v>31</v>
      </c>
      <c r="G1194" s="143" t="s">
        <v>1593</v>
      </c>
      <c r="H1194" s="145" t="s">
        <v>27</v>
      </c>
      <c r="I1194" s="146"/>
      <c r="J1194" s="146"/>
      <c r="K1194" s="146"/>
      <c r="L1194" s="146"/>
      <c r="M1194" s="146"/>
      <c r="N1194" s="146"/>
      <c r="O1194" s="146"/>
      <c r="P1194" s="146"/>
      <c r="Q1194" s="146"/>
      <c r="R1194" s="143"/>
      <c r="S1194" s="143"/>
      <c r="T1194" s="143"/>
      <c r="U1194" s="143"/>
      <c r="AA1194">
        <f>IF(COUNTIF('Call Queue'!$H$6:$H$20,V1194)&gt;0,0,IF(AND(ISNUMBER(N1194),N1194&gt;0),10000000+N1194,IF(ISNUMBER(N1194*1),IF(N1194*1&gt;0,10000000+N1194*1,0),0))+IF(ISNUMBER(SEARCH("(",L1194)),1000000+IFERROR(VALUE(SUBSTITUTE(SUBSTITUTE(SUBSTITUTE(MID(L1194,SEARCH("(",L1194)+1,SEARCH(")",L1194)-SEARCH("(",L1194)-1),"$",""),",","")," ","")),0),0))</f>
        <v>0</v>
      </c>
    </row>
    <row r="1195" spans="1:27">
      <c r="A1195" s="142">
        <v>45903</v>
      </c>
      <c r="B1195" s="143" t="s">
        <v>1626</v>
      </c>
      <c r="C1195" s="143" t="s">
        <v>1238</v>
      </c>
      <c r="D1195" s="143" t="s">
        <v>63</v>
      </c>
      <c r="E1195" s="143">
        <v>85020</v>
      </c>
      <c r="F1195" s="143" t="s">
        <v>31</v>
      </c>
      <c r="G1195" s="143" t="s">
        <v>1593</v>
      </c>
      <c r="H1195" s="145" t="s">
        <v>90</v>
      </c>
      <c r="I1195" s="146"/>
      <c r="J1195" s="146"/>
      <c r="K1195" s="146"/>
      <c r="L1195" s="146"/>
      <c r="M1195" s="146"/>
      <c r="N1195" s="146"/>
      <c r="O1195" s="146"/>
      <c r="P1195" s="146"/>
      <c r="Q1195" s="146"/>
      <c r="R1195" s="143"/>
      <c r="S1195" s="143"/>
      <c r="T1195" s="143"/>
      <c r="U1195" s="143"/>
      <c r="AA1195">
        <f>IF(COUNTIF('Call Queue'!$H$6:$H$20,V1195)&gt;0,0,IF(AND(ISNUMBER(N1195),N1195&gt;0),10000000+N1195,IF(ISNUMBER(N1195*1),IF(N1195*1&gt;0,10000000+N1195*1,0),0))+IF(ISNUMBER(SEARCH("(",L1195)),1000000+IFERROR(VALUE(SUBSTITUTE(SUBSTITUTE(SUBSTITUTE(MID(L1195,SEARCH("(",L1195)+1,SEARCH(")",L1195)-SEARCH("(",L1195)-1),"$",""),",","")," ","")),0),0))</f>
        <v>0</v>
      </c>
    </row>
    <row r="1196" spans="1:27">
      <c r="A1196" s="137">
        <v>45903</v>
      </c>
      <c r="B1196" s="138" t="s">
        <v>1633</v>
      </c>
      <c r="C1196" s="138" t="s">
        <v>1634</v>
      </c>
      <c r="D1196" s="138" t="s">
        <v>63</v>
      </c>
      <c r="E1196" s="138">
        <v>85024</v>
      </c>
      <c r="F1196" s="138" t="s">
        <v>1635</v>
      </c>
      <c r="G1196" s="138" t="s">
        <v>1593</v>
      </c>
      <c r="H1196" s="140" t="s">
        <v>27</v>
      </c>
      <c r="I1196" s="141"/>
      <c r="J1196" s="141"/>
      <c r="K1196" s="141"/>
      <c r="L1196" s="141"/>
      <c r="M1196" s="141"/>
      <c r="N1196" s="141"/>
      <c r="O1196" s="141"/>
      <c r="P1196" s="141"/>
      <c r="Q1196" s="141"/>
      <c r="R1196" s="138"/>
      <c r="S1196" s="138"/>
      <c r="T1196" s="138"/>
      <c r="U1196" s="138"/>
      <c r="AA1196">
        <f>IF(COUNTIF('Call Queue'!$H$6:$H$20,V1196)&gt;0,0,IF(AND(ISNUMBER(N1196),N1196&gt;0),10000000+N1196,IF(ISNUMBER(N1196*1),IF(N1196*1&gt;0,10000000+N1196*1,0),0))+IF(ISNUMBER(SEARCH("(",L1196)),1000000+IFERROR(VALUE(SUBSTITUTE(SUBSTITUTE(SUBSTITUTE(MID(L1196,SEARCH("(",L1196)+1,SEARCH(")",L1196)-SEARCH("(",L1196)-1),"$",""),",","")," ","")),0),0))</f>
        <v>0</v>
      </c>
    </row>
    <row r="1197" spans="1:27">
      <c r="A1197" s="142">
        <v>45903</v>
      </c>
      <c r="B1197" s="143" t="s">
        <v>1636</v>
      </c>
      <c r="C1197" s="143" t="s">
        <v>1637</v>
      </c>
      <c r="D1197" s="143" t="s">
        <v>174</v>
      </c>
      <c r="E1197" s="143">
        <v>85396</v>
      </c>
      <c r="F1197" s="143" t="s">
        <v>31</v>
      </c>
      <c r="G1197" s="143" t="s">
        <v>1593</v>
      </c>
      <c r="H1197" s="145" t="s">
        <v>27</v>
      </c>
      <c r="I1197" s="146"/>
      <c r="J1197" s="146"/>
      <c r="K1197" s="146"/>
      <c r="L1197" s="146"/>
      <c r="M1197" s="146"/>
      <c r="N1197" s="146"/>
      <c r="O1197" s="146"/>
      <c r="P1197" s="146"/>
      <c r="Q1197" s="146"/>
      <c r="R1197" s="143"/>
      <c r="S1197" s="143"/>
      <c r="T1197" s="143"/>
      <c r="U1197" s="143"/>
      <c r="AA1197">
        <f>IF(COUNTIF('Call Queue'!$H$6:$H$20,V1197)&gt;0,0,IF(AND(ISNUMBER(N1197),N1197&gt;0),10000000+N1197,IF(ISNUMBER(N1197*1),IF(N1197*1&gt;0,10000000+N1197*1,0),0))+IF(ISNUMBER(SEARCH("(",L1197)),1000000+IFERROR(VALUE(SUBSTITUTE(SUBSTITUTE(SUBSTITUTE(MID(L1197,SEARCH("(",L1197)+1,SEARCH(")",L1197)-SEARCH("(",L1197)-1),"$",""),",","")," ","")),0),0))</f>
        <v>0</v>
      </c>
    </row>
    <row r="1198" spans="1:27">
      <c r="A1198" s="142">
        <v>45904</v>
      </c>
      <c r="B1198" s="143" t="s">
        <v>1673</v>
      </c>
      <c r="C1198" s="143" t="s">
        <v>1674</v>
      </c>
      <c r="D1198" s="143" t="s">
        <v>63</v>
      </c>
      <c r="E1198" s="143">
        <v>85085</v>
      </c>
      <c r="F1198" s="143" t="s">
        <v>31</v>
      </c>
      <c r="G1198" s="143" t="s">
        <v>1593</v>
      </c>
      <c r="H1198" s="145" t="s">
        <v>27</v>
      </c>
      <c r="I1198" s="146"/>
      <c r="J1198" s="146"/>
      <c r="K1198" s="146"/>
      <c r="L1198" s="146"/>
      <c r="M1198" s="146"/>
      <c r="N1198" s="146"/>
      <c r="O1198" s="146"/>
      <c r="P1198" s="146"/>
      <c r="Q1198" s="146"/>
      <c r="R1198" s="143"/>
      <c r="S1198" s="143"/>
      <c r="T1198" s="143"/>
      <c r="U1198" s="143"/>
      <c r="AA1198">
        <f>IF(COUNTIF('Call Queue'!$H$6:$H$20,V1198)&gt;0,0,IF(AND(ISNUMBER(N1198),N1198&gt;0),10000000+N1198,IF(ISNUMBER(N1198*1),IF(N1198*1&gt;0,10000000+N1198*1,0),0))+IF(ISNUMBER(SEARCH("(",L1198)),1000000+IFERROR(VALUE(SUBSTITUTE(SUBSTITUTE(SUBSTITUTE(MID(L1198,SEARCH("(",L1198)+1,SEARCH(")",L1198)-SEARCH("(",L1198)-1),"$",""),",","")," ","")),0),0))</f>
        <v>0</v>
      </c>
    </row>
    <row r="1199" spans="1:27">
      <c r="A1199" s="142">
        <v>45904</v>
      </c>
      <c r="B1199" s="143" t="s">
        <v>1678</v>
      </c>
      <c r="C1199" s="143" t="s">
        <v>420</v>
      </c>
      <c r="D1199" s="143" t="s">
        <v>24</v>
      </c>
      <c r="E1199" s="143">
        <v>85310</v>
      </c>
      <c r="F1199" s="143" t="s">
        <v>31</v>
      </c>
      <c r="G1199" s="143" t="s">
        <v>1593</v>
      </c>
      <c r="H1199" s="145" t="s">
        <v>27</v>
      </c>
      <c r="I1199" s="146"/>
      <c r="J1199" s="146"/>
      <c r="K1199" s="146"/>
      <c r="L1199" s="146"/>
      <c r="M1199" s="146"/>
      <c r="N1199" s="146"/>
      <c r="O1199" s="146"/>
      <c r="P1199" s="146"/>
      <c r="Q1199" s="146"/>
      <c r="R1199" s="143"/>
      <c r="S1199" s="143"/>
      <c r="T1199" s="143"/>
      <c r="U1199" s="143"/>
      <c r="AA1199">
        <f>IF(COUNTIF('Call Queue'!$H$6:$H$20,V1199)&gt;0,0,IF(AND(ISNUMBER(N1199),N1199&gt;0),10000000+N1199,IF(ISNUMBER(N1199*1),IF(N1199*1&gt;0,10000000+N1199*1,0),0))+IF(ISNUMBER(SEARCH("(",L1199)),1000000+IFERROR(VALUE(SUBSTITUTE(SUBSTITUTE(SUBSTITUTE(MID(L1199,SEARCH("(",L1199)+1,SEARCH(")",L1199)-SEARCH("(",L1199)-1),"$",""),",","")," ","")),0),0))</f>
        <v>0</v>
      </c>
    </row>
    <row r="1200" spans="1:27">
      <c r="A1200" s="137">
        <v>45904</v>
      </c>
      <c r="B1200" s="138" t="s">
        <v>1692</v>
      </c>
      <c r="C1200" s="138" t="s">
        <v>1475</v>
      </c>
      <c r="D1200" s="138" t="s">
        <v>1693</v>
      </c>
      <c r="E1200" s="138">
        <v>85373</v>
      </c>
      <c r="F1200" s="138" t="s">
        <v>310</v>
      </c>
      <c r="G1200" s="138" t="s">
        <v>1593</v>
      </c>
      <c r="H1200" s="140" t="s">
        <v>27</v>
      </c>
      <c r="I1200" s="141"/>
      <c r="J1200" s="141"/>
      <c r="K1200" s="141"/>
      <c r="L1200" s="141"/>
      <c r="M1200" s="141"/>
      <c r="N1200" s="141"/>
      <c r="O1200" s="141"/>
      <c r="P1200" s="141"/>
      <c r="Q1200" s="141"/>
      <c r="R1200" s="138"/>
      <c r="S1200" s="138"/>
      <c r="T1200" s="138"/>
      <c r="U1200" s="138"/>
      <c r="AA1200">
        <f>IF(COUNTIF('Call Queue'!$H$6:$H$20,V1200)&gt;0,0,IF(AND(ISNUMBER(N1200),N1200&gt;0),10000000+N1200,IF(ISNUMBER(N1200*1),IF(N1200*1&gt;0,10000000+N1200*1,0),0))+IF(ISNUMBER(SEARCH("(",L1200)),1000000+IFERROR(VALUE(SUBSTITUTE(SUBSTITUTE(SUBSTITUTE(MID(L1200,SEARCH("(",L1200)+1,SEARCH(")",L1200)-SEARCH("(",L1200)-1),"$",""),",","")," ","")),0),0))</f>
        <v>0</v>
      </c>
    </row>
    <row r="1201" spans="1:27">
      <c r="A1201" s="142">
        <v>55766</v>
      </c>
      <c r="B1201" s="143" t="s">
        <v>1703</v>
      </c>
      <c r="C1201" s="143" t="s">
        <v>1704</v>
      </c>
      <c r="D1201" s="143" t="s">
        <v>24</v>
      </c>
      <c r="E1201" s="143">
        <v>85310</v>
      </c>
      <c r="F1201" s="143" t="s">
        <v>31</v>
      </c>
      <c r="G1201" s="143" t="s">
        <v>1705</v>
      </c>
      <c r="H1201" s="145" t="s">
        <v>27</v>
      </c>
      <c r="I1201" s="146"/>
      <c r="J1201" s="146"/>
      <c r="K1201" s="146"/>
      <c r="L1201" s="146"/>
      <c r="M1201" s="146"/>
      <c r="N1201" s="146"/>
      <c r="O1201" s="146"/>
      <c r="P1201" s="146"/>
      <c r="Q1201" s="146"/>
      <c r="R1201" s="143"/>
      <c r="S1201" s="143"/>
      <c r="T1201" s="143"/>
      <c r="U1201" s="143"/>
      <c r="AA1201">
        <f>IF(COUNTIF('Call Queue'!$H$6:$H$20,V1201)&gt;0,0,IF(AND(ISNUMBER(N1201),N1201&gt;0),10000000+N1201,IF(ISNUMBER(N1201*1),IF(N1201*1&gt;0,10000000+N1201*1,0),0))+IF(ISNUMBER(SEARCH("(",L1201)),1000000+IFERROR(VALUE(SUBSTITUTE(SUBSTITUTE(SUBSTITUTE(MID(L1201,SEARCH("(",L1201)+1,SEARCH(")",L1201)-SEARCH("(",L1201)-1),"$",""),",","")," ","")),0),0))</f>
        <v>0</v>
      </c>
    </row>
    <row r="1202" spans="1:27">
      <c r="A1202" s="142">
        <v>45904</v>
      </c>
      <c r="B1202" s="143" t="s">
        <v>1708</v>
      </c>
      <c r="C1202" s="143" t="s">
        <v>1709</v>
      </c>
      <c r="D1202" s="143" t="s">
        <v>63</v>
      </c>
      <c r="E1202" s="143"/>
      <c r="F1202" s="143"/>
      <c r="G1202" s="143" t="s">
        <v>1705</v>
      </c>
      <c r="H1202" s="145" t="s">
        <v>90</v>
      </c>
      <c r="I1202" s="146"/>
      <c r="J1202" s="146"/>
      <c r="K1202" s="146"/>
      <c r="L1202" s="146"/>
      <c r="M1202" s="146"/>
      <c r="N1202" s="146"/>
      <c r="O1202" s="146"/>
      <c r="P1202" s="146"/>
      <c r="Q1202" s="146"/>
      <c r="R1202" s="143"/>
      <c r="S1202" s="143"/>
      <c r="T1202" s="143"/>
      <c r="U1202" s="143"/>
      <c r="AA1202">
        <f>IF(COUNTIF('Call Queue'!$H$6:$H$20,V1202)&gt;0,0,IF(AND(ISNUMBER(N1202),N1202&gt;0),10000000+N1202,IF(ISNUMBER(N1202*1),IF(N1202*1&gt;0,10000000+N1202*1,0),0))+IF(ISNUMBER(SEARCH("(",L1202)),1000000+IFERROR(VALUE(SUBSTITUTE(SUBSTITUTE(SUBSTITUTE(MID(L1202,SEARCH("(",L1202)+1,SEARCH(")",L1202)-SEARCH("(",L1202)-1),"$",""),",","")," ","")),0),0))</f>
        <v>0</v>
      </c>
    </row>
    <row r="1203" spans="1:27">
      <c r="A1203" s="137">
        <v>45904</v>
      </c>
      <c r="B1203" s="138" t="s">
        <v>1715</v>
      </c>
      <c r="C1203" s="138" t="s">
        <v>1716</v>
      </c>
      <c r="D1203" s="138"/>
      <c r="E1203" s="138"/>
      <c r="F1203" s="138"/>
      <c r="G1203" s="138" t="s">
        <v>1705</v>
      </c>
      <c r="H1203" s="140" t="s">
        <v>27</v>
      </c>
      <c r="I1203" s="141"/>
      <c r="J1203" s="141"/>
      <c r="K1203" s="141"/>
      <c r="L1203" s="141"/>
      <c r="M1203" s="141"/>
      <c r="N1203" s="141"/>
      <c r="O1203" s="141"/>
      <c r="P1203" s="141"/>
      <c r="Q1203" s="141"/>
      <c r="R1203" s="138"/>
      <c r="S1203" s="138"/>
      <c r="T1203" s="138"/>
      <c r="U1203" s="138" t="s">
        <v>1717</v>
      </c>
      <c r="AA1203">
        <f>IF(COUNTIF('Call Queue'!$H$6:$H$20,V1203)&gt;0,0,IF(AND(ISNUMBER(N1203),N1203&gt;0),10000000+N1203,IF(ISNUMBER(N1203*1),IF(N1203*1&gt;0,10000000+N1203*1,0),0))+IF(ISNUMBER(SEARCH("(",L1203)),1000000+IFERROR(VALUE(SUBSTITUTE(SUBSTITUTE(SUBSTITUTE(MID(L1203,SEARCH("(",L1203)+1,SEARCH(")",L1203)-SEARCH("(",L1203)-1),"$",""),",","")," ","")),0),0))</f>
        <v>0</v>
      </c>
    </row>
    <row r="1204" spans="1:27">
      <c r="A1204" s="137">
        <v>45905</v>
      </c>
      <c r="B1204" s="138" t="s">
        <v>1724</v>
      </c>
      <c r="C1204" s="138" t="s">
        <v>479</v>
      </c>
      <c r="D1204" s="138" t="s">
        <v>125</v>
      </c>
      <c r="E1204" s="138">
        <v>85254</v>
      </c>
      <c r="F1204" s="138" t="s">
        <v>310</v>
      </c>
      <c r="G1204" s="138" t="s">
        <v>1723</v>
      </c>
      <c r="H1204" s="140" t="s">
        <v>27</v>
      </c>
      <c r="I1204" s="141"/>
      <c r="J1204" s="141"/>
      <c r="K1204" s="141"/>
      <c r="L1204" s="141"/>
      <c r="M1204" s="141"/>
      <c r="N1204" s="141"/>
      <c r="O1204" s="141"/>
      <c r="P1204" s="141"/>
      <c r="Q1204" s="141"/>
      <c r="R1204" s="138"/>
      <c r="S1204" s="138"/>
      <c r="T1204" s="138"/>
      <c r="U1204" s="138"/>
      <c r="AA1204">
        <f>IF(COUNTIF('Call Queue'!$H$6:$H$20,V1204)&gt;0,0,IF(AND(ISNUMBER(N1204),N1204&gt;0),10000000+N1204,IF(ISNUMBER(N1204*1),IF(N1204*1&gt;0,10000000+N1204*1,0),0))+IF(ISNUMBER(SEARCH("(",L1204)),1000000+IFERROR(VALUE(SUBSTITUTE(SUBSTITUTE(SUBSTITUTE(MID(L1204,SEARCH("(",L1204)+1,SEARCH(")",L1204)-SEARCH("(",L1204)-1),"$",""),",","")," ","")),0),0))</f>
        <v>0</v>
      </c>
    </row>
    <row r="1205" spans="1:27">
      <c r="A1205" s="142">
        <v>45905</v>
      </c>
      <c r="B1205" s="143" t="s">
        <v>1752</v>
      </c>
      <c r="C1205" s="143" t="s">
        <v>1753</v>
      </c>
      <c r="D1205" s="143" t="s">
        <v>169</v>
      </c>
      <c r="E1205" s="143">
        <v>85395</v>
      </c>
      <c r="F1205" s="143" t="s">
        <v>25</v>
      </c>
      <c r="G1205" s="143" t="s">
        <v>1723</v>
      </c>
      <c r="H1205" s="145" t="s">
        <v>27</v>
      </c>
      <c r="I1205" s="146"/>
      <c r="J1205" s="146"/>
      <c r="K1205" s="146"/>
      <c r="L1205" s="146"/>
      <c r="M1205" s="146"/>
      <c r="N1205" s="146"/>
      <c r="O1205" s="146"/>
      <c r="P1205" s="146"/>
      <c r="Q1205" s="146"/>
      <c r="R1205" s="143"/>
      <c r="S1205" s="143"/>
      <c r="T1205" s="143"/>
      <c r="U1205" s="143"/>
      <c r="AA1205">
        <f>IF(COUNTIF('Call Queue'!$H$6:$H$20,V1205)&gt;0,0,IF(AND(ISNUMBER(N1205),N1205&gt;0),10000000+N1205,IF(ISNUMBER(N1205*1),IF(N1205*1&gt;0,10000000+N1205*1,0),0))+IF(ISNUMBER(SEARCH("(",L1205)),1000000+IFERROR(VALUE(SUBSTITUTE(SUBSTITUTE(SUBSTITUTE(MID(L1205,SEARCH("(",L1205)+1,SEARCH(")",L1205)-SEARCH("(",L1205)-1),"$",""),",","")," ","")),0),0))</f>
        <v>0</v>
      </c>
    </row>
    <row r="1206" spans="1:27">
      <c r="A1206" s="142">
        <v>45905</v>
      </c>
      <c r="B1206" s="143" t="s">
        <v>1757</v>
      </c>
      <c r="C1206" s="143" t="s">
        <v>1758</v>
      </c>
      <c r="D1206" s="143" t="s">
        <v>202</v>
      </c>
      <c r="E1206" s="143">
        <v>85383</v>
      </c>
      <c r="F1206" s="143" t="s">
        <v>310</v>
      </c>
      <c r="G1206" s="143" t="s">
        <v>1723</v>
      </c>
      <c r="H1206" s="145" t="s">
        <v>27</v>
      </c>
      <c r="I1206" s="146"/>
      <c r="J1206" s="146"/>
      <c r="K1206" s="146"/>
      <c r="L1206" s="146"/>
      <c r="M1206" s="146"/>
      <c r="N1206" s="146"/>
      <c r="O1206" s="146"/>
      <c r="P1206" s="146"/>
      <c r="Q1206" s="146"/>
      <c r="R1206" s="143"/>
      <c r="S1206" s="143"/>
      <c r="T1206" s="143"/>
      <c r="U1206" s="143"/>
      <c r="AA1206">
        <f>IF(COUNTIF('Call Queue'!$H$6:$H$20,V1206)&gt;0,0,IF(AND(ISNUMBER(N1206),N1206&gt;0),10000000+N1206,IF(ISNUMBER(N1206*1),IF(N1206*1&gt;0,10000000+N1206*1,0),0))+IF(ISNUMBER(SEARCH("(",L1206)),1000000+IFERROR(VALUE(SUBSTITUTE(SUBSTITUTE(SUBSTITUTE(MID(L1206,SEARCH("(",L1206)+1,SEARCH(")",L1206)-SEARCH("(",L1206)-1),"$",""),",","")," ","")),0),0))</f>
        <v>0</v>
      </c>
    </row>
    <row r="1207" spans="1:27">
      <c r="A1207" s="137">
        <v>45905</v>
      </c>
      <c r="B1207" s="138" t="s">
        <v>1775</v>
      </c>
      <c r="C1207" s="138" t="s">
        <v>911</v>
      </c>
      <c r="D1207" s="138" t="s">
        <v>63</v>
      </c>
      <c r="E1207" s="138">
        <v>85085</v>
      </c>
      <c r="F1207" s="138" t="s">
        <v>310</v>
      </c>
      <c r="G1207" s="138" t="s">
        <v>1723</v>
      </c>
      <c r="H1207" s="140" t="s">
        <v>27</v>
      </c>
      <c r="I1207" s="141"/>
      <c r="J1207" s="141"/>
      <c r="K1207" s="141"/>
      <c r="L1207" s="141"/>
      <c r="M1207" s="141"/>
      <c r="N1207" s="141"/>
      <c r="O1207" s="141"/>
      <c r="P1207" s="141"/>
      <c r="Q1207" s="141"/>
      <c r="R1207" s="138"/>
      <c r="S1207" s="138"/>
      <c r="T1207" s="138"/>
      <c r="U1207" s="138"/>
      <c r="AA1207">
        <f>IF(COUNTIF('Call Queue'!$H$6:$H$20,V1207)&gt;0,0,IF(AND(ISNUMBER(N1207),N1207&gt;0),10000000+N1207,IF(ISNUMBER(N1207*1),IF(N1207*1&gt;0,10000000+N1207*1,0),0))+IF(ISNUMBER(SEARCH("(",L1207)),1000000+IFERROR(VALUE(SUBSTITUTE(SUBSTITUTE(SUBSTITUTE(MID(L1207,SEARCH("(",L1207)+1,SEARCH(")",L1207)-SEARCH("(",L1207)-1),"$",""),",","")," ","")),0),0))</f>
        <v>0</v>
      </c>
    </row>
    <row r="1208" spans="1:27">
      <c r="A1208" s="137">
        <v>45905</v>
      </c>
      <c r="B1208" s="138" t="s">
        <v>886</v>
      </c>
      <c r="C1208" s="138" t="s">
        <v>1785</v>
      </c>
      <c r="D1208" s="138" t="s">
        <v>63</v>
      </c>
      <c r="E1208" s="138">
        <v>85029</v>
      </c>
      <c r="F1208" s="138" t="s">
        <v>31</v>
      </c>
      <c r="G1208" s="138" t="s">
        <v>1723</v>
      </c>
      <c r="H1208" s="140" t="s">
        <v>27</v>
      </c>
      <c r="I1208" s="141"/>
      <c r="J1208" s="141"/>
      <c r="K1208" s="141"/>
      <c r="L1208" s="141"/>
      <c r="M1208" s="141"/>
      <c r="N1208" s="141"/>
      <c r="O1208" s="141"/>
      <c r="P1208" s="141"/>
      <c r="Q1208" s="141"/>
      <c r="R1208" s="138"/>
      <c r="S1208" s="138"/>
      <c r="T1208" s="138"/>
      <c r="U1208" s="138"/>
      <c r="AA1208">
        <f>IF(COUNTIF('Call Queue'!$H$6:$H$20,V1208)&gt;0,0,IF(AND(ISNUMBER(N1208),N1208&gt;0),10000000+N1208,IF(ISNUMBER(N1208*1),IF(N1208*1&gt;0,10000000+N1208*1,0),0))+IF(ISNUMBER(SEARCH("(",L1208)),1000000+IFERROR(VALUE(SUBSTITUTE(SUBSTITUTE(SUBSTITUTE(MID(L1208,SEARCH("(",L1208)+1,SEARCH(")",L1208)-SEARCH("(",L1208)-1),"$",""),",","")," ","")),0),0))</f>
        <v>0</v>
      </c>
    </row>
    <row r="1209" spans="1:27">
      <c r="A1209" s="137">
        <v>45905</v>
      </c>
      <c r="B1209" s="138" t="s">
        <v>1801</v>
      </c>
      <c r="C1209" s="138" t="s">
        <v>1802</v>
      </c>
      <c r="D1209" s="138" t="s">
        <v>63</v>
      </c>
      <c r="E1209" s="138">
        <v>85024</v>
      </c>
      <c r="F1209" s="138" t="s">
        <v>310</v>
      </c>
      <c r="G1209" s="138" t="s">
        <v>1723</v>
      </c>
      <c r="H1209" s="140" t="s">
        <v>27</v>
      </c>
      <c r="I1209" s="141"/>
      <c r="J1209" s="141"/>
      <c r="K1209" s="141"/>
      <c r="L1209" s="141"/>
      <c r="M1209" s="141"/>
      <c r="N1209" s="141"/>
      <c r="O1209" s="141"/>
      <c r="P1209" s="141"/>
      <c r="Q1209" s="141"/>
      <c r="R1209" s="138"/>
      <c r="S1209" s="138"/>
      <c r="T1209" s="138"/>
      <c r="U1209" s="138"/>
      <c r="AA1209">
        <f>IF(COUNTIF('Call Queue'!$H$6:$H$20,V1209)&gt;0,0,IF(AND(ISNUMBER(N1209),N1209&gt;0),10000000+N1209,IF(ISNUMBER(N1209*1),IF(N1209*1&gt;0,10000000+N1209*1,0),0))+IF(ISNUMBER(SEARCH("(",L1209)),1000000+IFERROR(VALUE(SUBSTITUTE(SUBSTITUTE(SUBSTITUTE(MID(L1209,SEARCH("(",L1209)+1,SEARCH(")",L1209)-SEARCH("(",L1209)-1),"$",""),",","")," ","")),0),0))</f>
        <v>0</v>
      </c>
    </row>
    <row r="1210" spans="1:27">
      <c r="A1210" s="137">
        <v>45905</v>
      </c>
      <c r="B1210" s="138" t="s">
        <v>1811</v>
      </c>
      <c r="C1210" s="138" t="s">
        <v>733</v>
      </c>
      <c r="D1210" s="138" t="s">
        <v>63</v>
      </c>
      <c r="E1210" s="138">
        <v>85054</v>
      </c>
      <c r="F1210" s="138" t="s">
        <v>310</v>
      </c>
      <c r="G1210" s="138" t="s">
        <v>1723</v>
      </c>
      <c r="H1210" s="140" t="s">
        <v>27</v>
      </c>
      <c r="I1210" s="141"/>
      <c r="J1210" s="141"/>
      <c r="K1210" s="141"/>
      <c r="L1210" s="141"/>
      <c r="M1210" s="141"/>
      <c r="N1210" s="141"/>
      <c r="O1210" s="141"/>
      <c r="P1210" s="141"/>
      <c r="Q1210" s="141"/>
      <c r="R1210" s="138"/>
      <c r="S1210" s="138"/>
      <c r="T1210" s="138"/>
      <c r="U1210" s="138"/>
      <c r="AA1210">
        <f>IF(COUNTIF('Call Queue'!$H$6:$H$20,V1210)&gt;0,0,IF(AND(ISNUMBER(N1210),N1210&gt;0),10000000+N1210,IF(ISNUMBER(N1210*1),IF(N1210*1&gt;0,10000000+N1210*1,0),0))+IF(ISNUMBER(SEARCH("(",L1210)),1000000+IFERROR(VALUE(SUBSTITUTE(SUBSTITUTE(SUBSTITUTE(MID(L1210,SEARCH("(",L1210)+1,SEARCH(")",L1210)-SEARCH("(",L1210)-1),"$",""),",","")," ","")),0),0))</f>
        <v>0</v>
      </c>
    </row>
    <row r="1211" spans="1:27">
      <c r="A1211" s="142">
        <v>45905</v>
      </c>
      <c r="B1211" s="143" t="s">
        <v>1838</v>
      </c>
      <c r="C1211" s="143" t="s">
        <v>346</v>
      </c>
      <c r="D1211" s="143" t="s">
        <v>63</v>
      </c>
      <c r="E1211" s="143">
        <v>85087</v>
      </c>
      <c r="F1211" s="143" t="s">
        <v>310</v>
      </c>
      <c r="G1211" s="143" t="s">
        <v>1723</v>
      </c>
      <c r="H1211" s="145" t="s">
        <v>27</v>
      </c>
      <c r="I1211" s="146"/>
      <c r="J1211" s="146"/>
      <c r="K1211" s="146"/>
      <c r="L1211" s="146"/>
      <c r="M1211" s="146"/>
      <c r="N1211" s="146"/>
      <c r="O1211" s="146"/>
      <c r="P1211" s="146"/>
      <c r="Q1211" s="146"/>
      <c r="R1211" s="143"/>
      <c r="S1211" s="143"/>
      <c r="T1211" s="143"/>
      <c r="U1211" s="143"/>
      <c r="AA1211">
        <f>IF(COUNTIF('Call Queue'!$H$6:$H$20,V1211)&gt;0,0,IF(AND(ISNUMBER(N1211),N1211&gt;0),10000000+N1211,IF(ISNUMBER(N1211*1),IF(N1211*1&gt;0,10000000+N1211*1,0),0))+IF(ISNUMBER(SEARCH("(",L1211)),1000000+IFERROR(VALUE(SUBSTITUTE(SUBSTITUTE(SUBSTITUTE(MID(L1211,SEARCH("(",L1211)+1,SEARCH(")",L1211)-SEARCH("(",L1211)-1),"$",""),",","")," ","")),0),0))</f>
        <v>0</v>
      </c>
    </row>
    <row r="1212" spans="1:27">
      <c r="A1212" s="142">
        <v>45905</v>
      </c>
      <c r="B1212" s="143" t="s">
        <v>1843</v>
      </c>
      <c r="C1212" s="143" t="s">
        <v>1844</v>
      </c>
      <c r="D1212" s="143" t="s">
        <v>63</v>
      </c>
      <c r="E1212" s="143">
        <v>85028</v>
      </c>
      <c r="F1212" s="143" t="s">
        <v>1845</v>
      </c>
      <c r="G1212" s="143" t="s">
        <v>1723</v>
      </c>
      <c r="H1212" s="145" t="s">
        <v>90</v>
      </c>
      <c r="I1212" s="146"/>
      <c r="J1212" s="146"/>
      <c r="K1212" s="146"/>
      <c r="L1212" s="146"/>
      <c r="M1212" s="146"/>
      <c r="N1212" s="146"/>
      <c r="O1212" s="146"/>
      <c r="P1212" s="146"/>
      <c r="Q1212" s="146"/>
      <c r="R1212" s="143"/>
      <c r="S1212" s="143"/>
      <c r="T1212" s="143"/>
      <c r="U1212" s="143"/>
      <c r="AA1212">
        <f>IF(COUNTIF('Call Queue'!$H$6:$H$20,V1212)&gt;0,0,IF(AND(ISNUMBER(N1212),N1212&gt;0),10000000+N1212,IF(ISNUMBER(N1212*1),IF(N1212*1&gt;0,10000000+N1212*1,0),0))+IF(ISNUMBER(SEARCH("(",L1212)),1000000+IFERROR(VALUE(SUBSTITUTE(SUBSTITUTE(SUBSTITUTE(MID(L1212,SEARCH("(",L1212)+1,SEARCH(")",L1212)-SEARCH("(",L1212)-1),"$",""),",","")," ","")),0),0))</f>
        <v>0</v>
      </c>
    </row>
    <row r="1213" spans="1:27">
      <c r="A1213" s="137">
        <v>45905</v>
      </c>
      <c r="B1213" s="138" t="s">
        <v>1182</v>
      </c>
      <c r="C1213" s="138" t="s">
        <v>1868</v>
      </c>
      <c r="D1213" s="138" t="s">
        <v>63</v>
      </c>
      <c r="E1213" s="138">
        <v>85054</v>
      </c>
      <c r="F1213" s="138" t="s">
        <v>31</v>
      </c>
      <c r="G1213" s="138" t="s">
        <v>1723</v>
      </c>
      <c r="H1213" s="140" t="s">
        <v>27</v>
      </c>
      <c r="I1213" s="141"/>
      <c r="J1213" s="141"/>
      <c r="K1213" s="141"/>
      <c r="L1213" s="141"/>
      <c r="M1213" s="141"/>
      <c r="N1213" s="141"/>
      <c r="O1213" s="141"/>
      <c r="P1213" s="141"/>
      <c r="Q1213" s="141"/>
      <c r="R1213" s="138"/>
      <c r="S1213" s="138"/>
      <c r="T1213" s="138"/>
      <c r="U1213" s="138"/>
      <c r="AA1213">
        <f>IF(COUNTIF('Call Queue'!$H$6:$H$20,V1213)&gt;0,0,IF(AND(ISNUMBER(N1213),N1213&gt;0),10000000+N1213,IF(ISNUMBER(N1213*1),IF(N1213*1&gt;0,10000000+N1213*1,0),0))+IF(ISNUMBER(SEARCH("(",L1213)),1000000+IFERROR(VALUE(SUBSTITUTE(SUBSTITUTE(SUBSTITUTE(MID(L1213,SEARCH("(",L1213)+1,SEARCH(")",L1213)-SEARCH("(",L1213)-1),"$",""),",","")," ","")),0),0))</f>
        <v>0</v>
      </c>
    </row>
    <row r="1214" spans="1:27">
      <c r="A1214" s="142">
        <v>45905</v>
      </c>
      <c r="B1214" s="143" t="s">
        <v>1869</v>
      </c>
      <c r="C1214" s="143" t="s">
        <v>1870</v>
      </c>
      <c r="D1214" s="143" t="s">
        <v>619</v>
      </c>
      <c r="E1214" s="143">
        <v>85365</v>
      </c>
      <c r="F1214" s="143" t="s">
        <v>310</v>
      </c>
      <c r="G1214" s="143" t="s">
        <v>1723</v>
      </c>
      <c r="H1214" s="145" t="s">
        <v>27</v>
      </c>
      <c r="I1214" s="146"/>
      <c r="J1214" s="146"/>
      <c r="K1214" s="146"/>
      <c r="L1214" s="146"/>
      <c r="M1214" s="146"/>
      <c r="N1214" s="146"/>
      <c r="O1214" s="146"/>
      <c r="P1214" s="146"/>
      <c r="Q1214" s="146"/>
      <c r="R1214" s="143"/>
      <c r="S1214" s="143"/>
      <c r="T1214" s="143"/>
      <c r="U1214" s="143"/>
      <c r="AA1214">
        <f>IF(COUNTIF('Call Queue'!$H$6:$H$20,V1214)&gt;0,0,IF(AND(ISNUMBER(N1214),N1214&gt;0),10000000+N1214,IF(ISNUMBER(N1214*1),IF(N1214*1&gt;0,10000000+N1214*1,0),0))+IF(ISNUMBER(SEARCH("(",L1214)),1000000+IFERROR(VALUE(SUBSTITUTE(SUBSTITUTE(SUBSTITUTE(MID(L1214,SEARCH("(",L1214)+1,SEARCH(")",L1214)-SEARCH("(",L1214)-1),"$",""),",","")," ","")),0),0))</f>
        <v>0</v>
      </c>
    </row>
    <row r="1215" spans="1:27">
      <c r="A1215" s="137">
        <v>45905</v>
      </c>
      <c r="B1215" s="138" t="s">
        <v>1888</v>
      </c>
      <c r="C1215" s="138" t="s">
        <v>1889</v>
      </c>
      <c r="D1215" s="138" t="s">
        <v>125</v>
      </c>
      <c r="E1215" s="138">
        <v>85254</v>
      </c>
      <c r="F1215" s="138" t="s">
        <v>31</v>
      </c>
      <c r="G1215" s="138" t="s">
        <v>1723</v>
      </c>
      <c r="H1215" s="140" t="s">
        <v>27</v>
      </c>
      <c r="I1215" s="141"/>
      <c r="J1215" s="141"/>
      <c r="K1215" s="141"/>
      <c r="L1215" s="141"/>
      <c r="M1215" s="141"/>
      <c r="N1215" s="141"/>
      <c r="O1215" s="141"/>
      <c r="P1215" s="141"/>
      <c r="Q1215" s="141"/>
      <c r="R1215" s="138"/>
      <c r="S1215" s="138"/>
      <c r="T1215" s="138"/>
      <c r="U1215" s="138"/>
      <c r="AA1215">
        <f>IF(COUNTIF('Call Queue'!$H$6:$H$20,V1215)&gt;0,0,IF(AND(ISNUMBER(N1215),N1215&gt;0),10000000+N1215,IF(ISNUMBER(N1215*1),IF(N1215*1&gt;0,10000000+N1215*1,0),0))+IF(ISNUMBER(SEARCH("(",L1215)),1000000+IFERROR(VALUE(SUBSTITUTE(SUBSTITUTE(SUBSTITUTE(MID(L1215,SEARCH("(",L1215)+1,SEARCH(")",L1215)-SEARCH("(",L1215)-1),"$",""),",","")," ","")),0),0))</f>
        <v>0</v>
      </c>
    </row>
    <row r="1216" spans="1:27">
      <c r="A1216" s="137">
        <v>45905</v>
      </c>
      <c r="B1216" s="138" t="s">
        <v>1913</v>
      </c>
      <c r="C1216" s="138" t="s">
        <v>1914</v>
      </c>
      <c r="D1216" s="138" t="s">
        <v>169</v>
      </c>
      <c r="E1216" s="138">
        <v>85338</v>
      </c>
      <c r="F1216" s="138" t="s">
        <v>310</v>
      </c>
      <c r="G1216" s="138" t="s">
        <v>1723</v>
      </c>
      <c r="H1216" s="140" t="s">
        <v>27</v>
      </c>
      <c r="I1216" s="141"/>
      <c r="J1216" s="141"/>
      <c r="K1216" s="141"/>
      <c r="L1216" s="141"/>
      <c r="M1216" s="141"/>
      <c r="N1216" s="141"/>
      <c r="O1216" s="141"/>
      <c r="P1216" s="141"/>
      <c r="Q1216" s="141"/>
      <c r="R1216" s="138"/>
      <c r="S1216" s="138"/>
      <c r="T1216" s="138"/>
      <c r="U1216" s="138"/>
      <c r="AA1216">
        <f>IF(COUNTIF('Call Queue'!$H$6:$H$20,V1216)&gt;0,0,IF(AND(ISNUMBER(N1216),N1216&gt;0),10000000+N1216,IF(ISNUMBER(N1216*1),IF(N1216*1&gt;0,10000000+N1216*1,0),0))+IF(ISNUMBER(SEARCH("(",L1216)),1000000+IFERROR(VALUE(SUBSTITUTE(SUBSTITUTE(SUBSTITUTE(MID(L1216,SEARCH("(",L1216)+1,SEARCH(")",L1216)-SEARCH("(",L1216)-1),"$",""),",","")," ","")),0),0))</f>
        <v>0</v>
      </c>
    </row>
    <row r="1217" spans="1:27">
      <c r="A1217" s="137">
        <v>45905</v>
      </c>
      <c r="B1217" s="138" t="s">
        <v>1208</v>
      </c>
      <c r="C1217" s="138" t="s">
        <v>1209</v>
      </c>
      <c r="D1217" s="138" t="s">
        <v>202</v>
      </c>
      <c r="E1217" s="138">
        <v>85383</v>
      </c>
      <c r="F1217" s="138" t="s">
        <v>1966</v>
      </c>
      <c r="G1217" s="138" t="s">
        <v>1723</v>
      </c>
      <c r="H1217" s="140" t="s">
        <v>90</v>
      </c>
      <c r="I1217" s="141"/>
      <c r="J1217" s="141"/>
      <c r="K1217" s="141"/>
      <c r="L1217" s="141"/>
      <c r="M1217" s="141"/>
      <c r="N1217" s="141"/>
      <c r="O1217" s="141"/>
      <c r="P1217" s="141"/>
      <c r="Q1217" s="141"/>
      <c r="R1217" s="138"/>
      <c r="S1217" s="138"/>
      <c r="T1217" s="138"/>
      <c r="U1217" s="138"/>
      <c r="AA1217">
        <f>IF(COUNTIF('Call Queue'!$H$6:$H$20,V1217)&gt;0,0,IF(AND(ISNUMBER(N1217),N1217&gt;0),10000000+N1217,IF(ISNUMBER(N1217*1),IF(N1217*1&gt;0,10000000+N1217*1,0),0))+IF(ISNUMBER(SEARCH("(",L1217)),1000000+IFERROR(VALUE(SUBSTITUTE(SUBSTITUTE(SUBSTITUTE(MID(L1217,SEARCH("(",L1217)+1,SEARCH(")",L1217)-SEARCH("(",L1217)-1),"$",""),",","")," ","")),0),0))</f>
        <v>0</v>
      </c>
    </row>
    <row r="1218" spans="1:27">
      <c r="A1218" s="137">
        <v>45905</v>
      </c>
      <c r="B1218" s="138" t="s">
        <v>1984</v>
      </c>
      <c r="C1218" s="138" t="s">
        <v>1985</v>
      </c>
      <c r="D1218" s="138" t="s">
        <v>202</v>
      </c>
      <c r="E1218" s="138">
        <v>85383</v>
      </c>
      <c r="F1218" s="138" t="s">
        <v>310</v>
      </c>
      <c r="G1218" s="138" t="s">
        <v>1723</v>
      </c>
      <c r="H1218" s="140" t="s">
        <v>27</v>
      </c>
      <c r="I1218" s="141"/>
      <c r="J1218" s="141"/>
      <c r="K1218" s="141"/>
      <c r="L1218" s="141"/>
      <c r="M1218" s="141"/>
      <c r="N1218" s="141"/>
      <c r="O1218" s="141"/>
      <c r="P1218" s="141"/>
      <c r="Q1218" s="141"/>
      <c r="R1218" s="138"/>
      <c r="S1218" s="138"/>
      <c r="T1218" s="138"/>
      <c r="U1218" s="138"/>
      <c r="AA1218">
        <f>IF(COUNTIF('Call Queue'!$H$6:$H$20,V1218)&gt;0,0,IF(AND(ISNUMBER(N1218),N1218&gt;0),10000000+N1218,IF(ISNUMBER(N1218*1),IF(N1218*1&gt;0,10000000+N1218*1,0),0))+IF(ISNUMBER(SEARCH("(",L1218)),1000000+IFERROR(VALUE(SUBSTITUTE(SUBSTITUTE(SUBSTITUTE(MID(L1218,SEARCH("(",L1218)+1,SEARCH(")",L1218)-SEARCH("(",L1218)-1),"$",""),",","")," ","")),0),0))</f>
        <v>0</v>
      </c>
    </row>
    <row r="1219" spans="1:27">
      <c r="A1219" s="142">
        <v>45905</v>
      </c>
      <c r="B1219" s="143" t="s">
        <v>1686</v>
      </c>
      <c r="C1219" s="143" t="s">
        <v>548</v>
      </c>
      <c r="D1219" s="143" t="s">
        <v>63</v>
      </c>
      <c r="E1219" s="143">
        <v>85007</v>
      </c>
      <c r="F1219" s="143" t="s">
        <v>310</v>
      </c>
      <c r="G1219" s="143" t="s">
        <v>1723</v>
      </c>
      <c r="H1219" s="145" t="s">
        <v>27</v>
      </c>
      <c r="I1219" s="146"/>
      <c r="J1219" s="146"/>
      <c r="K1219" s="146"/>
      <c r="L1219" s="146"/>
      <c r="M1219" s="146"/>
      <c r="N1219" s="146"/>
      <c r="O1219" s="146"/>
      <c r="P1219" s="146"/>
      <c r="Q1219" s="146"/>
      <c r="R1219" s="143"/>
      <c r="S1219" s="143"/>
      <c r="T1219" s="143"/>
      <c r="U1219" s="143"/>
      <c r="AA1219">
        <f>IF(COUNTIF('Call Queue'!$H$6:$H$20,V1219)&gt;0,0,IF(AND(ISNUMBER(N1219),N1219&gt;0),10000000+N1219,IF(ISNUMBER(N1219*1),IF(N1219*1&gt;0,10000000+N1219*1,0),0))+IF(ISNUMBER(SEARCH("(",L1219)),1000000+IFERROR(VALUE(SUBSTITUTE(SUBSTITUTE(SUBSTITUTE(MID(L1219,SEARCH("(",L1219)+1,SEARCH(")",L1219)-SEARCH("(",L1219)-1),"$",""),",","")," ","")),0),0))</f>
        <v>0</v>
      </c>
    </row>
    <row r="1220" spans="1:27">
      <c r="A1220" s="137">
        <v>45905</v>
      </c>
      <c r="B1220" s="138" t="s">
        <v>2033</v>
      </c>
      <c r="C1220" s="138" t="s">
        <v>2034</v>
      </c>
      <c r="D1220" s="138" t="s">
        <v>112</v>
      </c>
      <c r="E1220" s="138">
        <v>85374</v>
      </c>
      <c r="F1220" s="138" t="s">
        <v>310</v>
      </c>
      <c r="G1220" s="138" t="s">
        <v>1723</v>
      </c>
      <c r="H1220" s="140" t="s">
        <v>90</v>
      </c>
      <c r="I1220" s="141"/>
      <c r="J1220" s="141"/>
      <c r="K1220" s="141"/>
      <c r="L1220" s="141"/>
      <c r="M1220" s="141"/>
      <c r="N1220" s="141"/>
      <c r="O1220" s="141"/>
      <c r="P1220" s="141"/>
      <c r="Q1220" s="141"/>
      <c r="R1220" s="138"/>
      <c r="S1220" s="138"/>
      <c r="T1220" s="138"/>
      <c r="U1220" s="138"/>
      <c r="AA1220">
        <f>IF(COUNTIF('Call Queue'!$H$6:$H$20,V1220)&gt;0,0,IF(AND(ISNUMBER(N1220),N1220&gt;0),10000000+N1220,IF(ISNUMBER(N1220*1),IF(N1220*1&gt;0,10000000+N1220*1,0),0))+IF(ISNUMBER(SEARCH("(",L1220)),1000000+IFERROR(VALUE(SUBSTITUTE(SUBSTITUTE(SUBSTITUTE(MID(L1220,SEARCH("(",L1220)+1,SEARCH(")",L1220)-SEARCH("(",L1220)-1),"$",""),",","")," ","")),0),0))</f>
        <v>0</v>
      </c>
    </row>
    <row r="1221" spans="1:27">
      <c r="A1221" s="137">
        <v>45905</v>
      </c>
      <c r="B1221" s="138" t="s">
        <v>2039</v>
      </c>
      <c r="C1221" s="138" t="s">
        <v>2040</v>
      </c>
      <c r="D1221" s="138" t="s">
        <v>125</v>
      </c>
      <c r="E1221" s="138">
        <v>85254</v>
      </c>
      <c r="F1221" s="138" t="s">
        <v>310</v>
      </c>
      <c r="G1221" s="138" t="s">
        <v>1723</v>
      </c>
      <c r="H1221" s="140" t="s">
        <v>27</v>
      </c>
      <c r="I1221" s="141"/>
      <c r="J1221" s="141"/>
      <c r="K1221" s="141"/>
      <c r="L1221" s="141"/>
      <c r="M1221" s="141"/>
      <c r="N1221" s="141"/>
      <c r="O1221" s="141"/>
      <c r="P1221" s="141"/>
      <c r="Q1221" s="141"/>
      <c r="R1221" s="138"/>
      <c r="S1221" s="138"/>
      <c r="T1221" s="138"/>
      <c r="U1221" s="138"/>
      <c r="AA1221">
        <f>IF(COUNTIF('Call Queue'!$H$6:$H$20,V1221)&gt;0,0,IF(AND(ISNUMBER(N1221),N1221&gt;0),10000000+N1221,IF(ISNUMBER(N1221*1),IF(N1221*1&gt;0,10000000+N1221*1,0),0))+IF(ISNUMBER(SEARCH("(",L1221)),1000000+IFERROR(VALUE(SUBSTITUTE(SUBSTITUTE(SUBSTITUTE(MID(L1221,SEARCH("(",L1221)+1,SEARCH(")",L1221)-SEARCH("(",L1221)-1),"$",""),",","")," ","")),0),0))</f>
        <v>0</v>
      </c>
    </row>
    <row r="1222" spans="1:27">
      <c r="A1222" s="142">
        <v>45905</v>
      </c>
      <c r="B1222" s="143" t="s">
        <v>2061</v>
      </c>
      <c r="C1222" s="143" t="s">
        <v>755</v>
      </c>
      <c r="D1222" s="143" t="s">
        <v>619</v>
      </c>
      <c r="E1222" s="143">
        <v>85365</v>
      </c>
      <c r="F1222" s="143" t="s">
        <v>310</v>
      </c>
      <c r="G1222" s="143" t="s">
        <v>1723</v>
      </c>
      <c r="H1222" s="145" t="s">
        <v>27</v>
      </c>
      <c r="I1222" s="146"/>
      <c r="J1222" s="146"/>
      <c r="K1222" s="146"/>
      <c r="L1222" s="146"/>
      <c r="M1222" s="146"/>
      <c r="N1222" s="146"/>
      <c r="O1222" s="146"/>
      <c r="P1222" s="146"/>
      <c r="Q1222" s="146"/>
      <c r="R1222" s="143"/>
      <c r="S1222" s="143"/>
      <c r="T1222" s="143"/>
      <c r="U1222" s="143"/>
      <c r="AA1222">
        <f>IF(COUNTIF('Call Queue'!$H$6:$H$20,V1222)&gt;0,0,IF(AND(ISNUMBER(N1222),N1222&gt;0),10000000+N1222,IF(ISNUMBER(N1222*1),IF(N1222*1&gt;0,10000000+N1222*1,0),0))+IF(ISNUMBER(SEARCH("(",L1222)),1000000+IFERROR(VALUE(SUBSTITUTE(SUBSTITUTE(SUBSTITUTE(MID(L1222,SEARCH("(",L1222)+1,SEARCH(")",L1222)-SEARCH("(",L1222)-1),"$",""),",","")," ","")),0),0))</f>
        <v>0</v>
      </c>
    </row>
    <row r="1223" spans="1:27">
      <c r="A1223" s="137">
        <v>45905</v>
      </c>
      <c r="B1223" s="138" t="s">
        <v>2062</v>
      </c>
      <c r="C1223" s="138" t="s">
        <v>2063</v>
      </c>
      <c r="D1223" s="138" t="s">
        <v>539</v>
      </c>
      <c r="E1223" s="138">
        <v>85122</v>
      </c>
      <c r="F1223" s="138" t="s">
        <v>31</v>
      </c>
      <c r="G1223" s="138" t="s">
        <v>1723</v>
      </c>
      <c r="H1223" s="140" t="s">
        <v>27</v>
      </c>
      <c r="I1223" s="141"/>
      <c r="J1223" s="141"/>
      <c r="K1223" s="141"/>
      <c r="L1223" s="141"/>
      <c r="M1223" s="141"/>
      <c r="N1223" s="141"/>
      <c r="O1223" s="141"/>
      <c r="P1223" s="141"/>
      <c r="Q1223" s="141"/>
      <c r="R1223" s="138"/>
      <c r="S1223" s="138"/>
      <c r="T1223" s="138"/>
      <c r="U1223" s="138"/>
      <c r="AA1223">
        <f>IF(COUNTIF('Call Queue'!$H$6:$H$20,V1223)&gt;0,0,IF(AND(ISNUMBER(N1223),N1223&gt;0),10000000+N1223,IF(ISNUMBER(N1223*1),IF(N1223*1&gt;0,10000000+N1223*1,0),0))+IF(ISNUMBER(SEARCH("(",L1223)),1000000+IFERROR(VALUE(SUBSTITUTE(SUBSTITUTE(SUBSTITUTE(MID(L1223,SEARCH("(",L1223)+1,SEARCH(")",L1223)-SEARCH("(",L1223)-1),"$",""),",","")," ","")),0),0))</f>
        <v>0</v>
      </c>
    </row>
    <row r="1224" spans="1:27">
      <c r="A1224" s="137">
        <v>45905</v>
      </c>
      <c r="B1224" s="138" t="s">
        <v>2115</v>
      </c>
      <c r="C1224" s="138" t="s">
        <v>2116</v>
      </c>
      <c r="D1224" s="138" t="s">
        <v>112</v>
      </c>
      <c r="E1224" s="138">
        <v>85387</v>
      </c>
      <c r="F1224" s="138" t="s">
        <v>2117</v>
      </c>
      <c r="G1224" s="138" t="s">
        <v>1723</v>
      </c>
      <c r="H1224" s="140" t="s">
        <v>27</v>
      </c>
      <c r="I1224" s="141"/>
      <c r="J1224" s="141"/>
      <c r="K1224" s="141"/>
      <c r="L1224" s="141"/>
      <c r="M1224" s="141"/>
      <c r="N1224" s="141"/>
      <c r="O1224" s="141"/>
      <c r="P1224" s="141"/>
      <c r="Q1224" s="141"/>
      <c r="R1224" s="138"/>
      <c r="S1224" s="138"/>
      <c r="T1224" s="138"/>
      <c r="U1224" s="138"/>
      <c r="AA1224">
        <f>IF(COUNTIF('Call Queue'!$H$6:$H$20,V1224)&gt;0,0,IF(AND(ISNUMBER(N1224),N1224&gt;0),10000000+N1224,IF(ISNUMBER(N1224*1),IF(N1224*1&gt;0,10000000+N1224*1,0),0))+IF(ISNUMBER(SEARCH("(",L1224)),1000000+IFERROR(VALUE(SUBSTITUTE(SUBSTITUTE(SUBSTITUTE(MID(L1224,SEARCH("(",L1224)+1,SEARCH(")",L1224)-SEARCH("(",L1224)-1),"$",""),",","")," ","")),0),0))</f>
        <v>0</v>
      </c>
    </row>
    <row r="1225" spans="1:27">
      <c r="A1225" s="142">
        <v>45905</v>
      </c>
      <c r="B1225" s="143" t="s">
        <v>2160</v>
      </c>
      <c r="C1225" s="143" t="s">
        <v>2161</v>
      </c>
      <c r="D1225" s="143" t="s">
        <v>63</v>
      </c>
      <c r="E1225" s="143">
        <v>85053</v>
      </c>
      <c r="F1225" s="143" t="s">
        <v>310</v>
      </c>
      <c r="G1225" s="143" t="s">
        <v>2130</v>
      </c>
      <c r="H1225" s="145" t="s">
        <v>27</v>
      </c>
      <c r="I1225" s="146"/>
      <c r="J1225" s="146"/>
      <c r="K1225" s="146"/>
      <c r="L1225" s="146"/>
      <c r="M1225" s="146"/>
      <c r="N1225" s="146"/>
      <c r="O1225" s="146"/>
      <c r="P1225" s="146"/>
      <c r="Q1225" s="146"/>
      <c r="R1225" s="143"/>
      <c r="S1225" s="143"/>
      <c r="T1225" s="143"/>
      <c r="U1225" s="143"/>
      <c r="AA1225">
        <f>IF(COUNTIF('Call Queue'!$H$6:$H$20,V1225)&gt;0,0,IF(AND(ISNUMBER(N1225),N1225&gt;0),10000000+N1225,IF(ISNUMBER(N1225*1),IF(N1225*1&gt;0,10000000+N1225*1,0),0))+IF(ISNUMBER(SEARCH("(",L1225)),1000000+IFERROR(VALUE(SUBSTITUTE(SUBSTITUTE(SUBSTITUTE(MID(L1225,SEARCH("(",L1225)+1,SEARCH(")",L1225)-SEARCH("(",L1225)-1),"$",""),",","")," ","")),0),0))</f>
        <v>0</v>
      </c>
    </row>
    <row r="1226" spans="1:27">
      <c r="A1226" s="137">
        <v>45905</v>
      </c>
      <c r="B1226" s="138" t="s">
        <v>2175</v>
      </c>
      <c r="C1226" s="138" t="s">
        <v>2176</v>
      </c>
      <c r="D1226" s="138" t="s">
        <v>112</v>
      </c>
      <c r="E1226" s="138">
        <v>85388</v>
      </c>
      <c r="F1226" s="138" t="s">
        <v>310</v>
      </c>
      <c r="G1226" s="138" t="s">
        <v>2130</v>
      </c>
      <c r="H1226" s="140" t="s">
        <v>27</v>
      </c>
      <c r="I1226" s="141"/>
      <c r="J1226" s="141"/>
      <c r="K1226" s="141"/>
      <c r="L1226" s="141"/>
      <c r="M1226" s="141"/>
      <c r="N1226" s="141"/>
      <c r="O1226" s="141"/>
      <c r="P1226" s="141"/>
      <c r="Q1226" s="141"/>
      <c r="R1226" s="138"/>
      <c r="S1226" s="138"/>
      <c r="T1226" s="138"/>
      <c r="U1226" s="138"/>
      <c r="AA1226">
        <f>IF(COUNTIF('Call Queue'!$H$6:$H$20,V1226)&gt;0,0,IF(AND(ISNUMBER(N1226),N1226&gt;0),10000000+N1226,IF(ISNUMBER(N1226*1),IF(N1226*1&gt;0,10000000+N1226*1,0),0))+IF(ISNUMBER(SEARCH("(",L1226)),1000000+IFERROR(VALUE(SUBSTITUTE(SUBSTITUTE(SUBSTITUTE(MID(L1226,SEARCH("(",L1226)+1,SEARCH(")",L1226)-SEARCH("(",L1226)-1),"$",""),",","")," ","")),0),0))</f>
        <v>0</v>
      </c>
    </row>
    <row r="1227" spans="1:27">
      <c r="A1227" s="142">
        <v>45905</v>
      </c>
      <c r="B1227" s="143" t="s">
        <v>2177</v>
      </c>
      <c r="C1227" s="143" t="s">
        <v>1815</v>
      </c>
      <c r="D1227" s="143" t="s">
        <v>112</v>
      </c>
      <c r="E1227" s="143">
        <v>85388</v>
      </c>
      <c r="F1227" s="143" t="s">
        <v>310</v>
      </c>
      <c r="G1227" s="143" t="s">
        <v>2130</v>
      </c>
      <c r="H1227" s="145" t="s">
        <v>90</v>
      </c>
      <c r="I1227" s="146"/>
      <c r="J1227" s="146"/>
      <c r="K1227" s="146"/>
      <c r="L1227" s="146"/>
      <c r="M1227" s="146"/>
      <c r="N1227" s="146"/>
      <c r="O1227" s="146"/>
      <c r="P1227" s="146"/>
      <c r="Q1227" s="146"/>
      <c r="R1227" s="143"/>
      <c r="S1227" s="143"/>
      <c r="T1227" s="143"/>
      <c r="U1227" s="143"/>
      <c r="AA1227">
        <f>IF(COUNTIF('Call Queue'!$H$6:$H$20,V1227)&gt;0,0,IF(AND(ISNUMBER(N1227),N1227&gt;0),10000000+N1227,IF(ISNUMBER(N1227*1),IF(N1227*1&gt;0,10000000+N1227*1,0),0))+IF(ISNUMBER(SEARCH("(",L1227)),1000000+IFERROR(VALUE(SUBSTITUTE(SUBSTITUTE(SUBSTITUTE(MID(L1227,SEARCH("(",L1227)+1,SEARCH(")",L1227)-SEARCH("(",L1227)-1),"$",""),",","")," ","")),0),0))</f>
        <v>0</v>
      </c>
    </row>
    <row r="1228" spans="1:27">
      <c r="A1228" s="137">
        <v>45905</v>
      </c>
      <c r="B1228" s="138" t="s">
        <v>2221</v>
      </c>
      <c r="C1228" s="138" t="s">
        <v>1182</v>
      </c>
      <c r="D1228" s="138" t="s">
        <v>63</v>
      </c>
      <c r="E1228" s="138">
        <v>85022</v>
      </c>
      <c r="F1228" s="138" t="s">
        <v>31</v>
      </c>
      <c r="G1228" s="138" t="s">
        <v>2130</v>
      </c>
      <c r="H1228" s="140" t="s">
        <v>27</v>
      </c>
      <c r="I1228" s="141"/>
      <c r="J1228" s="141"/>
      <c r="K1228" s="141"/>
      <c r="L1228" s="141"/>
      <c r="M1228" s="141"/>
      <c r="N1228" s="141"/>
      <c r="O1228" s="141"/>
      <c r="P1228" s="141"/>
      <c r="Q1228" s="141"/>
      <c r="R1228" s="138"/>
      <c r="S1228" s="138"/>
      <c r="T1228" s="138"/>
      <c r="U1228" s="138"/>
      <c r="AA1228">
        <f>IF(COUNTIF('Call Queue'!$H$6:$H$20,V1228)&gt;0,0,IF(AND(ISNUMBER(N1228),N1228&gt;0),10000000+N1228,IF(ISNUMBER(N1228*1),IF(N1228*1&gt;0,10000000+N1228*1,0),0))+IF(ISNUMBER(SEARCH("(",L1228)),1000000+IFERROR(VALUE(SUBSTITUTE(SUBSTITUTE(SUBSTITUTE(MID(L1228,SEARCH("(",L1228)+1,SEARCH(")",L1228)-SEARCH("(",L1228)-1),"$",""),",","")," ","")),0),0))</f>
        <v>0</v>
      </c>
    </row>
    <row r="1229" spans="1:27">
      <c r="A1229" s="142">
        <v>45905</v>
      </c>
      <c r="B1229" s="143" t="s">
        <v>2253</v>
      </c>
      <c r="C1229" s="143" t="s">
        <v>124</v>
      </c>
      <c r="D1229" s="143" t="s">
        <v>539</v>
      </c>
      <c r="E1229" s="143">
        <v>85122</v>
      </c>
      <c r="F1229" s="143" t="s">
        <v>2254</v>
      </c>
      <c r="G1229" s="143" t="s">
        <v>2130</v>
      </c>
      <c r="H1229" s="145" t="s">
        <v>27</v>
      </c>
      <c r="I1229" s="146"/>
      <c r="J1229" s="146"/>
      <c r="K1229" s="146"/>
      <c r="L1229" s="146"/>
      <c r="M1229" s="146"/>
      <c r="N1229" s="146"/>
      <c r="O1229" s="146"/>
      <c r="P1229" s="146"/>
      <c r="Q1229" s="146"/>
      <c r="R1229" s="143"/>
      <c r="S1229" s="143"/>
      <c r="T1229" s="143"/>
      <c r="U1229" s="143"/>
      <c r="AA1229">
        <f>IF(COUNTIF('Call Queue'!$H$6:$H$20,V1229)&gt;0,0,IF(AND(ISNUMBER(N1229),N1229&gt;0),10000000+N1229,IF(ISNUMBER(N1229*1),IF(N1229*1&gt;0,10000000+N1229*1,0),0))+IF(ISNUMBER(SEARCH("(",L1229)),1000000+IFERROR(VALUE(SUBSTITUTE(SUBSTITUTE(SUBSTITUTE(MID(L1229,SEARCH("(",L1229)+1,SEARCH(")",L1229)-SEARCH("(",L1229)-1),"$",""),",","")," ","")),0),0))</f>
        <v>0</v>
      </c>
    </row>
    <row r="1230" spans="1:27">
      <c r="A1230" s="137">
        <v>45905</v>
      </c>
      <c r="B1230" s="138" t="s">
        <v>2255</v>
      </c>
      <c r="C1230" s="138" t="s">
        <v>2256</v>
      </c>
      <c r="D1230" s="138" t="s">
        <v>1204</v>
      </c>
      <c r="E1230" s="138">
        <v>85355</v>
      </c>
      <c r="F1230" s="138" t="s">
        <v>310</v>
      </c>
      <c r="G1230" s="138" t="s">
        <v>2130</v>
      </c>
      <c r="H1230" s="140" t="s">
        <v>27</v>
      </c>
      <c r="I1230" s="141"/>
      <c r="J1230" s="141"/>
      <c r="K1230" s="141"/>
      <c r="L1230" s="141"/>
      <c r="M1230" s="141"/>
      <c r="N1230" s="141"/>
      <c r="O1230" s="141"/>
      <c r="P1230" s="141"/>
      <c r="Q1230" s="141"/>
      <c r="R1230" s="138"/>
      <c r="S1230" s="138"/>
      <c r="T1230" s="138"/>
      <c r="U1230" s="138"/>
      <c r="AA1230">
        <f>IF(COUNTIF('Call Queue'!$H$6:$H$20,V1230)&gt;0,0,IF(AND(ISNUMBER(N1230),N1230&gt;0),10000000+N1230,IF(ISNUMBER(N1230*1),IF(N1230*1&gt;0,10000000+N1230*1,0),0))+IF(ISNUMBER(SEARCH("(",L1230)),1000000+IFERROR(VALUE(SUBSTITUTE(SUBSTITUTE(SUBSTITUTE(MID(L1230,SEARCH("(",L1230)+1,SEARCH(")",L1230)-SEARCH("(",L1230)-1),"$",""),",","")," ","")),0),0))</f>
        <v>0</v>
      </c>
    </row>
    <row r="1231" spans="1:27">
      <c r="A1231" s="142">
        <v>45905</v>
      </c>
      <c r="B1231" s="143" t="s">
        <v>1873</v>
      </c>
      <c r="C1231" s="143" t="s">
        <v>153</v>
      </c>
      <c r="D1231" s="143" t="s">
        <v>63</v>
      </c>
      <c r="E1231" s="143">
        <v>85020</v>
      </c>
      <c r="F1231" s="143" t="s">
        <v>660</v>
      </c>
      <c r="G1231" s="143" t="s">
        <v>2130</v>
      </c>
      <c r="H1231" s="145" t="s">
        <v>90</v>
      </c>
      <c r="I1231" s="146"/>
      <c r="J1231" s="146"/>
      <c r="K1231" s="146"/>
      <c r="L1231" s="146"/>
      <c r="M1231" s="146"/>
      <c r="N1231" s="146"/>
      <c r="O1231" s="146"/>
      <c r="P1231" s="146"/>
      <c r="Q1231" s="146"/>
      <c r="R1231" s="143"/>
      <c r="S1231" s="143"/>
      <c r="T1231" s="143"/>
      <c r="U1231" s="143"/>
      <c r="AA1231">
        <f>IF(COUNTIF('Call Queue'!$H$6:$H$20,V1231)&gt;0,0,IF(AND(ISNUMBER(N1231),N1231&gt;0),10000000+N1231,IF(ISNUMBER(N1231*1),IF(N1231*1&gt;0,10000000+N1231*1,0),0))+IF(ISNUMBER(SEARCH("(",L1231)),1000000+IFERROR(VALUE(SUBSTITUTE(SUBSTITUTE(SUBSTITUTE(MID(L1231,SEARCH("(",L1231)+1,SEARCH(")",L1231)-SEARCH("(",L1231)-1),"$",""),",","")," ","")),0),0))</f>
        <v>0</v>
      </c>
    </row>
    <row r="1232" spans="1:27">
      <c r="A1232" s="137">
        <v>45905</v>
      </c>
      <c r="B1232" s="138" t="s">
        <v>2257</v>
      </c>
      <c r="C1232" s="138" t="s">
        <v>324</v>
      </c>
      <c r="D1232" s="138" t="s">
        <v>63</v>
      </c>
      <c r="E1232" s="138">
        <v>85013</v>
      </c>
      <c r="F1232" s="138" t="s">
        <v>31</v>
      </c>
      <c r="G1232" s="138" t="s">
        <v>2130</v>
      </c>
      <c r="H1232" s="140" t="s">
        <v>27</v>
      </c>
      <c r="I1232" s="141"/>
      <c r="J1232" s="141"/>
      <c r="K1232" s="141"/>
      <c r="L1232" s="141"/>
      <c r="M1232" s="141"/>
      <c r="N1232" s="141"/>
      <c r="O1232" s="141"/>
      <c r="P1232" s="141"/>
      <c r="Q1232" s="141"/>
      <c r="R1232" s="138"/>
      <c r="S1232" s="138"/>
      <c r="T1232" s="138"/>
      <c r="U1232" s="138"/>
      <c r="AA1232">
        <f>IF(COUNTIF('Call Queue'!$H$6:$H$20,V1232)&gt;0,0,IF(AND(ISNUMBER(N1232),N1232&gt;0),10000000+N1232,IF(ISNUMBER(N1232*1),IF(N1232*1&gt;0,10000000+N1232*1,0),0))+IF(ISNUMBER(SEARCH("(",L1232)),1000000+IFERROR(VALUE(SUBSTITUTE(SUBSTITUTE(SUBSTITUTE(MID(L1232,SEARCH("(",L1232)+1,SEARCH(")",L1232)-SEARCH("(",L1232)-1),"$",""),",","")," ","")),0),0))</f>
        <v>0</v>
      </c>
    </row>
    <row r="1233" spans="1:27">
      <c r="A1233" s="137">
        <v>45905</v>
      </c>
      <c r="B1233" s="138" t="s">
        <v>2267</v>
      </c>
      <c r="C1233" s="138" t="s">
        <v>2268</v>
      </c>
      <c r="D1233" s="138" t="s">
        <v>63</v>
      </c>
      <c r="E1233" s="138">
        <v>85086</v>
      </c>
      <c r="F1233" s="138" t="s">
        <v>31</v>
      </c>
      <c r="G1233" s="138" t="s">
        <v>2130</v>
      </c>
      <c r="H1233" s="140" t="s">
        <v>27</v>
      </c>
      <c r="I1233" s="141"/>
      <c r="J1233" s="141"/>
      <c r="K1233" s="141"/>
      <c r="L1233" s="141"/>
      <c r="M1233" s="141"/>
      <c r="N1233" s="141"/>
      <c r="O1233" s="141"/>
      <c r="P1233" s="141"/>
      <c r="Q1233" s="141"/>
      <c r="R1233" s="138"/>
      <c r="S1233" s="138"/>
      <c r="T1233" s="138"/>
      <c r="U1233" s="138"/>
      <c r="AA1233">
        <f>IF(COUNTIF('Call Queue'!$H$6:$H$20,V1233)&gt;0,0,IF(AND(ISNUMBER(N1233),N1233&gt;0),10000000+N1233,IF(ISNUMBER(N1233*1),IF(N1233*1&gt;0,10000000+N1233*1,0),0))+IF(ISNUMBER(SEARCH("(",L1233)),1000000+IFERROR(VALUE(SUBSTITUTE(SUBSTITUTE(SUBSTITUTE(MID(L1233,SEARCH("(",L1233)+1,SEARCH(")",L1233)-SEARCH("(",L1233)-1),"$",""),",","")," ","")),0),0))</f>
        <v>0</v>
      </c>
    </row>
    <row r="1234" spans="1:27">
      <c r="A1234" s="142">
        <v>45905</v>
      </c>
      <c r="B1234" s="143" t="s">
        <v>2285</v>
      </c>
      <c r="C1234" s="143" t="s">
        <v>2286</v>
      </c>
      <c r="D1234" s="143" t="s">
        <v>202</v>
      </c>
      <c r="E1234" s="143">
        <v>85383</v>
      </c>
      <c r="F1234" s="143" t="s">
        <v>2287</v>
      </c>
      <c r="G1234" s="143" t="s">
        <v>2130</v>
      </c>
      <c r="H1234" s="145" t="s">
        <v>27</v>
      </c>
      <c r="I1234" s="146"/>
      <c r="J1234" s="146"/>
      <c r="K1234" s="146"/>
      <c r="L1234" s="146"/>
      <c r="M1234" s="146"/>
      <c r="N1234" s="146"/>
      <c r="O1234" s="146"/>
      <c r="P1234" s="146"/>
      <c r="Q1234" s="146"/>
      <c r="R1234" s="143"/>
      <c r="S1234" s="143"/>
      <c r="T1234" s="143"/>
      <c r="U1234" s="143"/>
      <c r="AA1234">
        <f>IF(COUNTIF('Call Queue'!$H$6:$H$20,V1234)&gt;0,0,IF(AND(ISNUMBER(N1234),N1234&gt;0),10000000+N1234,IF(ISNUMBER(N1234*1),IF(N1234*1&gt;0,10000000+N1234*1,0),0))+IF(ISNUMBER(SEARCH("(",L1234)),1000000+IFERROR(VALUE(SUBSTITUTE(SUBSTITUTE(SUBSTITUTE(MID(L1234,SEARCH("(",L1234)+1,SEARCH(")",L1234)-SEARCH("(",L1234)-1),"$",""),",","")," ","")),0),0))</f>
        <v>0</v>
      </c>
    </row>
    <row r="1235" spans="1:27">
      <c r="A1235" s="137">
        <v>45905</v>
      </c>
      <c r="B1235" s="138" t="s">
        <v>2288</v>
      </c>
      <c r="C1235" s="138" t="s">
        <v>2289</v>
      </c>
      <c r="D1235" s="138" t="s">
        <v>63</v>
      </c>
      <c r="E1235" s="138">
        <v>85013</v>
      </c>
      <c r="F1235" s="138" t="s">
        <v>31</v>
      </c>
      <c r="G1235" s="138" t="s">
        <v>2130</v>
      </c>
      <c r="H1235" s="140" t="s">
        <v>27</v>
      </c>
      <c r="I1235" s="141"/>
      <c r="J1235" s="141"/>
      <c r="K1235" s="141"/>
      <c r="L1235" s="141"/>
      <c r="M1235" s="141"/>
      <c r="N1235" s="141"/>
      <c r="O1235" s="141"/>
      <c r="P1235" s="141"/>
      <c r="Q1235" s="141"/>
      <c r="R1235" s="138"/>
      <c r="S1235" s="138"/>
      <c r="T1235" s="138"/>
      <c r="U1235" s="138"/>
      <c r="AA1235">
        <f>IF(COUNTIF('Call Queue'!$H$6:$H$20,V1235)&gt;0,0,IF(AND(ISNUMBER(N1235),N1235&gt;0),10000000+N1235,IF(ISNUMBER(N1235*1),IF(N1235*1&gt;0,10000000+N1235*1,0),0))+IF(ISNUMBER(SEARCH("(",L1235)),1000000+IFERROR(VALUE(SUBSTITUTE(SUBSTITUTE(SUBSTITUTE(MID(L1235,SEARCH("(",L1235)+1,SEARCH(")",L1235)-SEARCH("(",L1235)-1),"$",""),",","")," ","")),0),0))</f>
        <v>0</v>
      </c>
    </row>
    <row r="1236" spans="1:27">
      <c r="A1236" s="142">
        <v>45905</v>
      </c>
      <c r="B1236" s="143" t="s">
        <v>2297</v>
      </c>
      <c r="C1236" s="143" t="s">
        <v>2298</v>
      </c>
      <c r="D1236" s="143" t="s">
        <v>85</v>
      </c>
      <c r="E1236" s="143">
        <v>86323</v>
      </c>
      <c r="F1236" s="143" t="s">
        <v>1933</v>
      </c>
      <c r="G1236" s="143" t="s">
        <v>2130</v>
      </c>
      <c r="H1236" s="145" t="s">
        <v>27</v>
      </c>
      <c r="I1236" s="146"/>
      <c r="J1236" s="146"/>
      <c r="K1236" s="146"/>
      <c r="L1236" s="146"/>
      <c r="M1236" s="146"/>
      <c r="N1236" s="146"/>
      <c r="O1236" s="146"/>
      <c r="P1236" s="146"/>
      <c r="Q1236" s="146"/>
      <c r="R1236" s="143"/>
      <c r="S1236" s="143"/>
      <c r="T1236" s="143"/>
      <c r="U1236" s="143"/>
      <c r="AA1236">
        <f>IF(COUNTIF('Call Queue'!$H$6:$H$20,V1236)&gt;0,0,IF(AND(ISNUMBER(N1236),N1236&gt;0),10000000+N1236,IF(ISNUMBER(N1236*1),IF(N1236*1&gt;0,10000000+N1236*1,0),0))+IF(ISNUMBER(SEARCH("(",L1236)),1000000+IFERROR(VALUE(SUBSTITUTE(SUBSTITUTE(SUBSTITUTE(MID(L1236,SEARCH("(",L1236)+1,SEARCH(")",L1236)-SEARCH("(",L1236)-1),"$",""),",","")," ","")),0),0))</f>
        <v>0</v>
      </c>
    </row>
    <row r="1237" spans="1:27">
      <c r="A1237" s="137">
        <v>45905</v>
      </c>
      <c r="B1237" s="138" t="s">
        <v>2299</v>
      </c>
      <c r="C1237" s="138" t="s">
        <v>2300</v>
      </c>
      <c r="D1237" s="138" t="s">
        <v>63</v>
      </c>
      <c r="E1237" s="138">
        <v>85014</v>
      </c>
      <c r="F1237" s="138" t="s">
        <v>310</v>
      </c>
      <c r="G1237" s="138" t="s">
        <v>2130</v>
      </c>
      <c r="H1237" s="140" t="s">
        <v>27</v>
      </c>
      <c r="I1237" s="141"/>
      <c r="J1237" s="141"/>
      <c r="K1237" s="141"/>
      <c r="L1237" s="141"/>
      <c r="M1237" s="141"/>
      <c r="N1237" s="141"/>
      <c r="O1237" s="141"/>
      <c r="P1237" s="141"/>
      <c r="Q1237" s="141"/>
      <c r="R1237" s="138"/>
      <c r="S1237" s="138"/>
      <c r="T1237" s="138"/>
      <c r="U1237" s="138"/>
      <c r="AA1237">
        <f>IF(COUNTIF('Call Queue'!$H$6:$H$20,V1237)&gt;0,0,IF(AND(ISNUMBER(N1237),N1237&gt;0),10000000+N1237,IF(ISNUMBER(N1237*1),IF(N1237*1&gt;0,10000000+N1237*1,0),0))+IF(ISNUMBER(SEARCH("(",L1237)),1000000+IFERROR(VALUE(SUBSTITUTE(SUBSTITUTE(SUBSTITUTE(MID(L1237,SEARCH("(",L1237)+1,SEARCH(")",L1237)-SEARCH("(",L1237)-1),"$",""),",","")," ","")),0),0))</f>
        <v>0</v>
      </c>
    </row>
    <row r="1238" spans="1:27">
      <c r="A1238" s="137">
        <v>45905</v>
      </c>
      <c r="B1238" s="138" t="s">
        <v>2310</v>
      </c>
      <c r="C1238" s="138" t="s">
        <v>2311</v>
      </c>
      <c r="D1238" s="138" t="s">
        <v>63</v>
      </c>
      <c r="E1238" s="138">
        <v>85043</v>
      </c>
      <c r="F1238" s="138" t="s">
        <v>2312</v>
      </c>
      <c r="G1238" s="138" t="s">
        <v>2130</v>
      </c>
      <c r="H1238" s="140" t="s">
        <v>27</v>
      </c>
      <c r="I1238" s="141"/>
      <c r="J1238" s="141"/>
      <c r="K1238" s="141"/>
      <c r="L1238" s="141"/>
      <c r="M1238" s="141"/>
      <c r="N1238" s="141"/>
      <c r="O1238" s="141"/>
      <c r="P1238" s="141"/>
      <c r="Q1238" s="141"/>
      <c r="R1238" s="138"/>
      <c r="S1238" s="138"/>
      <c r="T1238" s="138"/>
      <c r="U1238" s="138"/>
      <c r="AA1238">
        <f>IF(COUNTIF('Call Queue'!$H$6:$H$20,V1238)&gt;0,0,IF(AND(ISNUMBER(N1238),N1238&gt;0),10000000+N1238,IF(ISNUMBER(N1238*1),IF(N1238*1&gt;0,10000000+N1238*1,0),0))+IF(ISNUMBER(SEARCH("(",L1238)),1000000+IFERROR(VALUE(SUBSTITUTE(SUBSTITUTE(SUBSTITUTE(MID(L1238,SEARCH("(",L1238)+1,SEARCH(")",L1238)-SEARCH("(",L1238)-1),"$",""),",","")," ","")),0),0))</f>
        <v>0</v>
      </c>
    </row>
    <row r="1239" spans="1:27">
      <c r="A1239" s="142">
        <v>45905</v>
      </c>
      <c r="B1239" s="143" t="s">
        <v>2335</v>
      </c>
      <c r="C1239" s="143" t="s">
        <v>2336</v>
      </c>
      <c r="D1239" s="143" t="s">
        <v>63</v>
      </c>
      <c r="E1239" s="143">
        <v>85032</v>
      </c>
      <c r="F1239" s="143" t="s">
        <v>2337</v>
      </c>
      <c r="G1239" s="143" t="s">
        <v>2130</v>
      </c>
      <c r="H1239" s="145" t="s">
        <v>27</v>
      </c>
      <c r="I1239" s="146"/>
      <c r="J1239" s="146"/>
      <c r="K1239" s="146"/>
      <c r="L1239" s="146"/>
      <c r="M1239" s="146"/>
      <c r="N1239" s="146"/>
      <c r="O1239" s="146"/>
      <c r="P1239" s="146"/>
      <c r="Q1239" s="146"/>
      <c r="R1239" s="143"/>
      <c r="S1239" s="143"/>
      <c r="T1239" s="143"/>
      <c r="U1239" s="143"/>
      <c r="AA1239">
        <f>IF(COUNTIF('Call Queue'!$H$6:$H$20,V1239)&gt;0,0,IF(AND(ISNUMBER(N1239),N1239&gt;0),10000000+N1239,IF(ISNUMBER(N1239*1),IF(N1239*1&gt;0,10000000+N1239*1,0),0))+IF(ISNUMBER(SEARCH("(",L1239)),1000000+IFERROR(VALUE(SUBSTITUTE(SUBSTITUTE(SUBSTITUTE(MID(L1239,SEARCH("(",L1239)+1,SEARCH(")",L1239)-SEARCH("(",L1239)-1),"$",""),",","")," ","")),0),0))</f>
        <v>0</v>
      </c>
    </row>
    <row r="1240" spans="1:27">
      <c r="A1240" s="137">
        <v>45905</v>
      </c>
      <c r="B1240" s="138" t="s">
        <v>2338</v>
      </c>
      <c r="C1240" s="138" t="s">
        <v>2339</v>
      </c>
      <c r="D1240" s="138" t="s">
        <v>635</v>
      </c>
      <c r="E1240" s="138">
        <v>85281</v>
      </c>
      <c r="F1240" s="138" t="s">
        <v>310</v>
      </c>
      <c r="G1240" s="138" t="s">
        <v>2130</v>
      </c>
      <c r="H1240" s="140" t="s">
        <v>90</v>
      </c>
      <c r="I1240" s="141"/>
      <c r="J1240" s="141"/>
      <c r="K1240" s="141"/>
      <c r="L1240" s="141"/>
      <c r="M1240" s="141"/>
      <c r="N1240" s="141"/>
      <c r="O1240" s="141"/>
      <c r="P1240" s="141"/>
      <c r="Q1240" s="141"/>
      <c r="R1240" s="138"/>
      <c r="S1240" s="138"/>
      <c r="T1240" s="138"/>
      <c r="U1240" s="138"/>
      <c r="AA1240">
        <f>IF(COUNTIF('Call Queue'!$H$6:$H$20,V1240)&gt;0,0,IF(AND(ISNUMBER(N1240),N1240&gt;0),10000000+N1240,IF(ISNUMBER(N1240*1),IF(N1240*1&gt;0,10000000+N1240*1,0),0))+IF(ISNUMBER(SEARCH("(",L1240)),1000000+IFERROR(VALUE(SUBSTITUTE(SUBSTITUTE(SUBSTITUTE(MID(L1240,SEARCH("(",L1240)+1,SEARCH(")",L1240)-SEARCH("(",L1240)-1),"$",""),",","")," ","")),0),0))</f>
        <v>0</v>
      </c>
    </row>
    <row r="1241" spans="1:27">
      <c r="A1241" s="151">
        <v>45905</v>
      </c>
      <c r="B1241" s="152" t="s">
        <v>2359</v>
      </c>
      <c r="C1241" s="152" t="s">
        <v>2360</v>
      </c>
      <c r="D1241" s="152" t="s">
        <v>2361</v>
      </c>
      <c r="E1241" s="152">
        <v>86335</v>
      </c>
      <c r="F1241" s="152" t="s">
        <v>31</v>
      </c>
      <c r="G1241" s="153" t="s">
        <v>2362</v>
      </c>
      <c r="H1241" s="145" t="s">
        <v>27</v>
      </c>
      <c r="I1241" s="146"/>
      <c r="J1241" s="146"/>
      <c r="K1241" s="146"/>
      <c r="L1241" s="146"/>
      <c r="M1241" s="146"/>
      <c r="N1241" s="146"/>
      <c r="O1241" s="146"/>
      <c r="P1241" s="146"/>
      <c r="Q1241" s="146"/>
      <c r="R1241" s="143"/>
      <c r="S1241" s="143"/>
      <c r="T1241" s="143"/>
      <c r="U1241" s="143"/>
      <c r="AA1241">
        <f>IF(COUNTIF('Call Queue'!$H$6:$H$20,V1241)&gt;0,0,IF(AND(ISNUMBER(N1241),N1241&gt;0),10000000+N1241,IF(ISNUMBER(N1241*1),IF(N1241*1&gt;0,10000000+N1241*1,0),0))+IF(ISNUMBER(SEARCH("(",L1241)),1000000+IFERROR(VALUE(SUBSTITUTE(SUBSTITUTE(SUBSTITUTE(MID(L1241,SEARCH("(",L1241)+1,SEARCH(")",L1241)-SEARCH("(",L1241)-1),"$",""),",","")," ","")),0),0))</f>
        <v>0</v>
      </c>
    </row>
    <row r="1242" spans="1:27">
      <c r="A1242" s="142">
        <v>45906</v>
      </c>
      <c r="B1242" s="143" t="s">
        <v>2363</v>
      </c>
      <c r="C1242" s="143" t="s">
        <v>879</v>
      </c>
      <c r="D1242" s="143" t="s">
        <v>112</v>
      </c>
      <c r="E1242" s="143">
        <v>85388</v>
      </c>
      <c r="F1242" s="143" t="s">
        <v>310</v>
      </c>
      <c r="G1242" s="143" t="s">
        <v>2364</v>
      </c>
      <c r="H1242" s="145" t="s">
        <v>27</v>
      </c>
      <c r="I1242" s="146"/>
      <c r="J1242" s="146"/>
      <c r="K1242" s="146"/>
      <c r="L1242" s="146"/>
      <c r="M1242" s="146"/>
      <c r="N1242" s="146"/>
      <c r="O1242" s="146"/>
      <c r="P1242" s="146"/>
      <c r="Q1242" s="146"/>
      <c r="R1242" s="143"/>
      <c r="S1242" s="143"/>
      <c r="T1242" s="143"/>
      <c r="U1242" s="143"/>
      <c r="AA1242">
        <f>IF(COUNTIF('Call Queue'!$H$6:$H$20,V1242)&gt;0,0,IF(AND(ISNUMBER(N1242),N1242&gt;0),10000000+N1242,IF(ISNUMBER(N1242*1),IF(N1242*1&gt;0,10000000+N1242*1,0),0))+IF(ISNUMBER(SEARCH("(",L1242)),1000000+IFERROR(VALUE(SUBSTITUTE(SUBSTITUTE(SUBSTITUTE(MID(L1242,SEARCH("(",L1242)+1,SEARCH(")",L1242)-SEARCH("(",L1242)-1),"$",""),",","")," ","")),0),0))</f>
        <v>0</v>
      </c>
    </row>
    <row r="1243" spans="1:27">
      <c r="A1243" s="137">
        <v>45906</v>
      </c>
      <c r="B1243" s="138" t="s">
        <v>2376</v>
      </c>
      <c r="C1243" s="138" t="s">
        <v>2377</v>
      </c>
      <c r="D1243" s="138" t="s">
        <v>880</v>
      </c>
      <c r="E1243" s="138">
        <v>85086</v>
      </c>
      <c r="F1243" s="138" t="s">
        <v>2378</v>
      </c>
      <c r="G1243" s="138" t="s">
        <v>2364</v>
      </c>
      <c r="H1243" s="140" t="s">
        <v>27</v>
      </c>
      <c r="I1243" s="141"/>
      <c r="J1243" s="141"/>
      <c r="K1243" s="141"/>
      <c r="L1243" s="141"/>
      <c r="M1243" s="141"/>
      <c r="N1243" s="141"/>
      <c r="O1243" s="141"/>
      <c r="P1243" s="141"/>
      <c r="Q1243" s="141"/>
      <c r="R1243" s="138"/>
      <c r="S1243" s="138"/>
      <c r="T1243" s="138"/>
      <c r="U1243" s="138"/>
      <c r="AA1243">
        <f>IF(COUNTIF('Call Queue'!$H$6:$H$20,V1243)&gt;0,0,IF(AND(ISNUMBER(N1243),N1243&gt;0),10000000+N1243,IF(ISNUMBER(N1243*1),IF(N1243*1&gt;0,10000000+N1243*1,0),0))+IF(ISNUMBER(SEARCH("(",L1243)),1000000+IFERROR(VALUE(SUBSTITUTE(SUBSTITUTE(SUBSTITUTE(MID(L1243,SEARCH("(",L1243)+1,SEARCH(")",L1243)-SEARCH("(",L1243)-1),"$",""),",","")," ","")),0),0))</f>
        <v>0</v>
      </c>
    </row>
    <row r="1244" spans="1:27">
      <c r="A1244" s="137">
        <v>45906</v>
      </c>
      <c r="B1244" s="138" t="s">
        <v>2389</v>
      </c>
      <c r="C1244" s="138" t="s">
        <v>2390</v>
      </c>
      <c r="D1244" s="138" t="s">
        <v>63</v>
      </c>
      <c r="E1244" s="138">
        <v>85023</v>
      </c>
      <c r="F1244" s="138" t="s">
        <v>310</v>
      </c>
      <c r="G1244" s="138" t="s">
        <v>2364</v>
      </c>
      <c r="H1244" s="140" t="s">
        <v>27</v>
      </c>
      <c r="I1244" s="141"/>
      <c r="J1244" s="141"/>
      <c r="K1244" s="141"/>
      <c r="L1244" s="141"/>
      <c r="M1244" s="141"/>
      <c r="N1244" s="141"/>
      <c r="O1244" s="141"/>
      <c r="P1244" s="141"/>
      <c r="Q1244" s="141"/>
      <c r="R1244" s="138"/>
      <c r="S1244" s="138"/>
      <c r="T1244" s="138"/>
      <c r="U1244" s="138"/>
      <c r="AA1244">
        <f>IF(COUNTIF('Call Queue'!$H$6:$H$20,V1244)&gt;0,0,IF(AND(ISNUMBER(N1244),N1244&gt;0),10000000+N1244,IF(ISNUMBER(N1244*1),IF(N1244*1&gt;0,10000000+N1244*1,0),0))+IF(ISNUMBER(SEARCH("(",L1244)),1000000+IFERROR(VALUE(SUBSTITUTE(SUBSTITUTE(SUBSTITUTE(MID(L1244,SEARCH("(",L1244)+1,SEARCH(")",L1244)-SEARCH("(",L1244)-1),"$",""),",","")," ","")),0),0))</f>
        <v>0</v>
      </c>
    </row>
    <row r="1245" spans="1:27">
      <c r="A1245" s="142">
        <v>45906</v>
      </c>
      <c r="B1245" s="143" t="s">
        <v>2399</v>
      </c>
      <c r="C1245" s="143" t="s">
        <v>2400</v>
      </c>
      <c r="D1245" s="143" t="s">
        <v>169</v>
      </c>
      <c r="E1245" s="143">
        <v>85338</v>
      </c>
      <c r="F1245" s="143" t="s">
        <v>310</v>
      </c>
      <c r="G1245" s="143" t="s">
        <v>2364</v>
      </c>
      <c r="H1245" s="145" t="s">
        <v>27</v>
      </c>
      <c r="I1245" s="146"/>
      <c r="J1245" s="146"/>
      <c r="K1245" s="146"/>
      <c r="L1245" s="146"/>
      <c r="M1245" s="146"/>
      <c r="N1245" s="146"/>
      <c r="O1245" s="146"/>
      <c r="P1245" s="146"/>
      <c r="Q1245" s="146"/>
      <c r="R1245" s="143"/>
      <c r="S1245" s="143"/>
      <c r="T1245" s="143"/>
      <c r="U1245" s="143"/>
      <c r="AA1245">
        <f>IF(COUNTIF('Call Queue'!$H$6:$H$20,V1245)&gt;0,0,IF(AND(ISNUMBER(N1245),N1245&gt;0),10000000+N1245,IF(ISNUMBER(N1245*1),IF(N1245*1&gt;0,10000000+N1245*1,0),0))+IF(ISNUMBER(SEARCH("(",L1245)),1000000+IFERROR(VALUE(SUBSTITUTE(SUBSTITUTE(SUBSTITUTE(MID(L1245,SEARCH("(",L1245)+1,SEARCH(")",L1245)-SEARCH("(",L1245)-1),"$",""),",","")," ","")),0),0))</f>
        <v>0</v>
      </c>
    </row>
    <row r="1246" spans="1:27">
      <c r="A1246" s="137">
        <v>45906</v>
      </c>
      <c r="B1246" s="138" t="s">
        <v>1177</v>
      </c>
      <c r="C1246" s="138" t="s">
        <v>464</v>
      </c>
      <c r="D1246" s="138" t="s">
        <v>63</v>
      </c>
      <c r="E1246" s="138">
        <v>85022</v>
      </c>
      <c r="F1246" s="138" t="s">
        <v>2407</v>
      </c>
      <c r="G1246" s="138" t="s">
        <v>2364</v>
      </c>
      <c r="H1246" s="140" t="s">
        <v>27</v>
      </c>
      <c r="I1246" s="141"/>
      <c r="J1246" s="141"/>
      <c r="K1246" s="141"/>
      <c r="L1246" s="141"/>
      <c r="M1246" s="141"/>
      <c r="N1246" s="141"/>
      <c r="O1246" s="141"/>
      <c r="P1246" s="141"/>
      <c r="Q1246" s="141"/>
      <c r="R1246" s="138"/>
      <c r="S1246" s="138"/>
      <c r="T1246" s="138"/>
      <c r="U1246" s="138"/>
      <c r="AA1246">
        <f>IF(COUNTIF('Call Queue'!$H$6:$H$20,V1246)&gt;0,0,IF(AND(ISNUMBER(N1246),N1246&gt;0),10000000+N1246,IF(ISNUMBER(N1246*1),IF(N1246*1&gt;0,10000000+N1246*1,0),0))+IF(ISNUMBER(SEARCH("(",L1246)),1000000+IFERROR(VALUE(SUBSTITUTE(SUBSTITUTE(SUBSTITUTE(MID(L1246,SEARCH("(",L1246)+1,SEARCH(")",L1246)-SEARCH("(",L1246)-1),"$",""),",","")," ","")),0),0))</f>
        <v>0</v>
      </c>
    </row>
    <row r="1247" spans="1:27">
      <c r="A1247" s="137">
        <v>45906</v>
      </c>
      <c r="B1247" s="138" t="s">
        <v>2411</v>
      </c>
      <c r="C1247" s="138" t="s">
        <v>2412</v>
      </c>
      <c r="D1247" s="138" t="s">
        <v>63</v>
      </c>
      <c r="E1247" s="138">
        <v>85027</v>
      </c>
      <c r="F1247" s="138" t="s">
        <v>310</v>
      </c>
      <c r="G1247" s="138" t="s">
        <v>2364</v>
      </c>
      <c r="H1247" s="140" t="s">
        <v>27</v>
      </c>
      <c r="I1247" s="141"/>
      <c r="J1247" s="141"/>
      <c r="K1247" s="141"/>
      <c r="L1247" s="141"/>
      <c r="M1247" s="141"/>
      <c r="N1247" s="141"/>
      <c r="O1247" s="141"/>
      <c r="P1247" s="141"/>
      <c r="Q1247" s="141"/>
      <c r="R1247" s="138"/>
      <c r="S1247" s="138"/>
      <c r="T1247" s="138"/>
      <c r="U1247" s="138"/>
      <c r="AA1247">
        <f>IF(COUNTIF('Call Queue'!$H$6:$H$20,V1247)&gt;0,0,IF(AND(ISNUMBER(N1247),N1247&gt;0),10000000+N1247,IF(ISNUMBER(N1247*1),IF(N1247*1&gt;0,10000000+N1247*1,0),0))+IF(ISNUMBER(SEARCH("(",L1247)),1000000+IFERROR(VALUE(SUBSTITUTE(SUBSTITUTE(SUBSTITUTE(MID(L1247,SEARCH("(",L1247)+1,SEARCH(")",L1247)-SEARCH("(",L1247)-1),"$",""),",","")," ","")),0),0))</f>
        <v>0</v>
      </c>
    </row>
    <row r="1248" spans="1:27">
      <c r="A1248" s="142">
        <v>45906</v>
      </c>
      <c r="B1248" s="143" t="s">
        <v>2452</v>
      </c>
      <c r="C1248" s="143" t="s">
        <v>2395</v>
      </c>
      <c r="D1248" s="143" t="s">
        <v>63</v>
      </c>
      <c r="E1248" s="143">
        <v>85050</v>
      </c>
      <c r="F1248" s="143" t="s">
        <v>310</v>
      </c>
      <c r="G1248" s="143" t="s">
        <v>2364</v>
      </c>
      <c r="H1248" s="145" t="s">
        <v>27</v>
      </c>
      <c r="I1248" s="146"/>
      <c r="J1248" s="146"/>
      <c r="K1248" s="146"/>
      <c r="L1248" s="146"/>
      <c r="M1248" s="146"/>
      <c r="N1248" s="146"/>
      <c r="O1248" s="146"/>
      <c r="P1248" s="146"/>
      <c r="Q1248" s="146"/>
      <c r="R1248" s="143"/>
      <c r="S1248" s="143"/>
      <c r="T1248" s="143"/>
      <c r="U1248" s="143"/>
      <c r="AA1248">
        <f>IF(COUNTIF('Call Queue'!$H$6:$H$20,V1248)&gt;0,0,IF(AND(ISNUMBER(N1248),N1248&gt;0),10000000+N1248,IF(ISNUMBER(N1248*1),IF(N1248*1&gt;0,10000000+N1248*1,0),0))+IF(ISNUMBER(SEARCH("(",L1248)),1000000+IFERROR(VALUE(SUBSTITUTE(SUBSTITUTE(SUBSTITUTE(MID(L1248,SEARCH("(",L1248)+1,SEARCH(")",L1248)-SEARCH("(",L1248)-1),"$",""),",","")," ","")),0),0))</f>
        <v>0</v>
      </c>
    </row>
    <row r="1249" spans="1:27">
      <c r="A1249" s="142">
        <v>45906</v>
      </c>
      <c r="B1249" s="143" t="s">
        <v>2465</v>
      </c>
      <c r="C1249" s="143" t="s">
        <v>2466</v>
      </c>
      <c r="D1249" s="143" t="s">
        <v>63</v>
      </c>
      <c r="E1249" s="143">
        <v>85018</v>
      </c>
      <c r="F1249" s="143" t="s">
        <v>310</v>
      </c>
      <c r="G1249" s="143" t="s">
        <v>2364</v>
      </c>
      <c r="H1249" s="145" t="s">
        <v>27</v>
      </c>
      <c r="I1249" s="146"/>
      <c r="J1249" s="146"/>
      <c r="K1249" s="146"/>
      <c r="L1249" s="146"/>
      <c r="M1249" s="146"/>
      <c r="N1249" s="146"/>
      <c r="O1249" s="146"/>
      <c r="P1249" s="146"/>
      <c r="Q1249" s="146"/>
      <c r="R1249" s="143"/>
      <c r="S1249" s="143"/>
      <c r="T1249" s="143"/>
      <c r="U1249" s="143"/>
      <c r="AA1249">
        <f>IF(COUNTIF('Call Queue'!$H$6:$H$20,V1249)&gt;0,0,IF(AND(ISNUMBER(N1249),N1249&gt;0),10000000+N1249,IF(ISNUMBER(N1249*1),IF(N1249*1&gt;0,10000000+N1249*1,0),0))+IF(ISNUMBER(SEARCH("(",L1249)),1000000+IFERROR(VALUE(SUBSTITUTE(SUBSTITUTE(SUBSTITUTE(MID(L1249,SEARCH("(",L1249)+1,SEARCH(")",L1249)-SEARCH("(",L1249)-1),"$",""),",","")," ","")),0),0))</f>
        <v>0</v>
      </c>
    </row>
    <row r="1250" spans="1:27">
      <c r="A1250" s="137">
        <v>45906</v>
      </c>
      <c r="B1250" s="138" t="s">
        <v>2467</v>
      </c>
      <c r="C1250" s="138" t="s">
        <v>382</v>
      </c>
      <c r="D1250" s="138" t="s">
        <v>63</v>
      </c>
      <c r="E1250" s="138">
        <v>85023</v>
      </c>
      <c r="F1250" s="138" t="s">
        <v>310</v>
      </c>
      <c r="G1250" s="138" t="s">
        <v>2364</v>
      </c>
      <c r="H1250" s="140" t="s">
        <v>90</v>
      </c>
      <c r="I1250" s="141"/>
      <c r="J1250" s="141"/>
      <c r="K1250" s="141"/>
      <c r="L1250" s="141"/>
      <c r="M1250" s="141"/>
      <c r="N1250" s="141"/>
      <c r="O1250" s="141"/>
      <c r="P1250" s="141"/>
      <c r="Q1250" s="141"/>
      <c r="R1250" s="138"/>
      <c r="S1250" s="138"/>
      <c r="T1250" s="138"/>
      <c r="U1250" s="138"/>
      <c r="AA1250">
        <f>IF(COUNTIF('Call Queue'!$H$6:$H$20,V1250)&gt;0,0,IF(AND(ISNUMBER(N1250),N1250&gt;0),10000000+N1250,IF(ISNUMBER(N1250*1),IF(N1250*1&gt;0,10000000+N1250*1,0),0))+IF(ISNUMBER(SEARCH("(",L1250)),1000000+IFERROR(VALUE(SUBSTITUTE(SUBSTITUTE(SUBSTITUTE(MID(L1250,SEARCH("(",L1250)+1,SEARCH(")",L1250)-SEARCH("(",L1250)-1),"$",""),",","")," ","")),0),0))</f>
        <v>0</v>
      </c>
    </row>
    <row r="1251" spans="1:27">
      <c r="A1251" s="137">
        <v>45906</v>
      </c>
      <c r="B1251" s="138" t="s">
        <v>2484</v>
      </c>
      <c r="C1251" s="138" t="s">
        <v>320</v>
      </c>
      <c r="D1251" s="138" t="s">
        <v>504</v>
      </c>
      <c r="E1251" s="138">
        <v>86005</v>
      </c>
      <c r="F1251" s="138" t="s">
        <v>310</v>
      </c>
      <c r="G1251" s="138" t="s">
        <v>2364</v>
      </c>
      <c r="H1251" s="140" t="s">
        <v>27</v>
      </c>
      <c r="I1251" s="141"/>
      <c r="J1251" s="141"/>
      <c r="K1251" s="141"/>
      <c r="L1251" s="141"/>
      <c r="M1251" s="141"/>
      <c r="N1251" s="141"/>
      <c r="O1251" s="141"/>
      <c r="P1251" s="141"/>
      <c r="Q1251" s="141"/>
      <c r="R1251" s="138"/>
      <c r="S1251" s="138"/>
      <c r="T1251" s="138"/>
      <c r="U1251" s="138"/>
      <c r="AA1251">
        <f>IF(COUNTIF('Call Queue'!$H$6:$H$20,V1251)&gt;0,0,IF(AND(ISNUMBER(N1251),N1251&gt;0),10000000+N1251,IF(ISNUMBER(N1251*1),IF(N1251*1&gt;0,10000000+N1251*1,0),0))+IF(ISNUMBER(SEARCH("(",L1251)),1000000+IFERROR(VALUE(SUBSTITUTE(SUBSTITUTE(SUBSTITUTE(MID(L1251,SEARCH("(",L1251)+1,SEARCH(")",L1251)-SEARCH("(",L1251)-1),"$",""),",","")," ","")),0),0))</f>
        <v>0</v>
      </c>
    </row>
    <row r="1252" spans="1:27">
      <c r="A1252" s="137">
        <v>45906</v>
      </c>
      <c r="B1252" s="138" t="s">
        <v>419</v>
      </c>
      <c r="C1252" s="138" t="s">
        <v>2487</v>
      </c>
      <c r="D1252" s="138" t="s">
        <v>24</v>
      </c>
      <c r="E1252" s="138">
        <v>85301</v>
      </c>
      <c r="F1252" s="138" t="s">
        <v>310</v>
      </c>
      <c r="G1252" s="138" t="s">
        <v>2364</v>
      </c>
      <c r="H1252" s="140" t="s">
        <v>27</v>
      </c>
      <c r="I1252" s="141"/>
      <c r="J1252" s="141"/>
      <c r="K1252" s="141"/>
      <c r="L1252" s="141"/>
      <c r="M1252" s="141"/>
      <c r="N1252" s="141"/>
      <c r="O1252" s="141"/>
      <c r="P1252" s="141"/>
      <c r="Q1252" s="141"/>
      <c r="R1252" s="138"/>
      <c r="S1252" s="138"/>
      <c r="T1252" s="138"/>
      <c r="U1252" s="138"/>
      <c r="AA1252">
        <f>IF(COUNTIF('Call Queue'!$H$6:$H$20,V1252)&gt;0,0,IF(AND(ISNUMBER(N1252),N1252&gt;0),10000000+N1252,IF(ISNUMBER(N1252*1),IF(N1252*1&gt;0,10000000+N1252*1,0),0))+IF(ISNUMBER(SEARCH("(",L1252)),1000000+IFERROR(VALUE(SUBSTITUTE(SUBSTITUTE(SUBSTITUTE(MID(L1252,SEARCH("(",L1252)+1,SEARCH(")",L1252)-SEARCH("(",L1252)-1),"$",""),",","")," ","")),0),0))</f>
        <v>0</v>
      </c>
    </row>
    <row r="1253" spans="1:27">
      <c r="A1253" s="137">
        <v>45906</v>
      </c>
      <c r="B1253" s="138" t="s">
        <v>2512</v>
      </c>
      <c r="C1253" s="138" t="s">
        <v>575</v>
      </c>
      <c r="D1253" s="138" t="s">
        <v>68</v>
      </c>
      <c r="E1253" s="138">
        <v>85331</v>
      </c>
      <c r="F1253" s="138" t="s">
        <v>310</v>
      </c>
      <c r="G1253" s="138" t="s">
        <v>2364</v>
      </c>
      <c r="H1253" s="140" t="s">
        <v>27</v>
      </c>
      <c r="I1253" s="141"/>
      <c r="J1253" s="141"/>
      <c r="K1253" s="141"/>
      <c r="L1253" s="141"/>
      <c r="M1253" s="141"/>
      <c r="N1253" s="141"/>
      <c r="O1253" s="141"/>
      <c r="P1253" s="141"/>
      <c r="Q1253" s="141"/>
      <c r="R1253" s="138"/>
      <c r="S1253" s="138"/>
      <c r="T1253" s="138"/>
      <c r="U1253" s="138"/>
      <c r="AA1253">
        <f>IF(COUNTIF('Call Queue'!$H$6:$H$20,V1253)&gt;0,0,IF(AND(ISNUMBER(N1253),N1253&gt;0),10000000+N1253,IF(ISNUMBER(N1253*1),IF(N1253*1&gt;0,10000000+N1253*1,0),0))+IF(ISNUMBER(SEARCH("(",L1253)),1000000+IFERROR(VALUE(SUBSTITUTE(SUBSTITUTE(SUBSTITUTE(MID(L1253,SEARCH("(",L1253)+1,SEARCH(")",L1253)-SEARCH("(",L1253)-1),"$",""),",","")," ","")),0),0))</f>
        <v>0</v>
      </c>
    </row>
    <row r="1254" spans="1:27">
      <c r="A1254" s="142">
        <v>45906</v>
      </c>
      <c r="B1254" s="143" t="s">
        <v>2520</v>
      </c>
      <c r="C1254" s="143" t="s">
        <v>2521</v>
      </c>
      <c r="D1254" s="143" t="s">
        <v>169</v>
      </c>
      <c r="E1254" s="143">
        <v>85338</v>
      </c>
      <c r="F1254" s="143" t="s">
        <v>2522</v>
      </c>
      <c r="G1254" s="143" t="s">
        <v>2364</v>
      </c>
      <c r="H1254" s="145" t="s">
        <v>27</v>
      </c>
      <c r="I1254" s="146"/>
      <c r="J1254" s="146"/>
      <c r="K1254" s="146"/>
      <c r="L1254" s="146"/>
      <c r="M1254" s="146"/>
      <c r="N1254" s="146"/>
      <c r="O1254" s="146"/>
      <c r="P1254" s="146"/>
      <c r="Q1254" s="146"/>
      <c r="R1254" s="143"/>
      <c r="S1254" s="143"/>
      <c r="T1254" s="143"/>
      <c r="U1254" s="143"/>
      <c r="AA1254">
        <f>IF(COUNTIF('Call Queue'!$H$6:$H$20,V1254)&gt;0,0,IF(AND(ISNUMBER(N1254),N1254&gt;0),10000000+N1254,IF(ISNUMBER(N1254*1),IF(N1254*1&gt;0,10000000+N1254*1,0),0))+IF(ISNUMBER(SEARCH("(",L1254)),1000000+IFERROR(VALUE(SUBSTITUTE(SUBSTITUTE(SUBSTITUTE(MID(L1254,SEARCH("(",L1254)+1,SEARCH(")",L1254)-SEARCH("(",L1254)-1),"$",""),",","")," ","")),0),0))</f>
        <v>0</v>
      </c>
    </row>
    <row r="1255" spans="1:27">
      <c r="A1255" s="142">
        <v>45907</v>
      </c>
      <c r="B1255" s="143" t="s">
        <v>2583</v>
      </c>
      <c r="C1255" s="143" t="s">
        <v>2476</v>
      </c>
      <c r="D1255" s="143" t="s">
        <v>63</v>
      </c>
      <c r="E1255" s="143">
        <v>85024</v>
      </c>
      <c r="F1255" s="143" t="s">
        <v>310</v>
      </c>
      <c r="G1255" s="143" t="s">
        <v>2364</v>
      </c>
      <c r="H1255" s="145" t="s">
        <v>27</v>
      </c>
      <c r="I1255" s="146"/>
      <c r="J1255" s="146"/>
      <c r="K1255" s="146"/>
      <c r="L1255" s="146"/>
      <c r="M1255" s="146"/>
      <c r="N1255" s="146"/>
      <c r="O1255" s="146"/>
      <c r="P1255" s="146"/>
      <c r="Q1255" s="146"/>
      <c r="R1255" s="143"/>
      <c r="S1255" s="143"/>
      <c r="T1255" s="143"/>
      <c r="U1255" s="143"/>
      <c r="AA1255">
        <f>IF(COUNTIF('Call Queue'!$H$6:$H$20,V1255)&gt;0,0,IF(AND(ISNUMBER(N1255),N1255&gt;0),10000000+N1255,IF(ISNUMBER(N1255*1),IF(N1255*1&gt;0,10000000+N1255*1,0),0))+IF(ISNUMBER(SEARCH("(",L1255)),1000000+IFERROR(VALUE(SUBSTITUTE(SUBSTITUTE(SUBSTITUTE(MID(L1255,SEARCH("(",L1255)+1,SEARCH(")",L1255)-SEARCH("(",L1255)-1),"$",""),",","")," ","")),0),0))</f>
        <v>0</v>
      </c>
    </row>
    <row r="1256" spans="1:27">
      <c r="A1256" s="137">
        <v>45907</v>
      </c>
      <c r="B1256" s="138" t="s">
        <v>2598</v>
      </c>
      <c r="C1256" s="138" t="s">
        <v>2450</v>
      </c>
      <c r="D1256" s="138" t="s">
        <v>698</v>
      </c>
      <c r="E1256" s="138">
        <v>85375</v>
      </c>
      <c r="F1256" s="138" t="s">
        <v>2599</v>
      </c>
      <c r="G1256" s="138" t="s">
        <v>2364</v>
      </c>
      <c r="H1256" s="140" t="s">
        <v>27</v>
      </c>
      <c r="I1256" s="141"/>
      <c r="J1256" s="141"/>
      <c r="K1256" s="141"/>
      <c r="L1256" s="141"/>
      <c r="M1256" s="141"/>
      <c r="N1256" s="141"/>
      <c r="O1256" s="141"/>
      <c r="P1256" s="141"/>
      <c r="Q1256" s="141"/>
      <c r="R1256" s="138"/>
      <c r="S1256" s="138"/>
      <c r="T1256" s="138"/>
      <c r="U1256" s="138"/>
      <c r="AA1256">
        <f>IF(COUNTIF('Call Queue'!$H$6:$H$20,V1256)&gt;0,0,IF(AND(ISNUMBER(N1256),N1256&gt;0),10000000+N1256,IF(ISNUMBER(N1256*1),IF(N1256*1&gt;0,10000000+N1256*1,0),0))+IF(ISNUMBER(SEARCH("(",L1256)),1000000+IFERROR(VALUE(SUBSTITUTE(SUBSTITUTE(SUBSTITUTE(MID(L1256,SEARCH("(",L1256)+1,SEARCH(")",L1256)-SEARCH("(",L1256)-1),"$",""),",","")," ","")),0),0))</f>
        <v>0</v>
      </c>
    </row>
    <row r="1257" spans="1:27">
      <c r="A1257" s="137">
        <v>45907</v>
      </c>
      <c r="B1257" s="138" t="s">
        <v>2621</v>
      </c>
      <c r="C1257" s="138" t="s">
        <v>771</v>
      </c>
      <c r="D1257" s="138" t="s">
        <v>264</v>
      </c>
      <c r="E1257" s="138">
        <v>85541</v>
      </c>
      <c r="F1257" s="138" t="s">
        <v>310</v>
      </c>
      <c r="G1257" s="138" t="s">
        <v>2364</v>
      </c>
      <c r="H1257" s="140" t="s">
        <v>27</v>
      </c>
      <c r="I1257" s="141"/>
      <c r="J1257" s="141"/>
      <c r="K1257" s="141"/>
      <c r="L1257" s="141"/>
      <c r="M1257" s="141"/>
      <c r="N1257" s="141"/>
      <c r="O1257" s="141"/>
      <c r="P1257" s="141"/>
      <c r="Q1257" s="141"/>
      <c r="R1257" s="138"/>
      <c r="S1257" s="138"/>
      <c r="T1257" s="138"/>
      <c r="U1257" s="138"/>
      <c r="AA1257">
        <f>IF(COUNTIF('Call Queue'!$H$6:$H$20,V1257)&gt;0,0,IF(AND(ISNUMBER(N1257),N1257&gt;0),10000000+N1257,IF(ISNUMBER(N1257*1),IF(N1257*1&gt;0,10000000+N1257*1,0),0))+IF(ISNUMBER(SEARCH("(",L1257)),1000000+IFERROR(VALUE(SUBSTITUTE(SUBSTITUTE(SUBSTITUTE(MID(L1257,SEARCH("(",L1257)+1,SEARCH(")",L1257)-SEARCH("(",L1257)-1),"$",""),",","")," ","")),0),0))</f>
        <v>0</v>
      </c>
    </row>
    <row r="1258" spans="1:27">
      <c r="A1258" s="142">
        <v>45907</v>
      </c>
      <c r="B1258" s="143" t="s">
        <v>2632</v>
      </c>
      <c r="C1258" s="143" t="s">
        <v>2633</v>
      </c>
      <c r="D1258" s="143" t="s">
        <v>125</v>
      </c>
      <c r="E1258" s="143">
        <v>85259</v>
      </c>
      <c r="F1258" s="143" t="s">
        <v>310</v>
      </c>
      <c r="G1258" s="143" t="s">
        <v>2364</v>
      </c>
      <c r="H1258" s="145" t="s">
        <v>27</v>
      </c>
      <c r="I1258" s="146"/>
      <c r="J1258" s="146"/>
      <c r="K1258" s="146"/>
      <c r="L1258" s="146"/>
      <c r="M1258" s="146"/>
      <c r="N1258" s="146"/>
      <c r="O1258" s="146"/>
      <c r="P1258" s="146"/>
      <c r="Q1258" s="146"/>
      <c r="R1258" s="143"/>
      <c r="S1258" s="143"/>
      <c r="T1258" s="143"/>
      <c r="U1258" s="143"/>
      <c r="AA1258">
        <f>IF(COUNTIF('Call Queue'!$H$6:$H$20,V1258)&gt;0,0,IF(AND(ISNUMBER(N1258),N1258&gt;0),10000000+N1258,IF(ISNUMBER(N1258*1),IF(N1258*1&gt;0,10000000+N1258*1,0),0))+IF(ISNUMBER(SEARCH("(",L1258)),1000000+IFERROR(VALUE(SUBSTITUTE(SUBSTITUTE(SUBSTITUTE(MID(L1258,SEARCH("(",L1258)+1,SEARCH(")",L1258)-SEARCH("(",L1258)-1),"$",""),",","")," ","")),0),0))</f>
        <v>0</v>
      </c>
    </row>
    <row r="1259" spans="1:27">
      <c r="A1259" s="142">
        <v>45907</v>
      </c>
      <c r="B1259" s="143" t="s">
        <v>2649</v>
      </c>
      <c r="C1259" s="143" t="s">
        <v>2650</v>
      </c>
      <c r="D1259" s="143" t="s">
        <v>63</v>
      </c>
      <c r="E1259" s="143">
        <v>85027</v>
      </c>
      <c r="F1259" s="143" t="s">
        <v>31</v>
      </c>
      <c r="G1259" s="143" t="s">
        <v>2364</v>
      </c>
      <c r="H1259" s="145" t="s">
        <v>27</v>
      </c>
      <c r="I1259" s="146"/>
      <c r="J1259" s="146"/>
      <c r="K1259" s="146"/>
      <c r="L1259" s="146"/>
      <c r="M1259" s="146"/>
      <c r="N1259" s="146"/>
      <c r="O1259" s="146"/>
      <c r="P1259" s="146"/>
      <c r="Q1259" s="146"/>
      <c r="R1259" s="143"/>
      <c r="S1259" s="143"/>
      <c r="T1259" s="143"/>
      <c r="U1259" s="143"/>
      <c r="AA1259">
        <f>IF(COUNTIF('Call Queue'!$H$6:$H$20,V1259)&gt;0,0,IF(AND(ISNUMBER(N1259),N1259&gt;0),10000000+N1259,IF(ISNUMBER(N1259*1),IF(N1259*1&gt;0,10000000+N1259*1,0),0))+IF(ISNUMBER(SEARCH("(",L1259)),1000000+IFERROR(VALUE(SUBSTITUTE(SUBSTITUTE(SUBSTITUTE(MID(L1259,SEARCH("(",L1259)+1,SEARCH(")",L1259)-SEARCH("(",L1259)-1),"$",""),",","")," ","")),0),0))</f>
        <v>0</v>
      </c>
    </row>
    <row r="1260" spans="1:27">
      <c r="A1260" s="142">
        <v>45907</v>
      </c>
      <c r="B1260" s="143" t="s">
        <v>2656</v>
      </c>
      <c r="C1260" s="143" t="s">
        <v>2657</v>
      </c>
      <c r="D1260" s="143" t="s">
        <v>202</v>
      </c>
      <c r="E1260" s="143">
        <v>85381</v>
      </c>
      <c r="F1260" s="143" t="s">
        <v>310</v>
      </c>
      <c r="G1260" s="143" t="s">
        <v>2364</v>
      </c>
      <c r="H1260" s="145" t="s">
        <v>27</v>
      </c>
      <c r="I1260" s="146"/>
      <c r="J1260" s="146"/>
      <c r="K1260" s="146"/>
      <c r="L1260" s="146"/>
      <c r="M1260" s="146"/>
      <c r="N1260" s="146"/>
      <c r="O1260" s="146"/>
      <c r="P1260" s="146"/>
      <c r="Q1260" s="146"/>
      <c r="R1260" s="143"/>
      <c r="S1260" s="143"/>
      <c r="T1260" s="143"/>
      <c r="U1260" s="143"/>
      <c r="AA1260">
        <f>IF(COUNTIF('Call Queue'!$H$6:$H$20,V1260)&gt;0,0,IF(AND(ISNUMBER(N1260),N1260&gt;0),10000000+N1260,IF(ISNUMBER(N1260*1),IF(N1260*1&gt;0,10000000+N1260*1,0),0))+IF(ISNUMBER(SEARCH("(",L1260)),1000000+IFERROR(VALUE(SUBSTITUTE(SUBSTITUTE(SUBSTITUTE(MID(L1260,SEARCH("(",L1260)+1,SEARCH(")",L1260)-SEARCH("(",L1260)-1),"$",""),",","")," ","")),0),0))</f>
        <v>0</v>
      </c>
    </row>
    <row r="1261" spans="1:27">
      <c r="A1261" s="142">
        <v>45907</v>
      </c>
      <c r="B1261" s="143" t="s">
        <v>2666</v>
      </c>
      <c r="C1261" s="143" t="s">
        <v>2667</v>
      </c>
      <c r="D1261" s="143" t="s">
        <v>2668</v>
      </c>
      <c r="E1261" s="143">
        <v>85086</v>
      </c>
      <c r="F1261" s="143" t="s">
        <v>2669</v>
      </c>
      <c r="G1261" s="143" t="s">
        <v>2364</v>
      </c>
      <c r="H1261" s="145" t="s">
        <v>27</v>
      </c>
      <c r="I1261" s="146"/>
      <c r="J1261" s="146"/>
      <c r="K1261" s="146"/>
      <c r="L1261" s="146"/>
      <c r="M1261" s="146"/>
      <c r="N1261" s="146"/>
      <c r="O1261" s="146"/>
      <c r="P1261" s="146"/>
      <c r="Q1261" s="146"/>
      <c r="R1261" s="143"/>
      <c r="S1261" s="143"/>
      <c r="T1261" s="143"/>
      <c r="U1261" s="143"/>
      <c r="AA1261">
        <f>IF(COUNTIF('Call Queue'!$H$6:$H$20,V1261)&gt;0,0,IF(AND(ISNUMBER(N1261),N1261&gt;0),10000000+N1261,IF(ISNUMBER(N1261*1),IF(N1261*1&gt;0,10000000+N1261*1,0),0))+IF(ISNUMBER(SEARCH("(",L1261)),1000000+IFERROR(VALUE(SUBSTITUTE(SUBSTITUTE(SUBSTITUTE(MID(L1261,SEARCH("(",L1261)+1,SEARCH(")",L1261)-SEARCH("(",L1261)-1),"$",""),",","")," ","")),0),0))</f>
        <v>0</v>
      </c>
    </row>
    <row r="1262" spans="1:27">
      <c r="A1262" s="137">
        <v>45907</v>
      </c>
      <c r="B1262" s="138" t="s">
        <v>2679</v>
      </c>
      <c r="C1262" s="138" t="s">
        <v>2680</v>
      </c>
      <c r="D1262" s="138" t="s">
        <v>2681</v>
      </c>
      <c r="E1262" s="138">
        <v>85342</v>
      </c>
      <c r="F1262" s="138" t="s">
        <v>31</v>
      </c>
      <c r="G1262" s="138" t="s">
        <v>2364</v>
      </c>
      <c r="H1262" s="140" t="s">
        <v>27</v>
      </c>
      <c r="I1262" s="141"/>
      <c r="J1262" s="141"/>
      <c r="K1262" s="141"/>
      <c r="L1262" s="141"/>
      <c r="M1262" s="141"/>
      <c r="N1262" s="141"/>
      <c r="O1262" s="141"/>
      <c r="P1262" s="141"/>
      <c r="Q1262" s="141"/>
      <c r="R1262" s="138"/>
      <c r="S1262" s="138"/>
      <c r="T1262" s="138"/>
      <c r="U1262" s="138"/>
      <c r="AA1262">
        <f>IF(COUNTIF('Call Queue'!$H$6:$H$20,V1262)&gt;0,0,IF(AND(ISNUMBER(N1262),N1262&gt;0),10000000+N1262,IF(ISNUMBER(N1262*1),IF(N1262*1&gt;0,10000000+N1262*1,0),0))+IF(ISNUMBER(SEARCH("(",L1262)),1000000+IFERROR(VALUE(SUBSTITUTE(SUBSTITUTE(SUBSTITUTE(MID(L1262,SEARCH("(",L1262)+1,SEARCH(")",L1262)-SEARCH("(",L1262)-1),"$",""),",","")," ","")),0),0))</f>
        <v>0</v>
      </c>
    </row>
    <row r="1263" spans="1:27">
      <c r="A1263" s="142">
        <v>45907</v>
      </c>
      <c r="B1263" s="143" t="s">
        <v>2688</v>
      </c>
      <c r="C1263" s="143" t="s">
        <v>2689</v>
      </c>
      <c r="D1263" s="143" t="s">
        <v>63</v>
      </c>
      <c r="E1263" s="143">
        <v>85028</v>
      </c>
      <c r="F1263" s="143" t="s">
        <v>310</v>
      </c>
      <c r="G1263" s="143" t="s">
        <v>2364</v>
      </c>
      <c r="H1263" s="145" t="s">
        <v>27</v>
      </c>
      <c r="I1263" s="146"/>
      <c r="J1263" s="146"/>
      <c r="K1263" s="146"/>
      <c r="L1263" s="146"/>
      <c r="M1263" s="146"/>
      <c r="N1263" s="146"/>
      <c r="O1263" s="146"/>
      <c r="P1263" s="146"/>
      <c r="Q1263" s="146"/>
      <c r="R1263" s="143"/>
      <c r="S1263" s="143"/>
      <c r="T1263" s="143"/>
      <c r="U1263" s="143"/>
      <c r="AA1263">
        <f>IF(COUNTIF('Call Queue'!$H$6:$H$20,V1263)&gt;0,0,IF(AND(ISNUMBER(N1263),N1263&gt;0),10000000+N1263,IF(ISNUMBER(N1263*1),IF(N1263*1&gt;0,10000000+N1263*1,0),0))+IF(ISNUMBER(SEARCH("(",L1263)),1000000+IFERROR(VALUE(SUBSTITUTE(SUBSTITUTE(SUBSTITUTE(MID(L1263,SEARCH("(",L1263)+1,SEARCH(")",L1263)-SEARCH("(",L1263)-1),"$",""),",","")," ","")),0),0))</f>
        <v>0</v>
      </c>
    </row>
    <row r="1264" spans="1:27">
      <c r="A1264" s="137">
        <v>45907</v>
      </c>
      <c r="B1264" s="138" t="s">
        <v>2716</v>
      </c>
      <c r="C1264" s="138" t="s">
        <v>2717</v>
      </c>
      <c r="D1264" s="138" t="s">
        <v>63</v>
      </c>
      <c r="E1264" s="138">
        <v>85006</v>
      </c>
      <c r="F1264" s="138" t="s">
        <v>31</v>
      </c>
      <c r="G1264" s="138" t="s">
        <v>2364</v>
      </c>
      <c r="H1264" s="140" t="s">
        <v>90</v>
      </c>
      <c r="I1264" s="141"/>
      <c r="J1264" s="141"/>
      <c r="K1264" s="141"/>
      <c r="L1264" s="141"/>
      <c r="M1264" s="141"/>
      <c r="N1264" s="141"/>
      <c r="O1264" s="141"/>
      <c r="P1264" s="141"/>
      <c r="Q1264" s="141"/>
      <c r="R1264" s="138"/>
      <c r="S1264" s="138"/>
      <c r="T1264" s="138"/>
      <c r="U1264" s="138"/>
      <c r="AA1264">
        <f>IF(COUNTIF('Call Queue'!$H$6:$H$20,V1264)&gt;0,0,IF(AND(ISNUMBER(N1264),N1264&gt;0),10000000+N1264,IF(ISNUMBER(N1264*1),IF(N1264*1&gt;0,10000000+N1264*1,0),0))+IF(ISNUMBER(SEARCH("(",L1264)),1000000+IFERROR(VALUE(SUBSTITUTE(SUBSTITUTE(SUBSTITUTE(MID(L1264,SEARCH("(",L1264)+1,SEARCH(")",L1264)-SEARCH("(",L1264)-1),"$",""),",","")," ","")),0),0))</f>
        <v>0</v>
      </c>
    </row>
    <row r="1265" spans="1:27">
      <c r="A1265" s="142">
        <v>45907</v>
      </c>
      <c r="B1265" s="143" t="s">
        <v>2718</v>
      </c>
      <c r="C1265" s="143" t="s">
        <v>2719</v>
      </c>
      <c r="D1265" s="143" t="s">
        <v>63</v>
      </c>
      <c r="E1265" s="143">
        <v>85006</v>
      </c>
      <c r="F1265" s="143" t="s">
        <v>2720</v>
      </c>
      <c r="G1265" s="143" t="s">
        <v>2364</v>
      </c>
      <c r="H1265" s="145" t="s">
        <v>27</v>
      </c>
      <c r="I1265" s="146"/>
      <c r="J1265" s="146"/>
      <c r="K1265" s="146"/>
      <c r="L1265" s="146"/>
      <c r="M1265" s="146"/>
      <c r="N1265" s="146"/>
      <c r="O1265" s="146"/>
      <c r="P1265" s="146"/>
      <c r="Q1265" s="146"/>
      <c r="R1265" s="143"/>
      <c r="S1265" s="143"/>
      <c r="T1265" s="143"/>
      <c r="U1265" s="143"/>
      <c r="AA1265">
        <f>IF(COUNTIF('Call Queue'!$H$6:$H$20,V1265)&gt;0,0,IF(AND(ISNUMBER(N1265),N1265&gt;0),10000000+N1265,IF(ISNUMBER(N1265*1),IF(N1265*1&gt;0,10000000+N1265*1,0),0))+IF(ISNUMBER(SEARCH("(",L1265)),1000000+IFERROR(VALUE(SUBSTITUTE(SUBSTITUTE(SUBSTITUTE(MID(L1265,SEARCH("(",L1265)+1,SEARCH(")",L1265)-SEARCH("(",L1265)-1),"$",""),",","")," ","")),0),0))</f>
        <v>0</v>
      </c>
    </row>
    <row r="1266" spans="1:27">
      <c r="A1266" s="137">
        <v>45907</v>
      </c>
      <c r="B1266" s="138" t="s">
        <v>2726</v>
      </c>
      <c r="C1266" s="138" t="s">
        <v>611</v>
      </c>
      <c r="D1266" s="138" t="s">
        <v>2429</v>
      </c>
      <c r="E1266" s="138">
        <v>85132</v>
      </c>
      <c r="F1266" s="138" t="s">
        <v>31</v>
      </c>
      <c r="G1266" s="138" t="s">
        <v>2364</v>
      </c>
      <c r="H1266" s="140" t="s">
        <v>27</v>
      </c>
      <c r="I1266" s="141"/>
      <c r="J1266" s="141"/>
      <c r="K1266" s="141"/>
      <c r="L1266" s="141"/>
      <c r="M1266" s="141"/>
      <c r="N1266" s="141"/>
      <c r="O1266" s="141"/>
      <c r="P1266" s="141"/>
      <c r="Q1266" s="141"/>
      <c r="R1266" s="138"/>
      <c r="S1266" s="138"/>
      <c r="T1266" s="138"/>
      <c r="U1266" s="138"/>
      <c r="AA1266">
        <f>IF(COUNTIF('Call Queue'!$H$6:$H$20,V1266)&gt;0,0,IF(AND(ISNUMBER(N1266),N1266&gt;0),10000000+N1266,IF(ISNUMBER(N1266*1),IF(N1266*1&gt;0,10000000+N1266*1,0),0))+IF(ISNUMBER(SEARCH("(",L1266)),1000000+IFERROR(VALUE(SUBSTITUTE(SUBSTITUTE(SUBSTITUTE(MID(L1266,SEARCH("(",L1266)+1,SEARCH(")",L1266)-SEARCH("(",L1266)-1),"$",""),",","")," ","")),0),0))</f>
        <v>0</v>
      </c>
    </row>
    <row r="1267" spans="1:27">
      <c r="A1267" s="137">
        <v>45907</v>
      </c>
      <c r="B1267" s="138" t="s">
        <v>2738</v>
      </c>
      <c r="C1267" s="138" t="s">
        <v>199</v>
      </c>
      <c r="D1267" s="138" t="s">
        <v>504</v>
      </c>
      <c r="E1267" s="138">
        <v>86001</v>
      </c>
      <c r="F1267" s="138" t="s">
        <v>31</v>
      </c>
      <c r="G1267" s="138" t="s">
        <v>2364</v>
      </c>
      <c r="H1267" s="140" t="s">
        <v>90</v>
      </c>
      <c r="I1267" s="141"/>
      <c r="J1267" s="141"/>
      <c r="K1267" s="141"/>
      <c r="L1267" s="141"/>
      <c r="M1267" s="141"/>
      <c r="N1267" s="141"/>
      <c r="O1267" s="141"/>
      <c r="P1267" s="141"/>
      <c r="Q1267" s="141"/>
      <c r="R1267" s="138"/>
      <c r="S1267" s="138"/>
      <c r="T1267" s="138"/>
      <c r="U1267" s="138"/>
      <c r="AA1267">
        <f>IF(COUNTIF('Call Queue'!$H$6:$H$20,V1267)&gt;0,0,IF(AND(ISNUMBER(N1267),N1267&gt;0),10000000+N1267,IF(ISNUMBER(N1267*1),IF(N1267*1&gt;0,10000000+N1267*1,0),0))+IF(ISNUMBER(SEARCH("(",L1267)),1000000+IFERROR(VALUE(SUBSTITUTE(SUBSTITUTE(SUBSTITUTE(MID(L1267,SEARCH("(",L1267)+1,SEARCH(")",L1267)-SEARCH("(",L1267)-1),"$",""),",","")," ","")),0),0))</f>
        <v>0</v>
      </c>
    </row>
    <row r="1268" spans="1:27">
      <c r="A1268" s="142">
        <v>45907</v>
      </c>
      <c r="B1268" s="143" t="s">
        <v>2774</v>
      </c>
      <c r="C1268" s="143" t="s">
        <v>2395</v>
      </c>
      <c r="D1268" s="143" t="s">
        <v>30</v>
      </c>
      <c r="E1268" s="143" t="s">
        <v>30</v>
      </c>
      <c r="F1268" s="143" t="s">
        <v>31</v>
      </c>
      <c r="G1268" s="143" t="s">
        <v>2364</v>
      </c>
      <c r="H1268" s="145" t="s">
        <v>27</v>
      </c>
      <c r="I1268" s="146"/>
      <c r="J1268" s="146"/>
      <c r="K1268" s="146"/>
      <c r="L1268" s="146"/>
      <c r="M1268" s="146"/>
      <c r="N1268" s="146"/>
      <c r="O1268" s="146"/>
      <c r="P1268" s="146"/>
      <c r="Q1268" s="146"/>
      <c r="R1268" s="143"/>
      <c r="S1268" s="143"/>
      <c r="T1268" s="143"/>
      <c r="U1268" s="143"/>
      <c r="AA1268">
        <f>IF(COUNTIF('Call Queue'!$H$6:$H$20,V1268)&gt;0,0,IF(AND(ISNUMBER(N1268),N1268&gt;0),10000000+N1268,IF(ISNUMBER(N1268*1),IF(N1268*1&gt;0,10000000+N1268*1,0),0))+IF(ISNUMBER(SEARCH("(",L1268)),1000000+IFERROR(VALUE(SUBSTITUTE(SUBSTITUTE(SUBSTITUTE(MID(L1268,SEARCH("(",L1268)+1,SEARCH(")",L1268)-SEARCH("(",L1268)-1),"$",""),",","")," ","")),0),0))</f>
        <v>0</v>
      </c>
    </row>
    <row r="1269" spans="1:27">
      <c r="A1269" s="142">
        <v>45907</v>
      </c>
      <c r="B1269" s="143" t="s">
        <v>2776</v>
      </c>
      <c r="C1269" s="143" t="s">
        <v>922</v>
      </c>
      <c r="D1269" s="143" t="s">
        <v>30</v>
      </c>
      <c r="E1269" s="143" t="s">
        <v>30</v>
      </c>
      <c r="F1269" s="143" t="s">
        <v>310</v>
      </c>
      <c r="G1269" s="143" t="s">
        <v>2364</v>
      </c>
      <c r="H1269" s="145" t="s">
        <v>27</v>
      </c>
      <c r="I1269" s="146"/>
      <c r="J1269" s="146"/>
      <c r="K1269" s="146"/>
      <c r="L1269" s="146"/>
      <c r="M1269" s="146"/>
      <c r="N1269" s="146"/>
      <c r="O1269" s="146"/>
      <c r="P1269" s="146"/>
      <c r="Q1269" s="146"/>
      <c r="R1269" s="143"/>
      <c r="S1269" s="143"/>
      <c r="T1269" s="143"/>
      <c r="U1269" s="143"/>
      <c r="AA1269">
        <f>IF(COUNTIF('Call Queue'!$H$6:$H$20,V1269)&gt;0,0,IF(AND(ISNUMBER(N1269),N1269&gt;0),10000000+N1269,IF(ISNUMBER(N1269*1),IF(N1269*1&gt;0,10000000+N1269*1,0),0))+IF(ISNUMBER(SEARCH("(",L1269)),1000000+IFERROR(VALUE(SUBSTITUTE(SUBSTITUTE(SUBSTITUTE(MID(L1269,SEARCH("(",L1269)+1,SEARCH(")",L1269)-SEARCH("(",L1269)-1),"$",""),",","")," ","")),0),0))</f>
        <v>0</v>
      </c>
    </row>
    <row r="1270" spans="1:27">
      <c r="A1270" s="137">
        <v>45907</v>
      </c>
      <c r="B1270" s="138" t="s">
        <v>2777</v>
      </c>
      <c r="C1270" s="138" t="s">
        <v>2125</v>
      </c>
      <c r="D1270" s="138" t="s">
        <v>30</v>
      </c>
      <c r="E1270" s="138" t="s">
        <v>30</v>
      </c>
      <c r="F1270" s="138" t="s">
        <v>310</v>
      </c>
      <c r="G1270" s="138" t="s">
        <v>2364</v>
      </c>
      <c r="H1270" s="140" t="s">
        <v>27</v>
      </c>
      <c r="I1270" s="141"/>
      <c r="J1270" s="141"/>
      <c r="K1270" s="141"/>
      <c r="L1270" s="141"/>
      <c r="M1270" s="141"/>
      <c r="N1270" s="141"/>
      <c r="O1270" s="141"/>
      <c r="P1270" s="141"/>
      <c r="Q1270" s="141"/>
      <c r="R1270" s="138"/>
      <c r="S1270" s="138"/>
      <c r="T1270" s="138"/>
      <c r="U1270" s="138"/>
      <c r="AA1270">
        <f>IF(COUNTIF('Call Queue'!$H$6:$H$20,V1270)&gt;0,0,IF(AND(ISNUMBER(N1270),N1270&gt;0),10000000+N1270,IF(ISNUMBER(N1270*1),IF(N1270*1&gt;0,10000000+N1270*1,0),0))+IF(ISNUMBER(SEARCH("(",L1270)),1000000+IFERROR(VALUE(SUBSTITUTE(SUBSTITUTE(SUBSTITUTE(MID(L1270,SEARCH("(",L1270)+1,SEARCH(")",L1270)-SEARCH("(",L1270)-1),"$",""),",","")," ","")),0),0))</f>
        <v>0</v>
      </c>
    </row>
    <row r="1271" spans="1:27">
      <c r="A1271" s="137">
        <v>45909</v>
      </c>
      <c r="B1271" s="138" t="s">
        <v>1703</v>
      </c>
      <c r="C1271" s="138" t="s">
        <v>2793</v>
      </c>
      <c r="D1271" s="138" t="s">
        <v>63</v>
      </c>
      <c r="E1271" s="138">
        <v>85032</v>
      </c>
      <c r="F1271" s="138" t="s">
        <v>310</v>
      </c>
      <c r="G1271" s="138" t="s">
        <v>2782</v>
      </c>
      <c r="H1271" s="140" t="s">
        <v>27</v>
      </c>
      <c r="I1271" s="141"/>
      <c r="J1271" s="141"/>
      <c r="K1271" s="141"/>
      <c r="L1271" s="141"/>
      <c r="M1271" s="141"/>
      <c r="N1271" s="141"/>
      <c r="O1271" s="141"/>
      <c r="P1271" s="141"/>
      <c r="Q1271" s="141"/>
      <c r="R1271" s="138"/>
      <c r="S1271" s="138"/>
      <c r="T1271" s="138"/>
      <c r="U1271" s="138"/>
      <c r="AA1271">
        <f>IF(COUNTIF('Call Queue'!$H$6:$H$20,V1271)&gt;0,0,IF(AND(ISNUMBER(N1271),N1271&gt;0),10000000+N1271,IF(ISNUMBER(N1271*1),IF(N1271*1&gt;0,10000000+N1271*1,0),0))+IF(ISNUMBER(SEARCH("(",L1271)),1000000+IFERROR(VALUE(SUBSTITUTE(SUBSTITUTE(SUBSTITUTE(MID(L1271,SEARCH("(",L1271)+1,SEARCH(")",L1271)-SEARCH("(",L1271)-1),"$",""),",","")," ","")),0),0))</f>
        <v>0</v>
      </c>
    </row>
    <row r="1272" spans="1:27">
      <c r="A1272" s="137">
        <v>45909</v>
      </c>
      <c r="B1272" s="138" t="s">
        <v>312</v>
      </c>
      <c r="C1272" s="138" t="s">
        <v>553</v>
      </c>
      <c r="D1272" s="138" t="s">
        <v>24</v>
      </c>
      <c r="E1272" s="138">
        <v>85308</v>
      </c>
      <c r="F1272" s="138" t="s">
        <v>2129</v>
      </c>
      <c r="G1272" s="138" t="s">
        <v>2782</v>
      </c>
      <c r="H1272" s="140" t="s">
        <v>27</v>
      </c>
      <c r="I1272" s="141"/>
      <c r="J1272" s="141"/>
      <c r="K1272" s="141"/>
      <c r="L1272" s="141"/>
      <c r="M1272" s="141"/>
      <c r="N1272" s="141"/>
      <c r="O1272" s="141"/>
      <c r="P1272" s="141"/>
      <c r="Q1272" s="141"/>
      <c r="R1272" s="138"/>
      <c r="S1272" s="138"/>
      <c r="T1272" s="138"/>
      <c r="U1272" s="138"/>
      <c r="AA1272">
        <f>IF(COUNTIF('Call Queue'!$H$6:$H$20,V1272)&gt;0,0,IF(AND(ISNUMBER(N1272),N1272&gt;0),10000000+N1272,IF(ISNUMBER(N1272*1),IF(N1272*1&gt;0,10000000+N1272*1,0),0))+IF(ISNUMBER(SEARCH("(",L1272)),1000000+IFERROR(VALUE(SUBSTITUTE(SUBSTITUTE(SUBSTITUTE(MID(L1272,SEARCH("(",L1272)+1,SEARCH(")",L1272)-SEARCH("(",L1272)-1),"$",""),",","")," ","")),0),0))</f>
        <v>0</v>
      </c>
    </row>
    <row r="1273" spans="1:27">
      <c r="A1273" s="137">
        <v>45909</v>
      </c>
      <c r="B1273" s="138" t="s">
        <v>2825</v>
      </c>
      <c r="C1273" s="138" t="s">
        <v>2587</v>
      </c>
      <c r="D1273" s="138" t="s">
        <v>63</v>
      </c>
      <c r="E1273" s="138">
        <v>85006</v>
      </c>
      <c r="F1273" s="138" t="s">
        <v>31</v>
      </c>
      <c r="G1273" s="138" t="s">
        <v>2812</v>
      </c>
      <c r="H1273" s="140" t="s">
        <v>27</v>
      </c>
      <c r="I1273" s="141"/>
      <c r="J1273" s="141"/>
      <c r="K1273" s="141"/>
      <c r="L1273" s="141"/>
      <c r="M1273" s="141"/>
      <c r="N1273" s="141"/>
      <c r="O1273" s="141"/>
      <c r="P1273" s="141"/>
      <c r="Q1273" s="141"/>
      <c r="R1273" s="138"/>
      <c r="S1273" s="138"/>
      <c r="T1273" s="138"/>
      <c r="U1273" s="138"/>
      <c r="AA1273">
        <f>IF(COUNTIF('Call Queue'!$H$6:$H$20,V1273)&gt;0,0,IF(AND(ISNUMBER(N1273),N1273&gt;0),10000000+N1273,IF(ISNUMBER(N1273*1),IF(N1273*1&gt;0,10000000+N1273*1,0),0))+IF(ISNUMBER(SEARCH("(",L1273)),1000000+IFERROR(VALUE(SUBSTITUTE(SUBSTITUTE(SUBSTITUTE(MID(L1273,SEARCH("(",L1273)+1,SEARCH(")",L1273)-SEARCH("(",L1273)-1),"$",""),",","")," ","")),0),0))</f>
        <v>0</v>
      </c>
    </row>
    <row r="1274" spans="1:27">
      <c r="A1274" s="142">
        <v>45909</v>
      </c>
      <c r="B1274" s="143" t="s">
        <v>2594</v>
      </c>
      <c r="C1274" s="143" t="s">
        <v>206</v>
      </c>
      <c r="D1274" s="143" t="s">
        <v>30</v>
      </c>
      <c r="E1274" s="143" t="s">
        <v>30</v>
      </c>
      <c r="F1274" s="143" t="s">
        <v>2831</v>
      </c>
      <c r="G1274" s="143" t="s">
        <v>2812</v>
      </c>
      <c r="H1274" s="145" t="s">
        <v>27</v>
      </c>
      <c r="I1274" s="146"/>
      <c r="J1274" s="146"/>
      <c r="K1274" s="146"/>
      <c r="L1274" s="146"/>
      <c r="M1274" s="146"/>
      <c r="N1274" s="146"/>
      <c r="O1274" s="146"/>
      <c r="P1274" s="146"/>
      <c r="Q1274" s="146"/>
      <c r="R1274" s="143"/>
      <c r="S1274" s="143"/>
      <c r="T1274" s="143"/>
      <c r="U1274" s="143"/>
      <c r="AA1274">
        <f>IF(COUNTIF('Call Queue'!$H$6:$H$20,V1274)&gt;0,0,IF(AND(ISNUMBER(N1274),N1274&gt;0),10000000+N1274,IF(ISNUMBER(N1274*1),IF(N1274*1&gt;0,10000000+N1274*1,0),0))+IF(ISNUMBER(SEARCH("(",L1274)),1000000+IFERROR(VALUE(SUBSTITUTE(SUBSTITUTE(SUBSTITUTE(MID(L1274,SEARCH("(",L1274)+1,SEARCH(")",L1274)-SEARCH("(",L1274)-1),"$",""),",","")," ","")),0),0))</f>
        <v>0</v>
      </c>
    </row>
    <row r="1275" spans="1:27">
      <c r="A1275" s="137">
        <v>45909</v>
      </c>
      <c r="B1275" s="138" t="s">
        <v>2371</v>
      </c>
      <c r="C1275" s="138" t="s">
        <v>2832</v>
      </c>
      <c r="D1275" s="138" t="s">
        <v>30</v>
      </c>
      <c r="E1275" s="138" t="s">
        <v>30</v>
      </c>
      <c r="F1275" s="138" t="s">
        <v>310</v>
      </c>
      <c r="G1275" s="138" t="s">
        <v>2812</v>
      </c>
      <c r="H1275" s="140" t="s">
        <v>27</v>
      </c>
      <c r="I1275" s="141"/>
      <c r="J1275" s="141"/>
      <c r="K1275" s="141"/>
      <c r="L1275" s="141"/>
      <c r="M1275" s="141"/>
      <c r="N1275" s="141"/>
      <c r="O1275" s="141"/>
      <c r="P1275" s="141"/>
      <c r="Q1275" s="141"/>
      <c r="R1275" s="138"/>
      <c r="S1275" s="138"/>
      <c r="T1275" s="138"/>
      <c r="U1275" s="138"/>
      <c r="AA1275">
        <f>IF(COUNTIF('Call Queue'!$H$6:$H$20,V1275)&gt;0,0,IF(AND(ISNUMBER(N1275),N1275&gt;0),10000000+N1275,IF(ISNUMBER(N1275*1),IF(N1275*1&gt;0,10000000+N1275*1,0),0))+IF(ISNUMBER(SEARCH("(",L1275)),1000000+IFERROR(VALUE(SUBSTITUTE(SUBSTITUTE(SUBSTITUTE(MID(L1275,SEARCH("(",L1275)+1,SEARCH(")",L1275)-SEARCH("(",L1275)-1),"$",""),",","")," ","")),0),0))</f>
        <v>0</v>
      </c>
    </row>
    <row r="1276" spans="1:27">
      <c r="A1276" s="137">
        <v>45909</v>
      </c>
      <c r="B1276" s="138" t="s">
        <v>930</v>
      </c>
      <c r="C1276" s="138" t="s">
        <v>2169</v>
      </c>
      <c r="D1276" s="138" t="s">
        <v>880</v>
      </c>
      <c r="E1276" s="138">
        <v>85086</v>
      </c>
      <c r="F1276" s="138" t="s">
        <v>2834</v>
      </c>
      <c r="G1276" s="138" t="s">
        <v>2812</v>
      </c>
      <c r="H1276" s="140" t="s">
        <v>27</v>
      </c>
      <c r="I1276" s="141"/>
      <c r="J1276" s="141"/>
      <c r="K1276" s="141"/>
      <c r="L1276" s="141"/>
      <c r="M1276" s="141"/>
      <c r="N1276" s="141"/>
      <c r="O1276" s="141"/>
      <c r="P1276" s="141"/>
      <c r="Q1276" s="141"/>
      <c r="R1276" s="138"/>
      <c r="S1276" s="138"/>
      <c r="T1276" s="138"/>
      <c r="U1276" s="138"/>
      <c r="AA1276">
        <f>IF(COUNTIF('Call Queue'!$H$6:$H$20,V1276)&gt;0,0,IF(AND(ISNUMBER(N1276),N1276&gt;0),10000000+N1276,IF(ISNUMBER(N1276*1),IF(N1276*1&gt;0,10000000+N1276*1,0),0))+IF(ISNUMBER(SEARCH("(",L1276)),1000000+IFERROR(VALUE(SUBSTITUTE(SUBSTITUTE(SUBSTITUTE(MID(L1276,SEARCH("(",L1276)+1,SEARCH(")",L1276)-SEARCH("(",L1276)-1),"$",""),",","")," ","")),0),0))</f>
        <v>0</v>
      </c>
    </row>
    <row r="1277" spans="1:27">
      <c r="A1277" s="142">
        <v>45909</v>
      </c>
      <c r="B1277" s="143" t="s">
        <v>1013</v>
      </c>
      <c r="C1277" s="143" t="s">
        <v>2835</v>
      </c>
      <c r="D1277" s="143" t="s">
        <v>30</v>
      </c>
      <c r="E1277" s="143" t="s">
        <v>30</v>
      </c>
      <c r="F1277" s="143" t="s">
        <v>310</v>
      </c>
      <c r="G1277" s="143" t="s">
        <v>2812</v>
      </c>
      <c r="H1277" s="145" t="s">
        <v>27</v>
      </c>
      <c r="I1277" s="146"/>
      <c r="J1277" s="146"/>
      <c r="K1277" s="146"/>
      <c r="L1277" s="146"/>
      <c r="M1277" s="146"/>
      <c r="N1277" s="146"/>
      <c r="O1277" s="146"/>
      <c r="P1277" s="146"/>
      <c r="Q1277" s="146"/>
      <c r="R1277" s="143"/>
      <c r="S1277" s="143"/>
      <c r="T1277" s="143"/>
      <c r="U1277" s="143"/>
      <c r="AA1277">
        <f>IF(COUNTIF('Call Queue'!$H$6:$H$20,V1277)&gt;0,0,IF(AND(ISNUMBER(N1277),N1277&gt;0),10000000+N1277,IF(ISNUMBER(N1277*1),IF(N1277*1&gt;0,10000000+N1277*1,0),0))+IF(ISNUMBER(SEARCH("(",L1277)),1000000+IFERROR(VALUE(SUBSTITUTE(SUBSTITUTE(SUBSTITUTE(MID(L1277,SEARCH("(",L1277)+1,SEARCH(")",L1277)-SEARCH("(",L1277)-1),"$",""),",","")," ","")),0),0))</f>
        <v>0</v>
      </c>
    </row>
    <row r="1278" spans="1:27">
      <c r="A1278" s="142">
        <v>45909</v>
      </c>
      <c r="B1278" s="143" t="s">
        <v>2838</v>
      </c>
      <c r="C1278" s="143" t="s">
        <v>252</v>
      </c>
      <c r="D1278" s="143" t="s">
        <v>30</v>
      </c>
      <c r="E1278" s="143" t="s">
        <v>30</v>
      </c>
      <c r="F1278" s="143" t="s">
        <v>310</v>
      </c>
      <c r="G1278" s="143" t="s">
        <v>2812</v>
      </c>
      <c r="H1278" s="145" t="s">
        <v>27</v>
      </c>
      <c r="I1278" s="146"/>
      <c r="J1278" s="146"/>
      <c r="K1278" s="146"/>
      <c r="L1278" s="146"/>
      <c r="M1278" s="146"/>
      <c r="N1278" s="146"/>
      <c r="O1278" s="146"/>
      <c r="P1278" s="146"/>
      <c r="Q1278" s="146"/>
      <c r="R1278" s="143"/>
      <c r="S1278" s="143"/>
      <c r="T1278" s="143"/>
      <c r="U1278" s="143"/>
      <c r="AA1278">
        <f>IF(COUNTIF('Call Queue'!$H$6:$H$20,V1278)&gt;0,0,IF(AND(ISNUMBER(N1278),N1278&gt;0),10000000+N1278,IF(ISNUMBER(N1278*1),IF(N1278*1&gt;0,10000000+N1278*1,0),0))+IF(ISNUMBER(SEARCH("(",L1278)),1000000+IFERROR(VALUE(SUBSTITUTE(SUBSTITUTE(SUBSTITUTE(MID(L1278,SEARCH("(",L1278)+1,SEARCH(")",L1278)-SEARCH("(",L1278)-1),"$",""),",","")," ","")),0),0))</f>
        <v>0</v>
      </c>
    </row>
    <row r="1279" spans="1:27">
      <c r="A1279" s="137">
        <v>45909</v>
      </c>
      <c r="B1279" s="138" t="s">
        <v>2855</v>
      </c>
      <c r="C1279" s="138" t="s">
        <v>780</v>
      </c>
      <c r="D1279" s="138" t="s">
        <v>24</v>
      </c>
      <c r="E1279" s="138">
        <v>85306</v>
      </c>
      <c r="F1279" s="138" t="s">
        <v>2856</v>
      </c>
      <c r="G1279" s="138" t="s">
        <v>2812</v>
      </c>
      <c r="H1279" s="140" t="s">
        <v>27</v>
      </c>
      <c r="I1279" s="141"/>
      <c r="J1279" s="141"/>
      <c r="K1279" s="141"/>
      <c r="L1279" s="141"/>
      <c r="M1279" s="141"/>
      <c r="N1279" s="141"/>
      <c r="O1279" s="141"/>
      <c r="P1279" s="141"/>
      <c r="Q1279" s="141"/>
      <c r="R1279" s="138"/>
      <c r="S1279" s="138"/>
      <c r="T1279" s="138"/>
      <c r="U1279" s="138"/>
      <c r="AA1279">
        <f>IF(COUNTIF('Call Queue'!$H$6:$H$20,V1279)&gt;0,0,IF(AND(ISNUMBER(N1279),N1279&gt;0),10000000+N1279,IF(ISNUMBER(N1279*1),IF(N1279*1&gt;0,10000000+N1279*1,0),0))+IF(ISNUMBER(SEARCH("(",L1279)),1000000+IFERROR(VALUE(SUBSTITUTE(SUBSTITUTE(SUBSTITUTE(MID(L1279,SEARCH("(",L1279)+1,SEARCH(")",L1279)-SEARCH("(",L1279)-1),"$",""),",","")," ","")),0),0))</f>
        <v>0</v>
      </c>
    </row>
    <row r="1280" spans="1:27">
      <c r="A1280" s="142">
        <v>45909</v>
      </c>
      <c r="B1280" s="143" t="s">
        <v>2867</v>
      </c>
      <c r="C1280" s="143" t="s">
        <v>2868</v>
      </c>
      <c r="D1280" s="143" t="s">
        <v>63</v>
      </c>
      <c r="E1280" s="143">
        <v>85022</v>
      </c>
      <c r="F1280" s="143" t="s">
        <v>31</v>
      </c>
      <c r="G1280" s="143" t="s">
        <v>2812</v>
      </c>
      <c r="H1280" s="145" t="s">
        <v>27</v>
      </c>
      <c r="I1280" s="146"/>
      <c r="J1280" s="146"/>
      <c r="K1280" s="146"/>
      <c r="L1280" s="146"/>
      <c r="M1280" s="146"/>
      <c r="N1280" s="146"/>
      <c r="O1280" s="146"/>
      <c r="P1280" s="146"/>
      <c r="Q1280" s="146"/>
      <c r="R1280" s="143"/>
      <c r="S1280" s="143"/>
      <c r="T1280" s="143"/>
      <c r="U1280" s="143"/>
      <c r="AA1280">
        <f>IF(COUNTIF('Call Queue'!$H$6:$H$20,V1280)&gt;0,0,IF(AND(ISNUMBER(N1280),N1280&gt;0),10000000+N1280,IF(ISNUMBER(N1280*1),IF(N1280*1&gt;0,10000000+N1280*1,0),0))+IF(ISNUMBER(SEARCH("(",L1280)),1000000+IFERROR(VALUE(SUBSTITUTE(SUBSTITUTE(SUBSTITUTE(MID(L1280,SEARCH("(",L1280)+1,SEARCH(")",L1280)-SEARCH("(",L1280)-1),"$",""),",","")," ","")),0),0))</f>
        <v>0</v>
      </c>
    </row>
    <row r="1281" spans="1:27">
      <c r="A1281" s="142">
        <v>45909</v>
      </c>
      <c r="B1281" s="143" t="s">
        <v>2886</v>
      </c>
      <c r="C1281" s="143" t="s">
        <v>135</v>
      </c>
      <c r="D1281" s="143" t="s">
        <v>24</v>
      </c>
      <c r="E1281" s="143">
        <v>85310</v>
      </c>
      <c r="F1281" s="143" t="s">
        <v>2887</v>
      </c>
      <c r="G1281" s="143" t="s">
        <v>2888</v>
      </c>
      <c r="H1281" s="145" t="s">
        <v>27</v>
      </c>
      <c r="I1281" s="146"/>
      <c r="J1281" s="146"/>
      <c r="K1281" s="146"/>
      <c r="L1281" s="146"/>
      <c r="M1281" s="146"/>
      <c r="N1281" s="146"/>
      <c r="O1281" s="146"/>
      <c r="P1281" s="146"/>
      <c r="Q1281" s="146"/>
      <c r="R1281" s="143"/>
      <c r="S1281" s="143"/>
      <c r="T1281" s="143"/>
      <c r="U1281" s="143"/>
      <c r="AA1281">
        <f>IF(COUNTIF('Call Queue'!$H$6:$H$20,V1281)&gt;0,0,IF(AND(ISNUMBER(N1281),N1281&gt;0),10000000+N1281,IF(ISNUMBER(N1281*1),IF(N1281*1&gt;0,10000000+N1281*1,0),0))+IF(ISNUMBER(SEARCH("(",L1281)),1000000+IFERROR(VALUE(SUBSTITUTE(SUBSTITUTE(SUBSTITUTE(MID(L1281,SEARCH("(",L1281)+1,SEARCH(")",L1281)-SEARCH("(",L1281)-1),"$",""),",","")," ","")),0),0))</f>
        <v>0</v>
      </c>
    </row>
    <row r="1282" spans="1:27">
      <c r="A1282" s="137">
        <v>45909</v>
      </c>
      <c r="B1282" s="138" t="s">
        <v>2896</v>
      </c>
      <c r="C1282" s="138" t="s">
        <v>1375</v>
      </c>
      <c r="D1282" s="138" t="s">
        <v>619</v>
      </c>
      <c r="E1282" s="138">
        <v>85365</v>
      </c>
      <c r="F1282" s="138" t="s">
        <v>2897</v>
      </c>
      <c r="G1282" s="138" t="s">
        <v>2898</v>
      </c>
      <c r="H1282" s="140" t="s">
        <v>27</v>
      </c>
      <c r="I1282" s="141"/>
      <c r="J1282" s="141"/>
      <c r="K1282" s="141"/>
      <c r="L1282" s="141"/>
      <c r="M1282" s="141"/>
      <c r="N1282" s="141"/>
      <c r="O1282" s="141"/>
      <c r="P1282" s="141"/>
      <c r="Q1282" s="141"/>
      <c r="R1282" s="138"/>
      <c r="S1282" s="138"/>
      <c r="T1282" s="138"/>
      <c r="U1282" s="138"/>
      <c r="AA1282">
        <f>IF(COUNTIF('Call Queue'!$H$6:$H$20,V1282)&gt;0,0,IF(AND(ISNUMBER(N1282),N1282&gt;0),10000000+N1282,IF(ISNUMBER(N1282*1),IF(N1282*1&gt;0,10000000+N1282*1,0),0))+IF(ISNUMBER(SEARCH("(",L1282)),1000000+IFERROR(VALUE(SUBSTITUTE(SUBSTITUTE(SUBSTITUTE(MID(L1282,SEARCH("(",L1282)+1,SEARCH(")",L1282)-SEARCH("(",L1282)-1),"$",""),",","")," ","")),0),0))</f>
        <v>0</v>
      </c>
    </row>
    <row r="1283" spans="1:27">
      <c r="A1283" s="142">
        <v>45910</v>
      </c>
      <c r="B1283" s="143" t="s">
        <v>2899</v>
      </c>
      <c r="C1283" s="143" t="s">
        <v>2769</v>
      </c>
      <c r="D1283" s="143" t="s">
        <v>30</v>
      </c>
      <c r="E1283" s="143" t="s">
        <v>30</v>
      </c>
      <c r="F1283" s="143" t="s">
        <v>2900</v>
      </c>
      <c r="G1283" s="143" t="s">
        <v>2901</v>
      </c>
      <c r="H1283" s="145" t="s">
        <v>27</v>
      </c>
      <c r="I1283" s="146"/>
      <c r="J1283" s="146"/>
      <c r="K1283" s="146"/>
      <c r="L1283" s="146"/>
      <c r="M1283" s="146"/>
      <c r="N1283" s="146"/>
      <c r="O1283" s="146"/>
      <c r="P1283" s="146"/>
      <c r="Q1283" s="146"/>
      <c r="R1283" s="143"/>
      <c r="S1283" s="143"/>
      <c r="T1283" s="143"/>
      <c r="U1283" s="143"/>
      <c r="AA1283">
        <f>IF(COUNTIF('Call Queue'!$H$6:$H$20,V1283)&gt;0,0,IF(AND(ISNUMBER(N1283),N1283&gt;0),10000000+N1283,IF(ISNUMBER(N1283*1),IF(N1283*1&gt;0,10000000+N1283*1,0),0))+IF(ISNUMBER(SEARCH("(",L1283)),1000000+IFERROR(VALUE(SUBSTITUTE(SUBSTITUTE(SUBSTITUTE(MID(L1283,SEARCH("(",L1283)+1,SEARCH(")",L1283)-SEARCH("(",L1283)-1),"$",""),",","")," ","")),0),0))</f>
        <v>0</v>
      </c>
    </row>
    <row r="1284" spans="1:27">
      <c r="A1284" s="142">
        <v>45910</v>
      </c>
      <c r="B1284" s="143" t="s">
        <v>2913</v>
      </c>
      <c r="C1284" s="143" t="s">
        <v>135</v>
      </c>
      <c r="D1284" s="143" t="s">
        <v>68</v>
      </c>
      <c r="E1284" s="143">
        <v>85331</v>
      </c>
      <c r="F1284" s="143" t="s">
        <v>310</v>
      </c>
      <c r="G1284" s="143" t="s">
        <v>2901</v>
      </c>
      <c r="H1284" s="145" t="s">
        <v>27</v>
      </c>
      <c r="I1284" s="146"/>
      <c r="J1284" s="146"/>
      <c r="K1284" s="146"/>
      <c r="L1284" s="146"/>
      <c r="M1284" s="146"/>
      <c r="N1284" s="146"/>
      <c r="O1284" s="146"/>
      <c r="P1284" s="146"/>
      <c r="Q1284" s="146"/>
      <c r="R1284" s="143"/>
      <c r="S1284" s="143"/>
      <c r="T1284" s="143"/>
      <c r="U1284" s="143"/>
      <c r="AA1284">
        <f>IF(COUNTIF('Call Queue'!$H$6:$H$20,V1284)&gt;0,0,IF(AND(ISNUMBER(N1284),N1284&gt;0),10000000+N1284,IF(ISNUMBER(N1284*1),IF(N1284*1&gt;0,10000000+N1284*1,0),0))+IF(ISNUMBER(SEARCH("(",L1284)),1000000+IFERROR(VALUE(SUBSTITUTE(SUBSTITUTE(SUBSTITUTE(MID(L1284,SEARCH("(",L1284)+1,SEARCH(")",L1284)-SEARCH("(",L1284)-1),"$",""),",","")," ","")),0),0))</f>
        <v>0</v>
      </c>
    </row>
    <row r="1285" spans="1:27">
      <c r="A1285" s="137">
        <v>45910</v>
      </c>
      <c r="B1285" s="138" t="s">
        <v>2726</v>
      </c>
      <c r="C1285" s="138" t="s">
        <v>479</v>
      </c>
      <c r="D1285" s="138" t="s">
        <v>2927</v>
      </c>
      <c r="E1285" s="138">
        <v>85344</v>
      </c>
      <c r="F1285" s="138" t="s">
        <v>2928</v>
      </c>
      <c r="G1285" s="138" t="s">
        <v>2920</v>
      </c>
      <c r="H1285" s="140" t="s">
        <v>27</v>
      </c>
      <c r="I1285" s="141"/>
      <c r="J1285" s="141"/>
      <c r="K1285" s="141"/>
      <c r="L1285" s="141"/>
      <c r="M1285" s="141"/>
      <c r="N1285" s="141"/>
      <c r="O1285" s="141"/>
      <c r="P1285" s="141"/>
      <c r="Q1285" s="141"/>
      <c r="R1285" s="138"/>
      <c r="S1285" s="138"/>
      <c r="T1285" s="138"/>
      <c r="U1285" s="138"/>
      <c r="AA1285">
        <f>IF(COUNTIF('Call Queue'!$H$6:$H$20,V1285)&gt;0,0,IF(AND(ISNUMBER(N1285),N1285&gt;0),10000000+N1285,IF(ISNUMBER(N1285*1),IF(N1285*1&gt;0,10000000+N1285*1,0),0))+IF(ISNUMBER(SEARCH("(",L1285)),1000000+IFERROR(VALUE(SUBSTITUTE(SUBSTITUTE(SUBSTITUTE(MID(L1285,SEARCH("(",L1285)+1,SEARCH(")",L1285)-SEARCH("(",L1285)-1),"$",""),",","")," ","")),0),0))</f>
        <v>0</v>
      </c>
    </row>
    <row r="1286" spans="1:27">
      <c r="A1286" s="142">
        <v>45910</v>
      </c>
      <c r="B1286" s="143" t="s">
        <v>2188</v>
      </c>
      <c r="C1286" s="143" t="s">
        <v>2188</v>
      </c>
      <c r="D1286" s="143" t="s">
        <v>30</v>
      </c>
      <c r="E1286" s="143" t="s">
        <v>30</v>
      </c>
      <c r="F1286" s="143" t="s">
        <v>2948</v>
      </c>
      <c r="G1286" s="143" t="s">
        <v>2933</v>
      </c>
      <c r="H1286" s="145" t="s">
        <v>27</v>
      </c>
      <c r="I1286" s="146"/>
      <c r="J1286" s="146"/>
      <c r="K1286" s="146"/>
      <c r="L1286" s="146"/>
      <c r="M1286" s="146"/>
      <c r="N1286" s="146"/>
      <c r="O1286" s="146"/>
      <c r="P1286" s="146"/>
      <c r="Q1286" s="146"/>
      <c r="R1286" s="143"/>
      <c r="S1286" s="143"/>
      <c r="T1286" s="143"/>
      <c r="U1286" s="143"/>
      <c r="AA1286">
        <f>IF(COUNTIF('Call Queue'!$H$6:$H$20,V1286)&gt;0,0,IF(AND(ISNUMBER(N1286),N1286&gt;0),10000000+N1286,IF(ISNUMBER(N1286*1),IF(N1286*1&gt;0,10000000+N1286*1,0),0))+IF(ISNUMBER(SEARCH("(",L1286)),1000000+IFERROR(VALUE(SUBSTITUTE(SUBSTITUTE(SUBSTITUTE(MID(L1286,SEARCH("(",L1286)+1,SEARCH(")",L1286)-SEARCH("(",L1286)-1),"$",""),",","")," ","")),0),0))</f>
        <v>0</v>
      </c>
    </row>
    <row r="1287" spans="1:27">
      <c r="A1287" s="137">
        <v>45911</v>
      </c>
      <c r="B1287" s="138" t="s">
        <v>2955</v>
      </c>
      <c r="C1287" s="138" t="s">
        <v>2956</v>
      </c>
      <c r="D1287" s="138" t="s">
        <v>30</v>
      </c>
      <c r="E1287" s="138" t="s">
        <v>30</v>
      </c>
      <c r="F1287" s="138" t="s">
        <v>2957</v>
      </c>
      <c r="G1287" s="138" t="s">
        <v>2949</v>
      </c>
      <c r="H1287" s="140" t="s">
        <v>27</v>
      </c>
      <c r="I1287" s="141"/>
      <c r="J1287" s="141"/>
      <c r="K1287" s="141"/>
      <c r="L1287" s="141"/>
      <c r="M1287" s="141"/>
      <c r="N1287" s="141"/>
      <c r="O1287" s="141"/>
      <c r="P1287" s="141"/>
      <c r="Q1287" s="141"/>
      <c r="R1287" s="138"/>
      <c r="S1287" s="138"/>
      <c r="T1287" s="138"/>
      <c r="U1287" s="138"/>
      <c r="AA1287">
        <f>IF(COUNTIF('Call Queue'!$H$6:$H$20,V1287)&gt;0,0,IF(AND(ISNUMBER(N1287),N1287&gt;0),10000000+N1287,IF(ISNUMBER(N1287*1),IF(N1287*1&gt;0,10000000+N1287*1,0),0))+IF(ISNUMBER(SEARCH("(",L1287)),1000000+IFERROR(VALUE(SUBSTITUTE(SUBSTITUTE(SUBSTITUTE(MID(L1287,SEARCH("(",L1287)+1,SEARCH(")",L1287)-SEARCH("(",L1287)-1),"$",""),",","")," ","")),0),0))</f>
        <v>0</v>
      </c>
    </row>
    <row r="1288" spans="1:27">
      <c r="A1288" s="137">
        <v>45911</v>
      </c>
      <c r="B1288" s="138" t="s">
        <v>2960</v>
      </c>
      <c r="C1288" s="138" t="s">
        <v>2961</v>
      </c>
      <c r="D1288" s="138" t="s">
        <v>30</v>
      </c>
      <c r="E1288" s="138" t="s">
        <v>30</v>
      </c>
      <c r="F1288" s="138" t="s">
        <v>310</v>
      </c>
      <c r="G1288" s="138" t="s">
        <v>2949</v>
      </c>
      <c r="H1288" s="140" t="s">
        <v>27</v>
      </c>
      <c r="I1288" s="141"/>
      <c r="J1288" s="141"/>
      <c r="K1288" s="141"/>
      <c r="L1288" s="141"/>
      <c r="M1288" s="141"/>
      <c r="N1288" s="141"/>
      <c r="O1288" s="141"/>
      <c r="P1288" s="141"/>
      <c r="Q1288" s="141"/>
      <c r="R1288" s="138"/>
      <c r="S1288" s="138"/>
      <c r="T1288" s="138"/>
      <c r="U1288" s="138"/>
      <c r="AA1288">
        <f>IF(COUNTIF('Call Queue'!$H$6:$H$20,V1288)&gt;0,0,IF(AND(ISNUMBER(N1288),N1288&gt;0),10000000+N1288,IF(ISNUMBER(N1288*1),IF(N1288*1&gt;0,10000000+N1288*1,0),0))+IF(ISNUMBER(SEARCH("(",L1288)),1000000+IFERROR(VALUE(SUBSTITUTE(SUBSTITUTE(SUBSTITUTE(MID(L1288,SEARCH("(",L1288)+1,SEARCH(")",L1288)-SEARCH("(",L1288)-1),"$",""),",","")," ","")),0),0))</f>
        <v>0</v>
      </c>
    </row>
    <row r="1289" spans="1:27">
      <c r="A1289" s="137">
        <v>45912</v>
      </c>
      <c r="B1289" s="138" t="s">
        <v>2968</v>
      </c>
      <c r="C1289" s="138" t="s">
        <v>2969</v>
      </c>
      <c r="D1289" s="138" t="s">
        <v>30</v>
      </c>
      <c r="E1289" s="138" t="s">
        <v>30</v>
      </c>
      <c r="F1289" s="138" t="s">
        <v>31</v>
      </c>
      <c r="G1289" s="138" t="s">
        <v>2970</v>
      </c>
      <c r="H1289" s="140" t="s">
        <v>27</v>
      </c>
      <c r="I1289" s="141"/>
      <c r="J1289" s="141"/>
      <c r="K1289" s="141"/>
      <c r="L1289" s="141"/>
      <c r="M1289" s="141"/>
      <c r="N1289" s="141"/>
      <c r="O1289" s="141"/>
      <c r="P1289" s="141"/>
      <c r="Q1289" s="141"/>
      <c r="R1289" s="138"/>
      <c r="S1289" s="138"/>
      <c r="T1289" s="138"/>
      <c r="U1289" s="138"/>
      <c r="AA1289">
        <f>IF(COUNTIF('Call Queue'!$H$6:$H$20,V1289)&gt;0,0,IF(AND(ISNUMBER(N1289),N1289&gt;0),10000000+N1289,IF(ISNUMBER(N1289*1),IF(N1289*1&gt;0,10000000+N1289*1,0),0))+IF(ISNUMBER(SEARCH("(",L1289)),1000000+IFERROR(VALUE(SUBSTITUTE(SUBSTITUTE(SUBSTITUTE(MID(L1289,SEARCH("(",L1289)+1,SEARCH(")",L1289)-SEARCH("(",L1289)-1),"$",""),",","")," ","")),0),0))</f>
        <v>0</v>
      </c>
    </row>
    <row r="1290" spans="1:27">
      <c r="A1290" s="142">
        <v>45912</v>
      </c>
      <c r="B1290" s="143" t="s">
        <v>2983</v>
      </c>
      <c r="C1290" s="143" t="s">
        <v>2984</v>
      </c>
      <c r="D1290" s="143" t="s">
        <v>63</v>
      </c>
      <c r="E1290" s="143">
        <v>85014</v>
      </c>
      <c r="F1290" s="143" t="s">
        <v>310</v>
      </c>
      <c r="G1290" s="143" t="s">
        <v>2985</v>
      </c>
      <c r="H1290" s="145" t="s">
        <v>27</v>
      </c>
      <c r="I1290" s="146"/>
      <c r="J1290" s="146"/>
      <c r="K1290" s="146"/>
      <c r="L1290" s="146"/>
      <c r="M1290" s="146"/>
      <c r="N1290" s="146"/>
      <c r="O1290" s="146"/>
      <c r="P1290" s="146"/>
      <c r="Q1290" s="146"/>
      <c r="R1290" s="143"/>
      <c r="S1290" s="143"/>
      <c r="T1290" s="143"/>
      <c r="U1290" s="143"/>
      <c r="AA1290">
        <f>IF(COUNTIF('Call Queue'!$H$6:$H$20,V1290)&gt;0,0,IF(AND(ISNUMBER(N1290),N1290&gt;0),10000000+N1290,IF(ISNUMBER(N1290*1),IF(N1290*1&gt;0,10000000+N1290*1,0),0))+IF(ISNUMBER(SEARCH("(",L1290)),1000000+IFERROR(VALUE(SUBSTITUTE(SUBSTITUTE(SUBSTITUTE(MID(L1290,SEARCH("(",L1290)+1,SEARCH(")",L1290)-SEARCH("(",L1290)-1),"$",""),",","")," ","")),0),0))</f>
        <v>0</v>
      </c>
    </row>
    <row r="1291" spans="1:27">
      <c r="A1291" s="142">
        <v>45912</v>
      </c>
      <c r="B1291" s="143" t="s">
        <v>2989</v>
      </c>
      <c r="C1291" s="143" t="s">
        <v>1815</v>
      </c>
      <c r="D1291" s="143" t="s">
        <v>63</v>
      </c>
      <c r="E1291" s="143">
        <v>85002</v>
      </c>
      <c r="F1291" s="143" t="s">
        <v>2990</v>
      </c>
      <c r="G1291" s="143" t="s">
        <v>2985</v>
      </c>
      <c r="H1291" s="145" t="s">
        <v>27</v>
      </c>
      <c r="I1291" s="146"/>
      <c r="J1291" s="146"/>
      <c r="K1291" s="146"/>
      <c r="L1291" s="146"/>
      <c r="M1291" s="146"/>
      <c r="N1291" s="146"/>
      <c r="O1291" s="146"/>
      <c r="P1291" s="146"/>
      <c r="Q1291" s="146"/>
      <c r="R1291" s="143"/>
      <c r="S1291" s="143"/>
      <c r="T1291" s="143"/>
      <c r="U1291" s="143"/>
      <c r="AA1291">
        <f>IF(COUNTIF('Call Queue'!$H$6:$H$20,V1291)&gt;0,0,IF(AND(ISNUMBER(N1291),N1291&gt;0),10000000+N1291,IF(ISNUMBER(N1291*1),IF(N1291*1&gt;0,10000000+N1291*1,0),0))+IF(ISNUMBER(SEARCH("(",L1291)),1000000+IFERROR(VALUE(SUBSTITUTE(SUBSTITUTE(SUBSTITUTE(MID(L1291,SEARCH("(",L1291)+1,SEARCH(")",L1291)-SEARCH("(",L1291)-1),"$",""),",","")," ","")),0),0))</f>
        <v>0</v>
      </c>
    </row>
    <row r="1292" spans="1:27">
      <c r="A1292" s="137">
        <v>45912</v>
      </c>
      <c r="B1292" s="138" t="s">
        <v>2991</v>
      </c>
      <c r="C1292" s="138" t="s">
        <v>312</v>
      </c>
      <c r="D1292" s="138" t="s">
        <v>63</v>
      </c>
      <c r="E1292" s="138">
        <v>85013</v>
      </c>
      <c r="F1292" s="138" t="s">
        <v>31</v>
      </c>
      <c r="G1292" s="138" t="s">
        <v>2985</v>
      </c>
      <c r="H1292" s="140" t="s">
        <v>27</v>
      </c>
      <c r="I1292" s="141"/>
      <c r="J1292" s="141"/>
      <c r="K1292" s="141"/>
      <c r="L1292" s="141"/>
      <c r="M1292" s="141"/>
      <c r="N1292" s="141"/>
      <c r="O1292" s="141"/>
      <c r="P1292" s="141"/>
      <c r="Q1292" s="141"/>
      <c r="R1292" s="138"/>
      <c r="S1292" s="138"/>
      <c r="T1292" s="138"/>
      <c r="U1292" s="138"/>
      <c r="AA1292">
        <f>IF(COUNTIF('Call Queue'!$H$6:$H$20,V1292)&gt;0,0,IF(AND(ISNUMBER(N1292),N1292&gt;0),10000000+N1292,IF(ISNUMBER(N1292*1),IF(N1292*1&gt;0,10000000+N1292*1,0),0))+IF(ISNUMBER(SEARCH("(",L1292)),1000000+IFERROR(VALUE(SUBSTITUTE(SUBSTITUTE(SUBSTITUTE(MID(L1292,SEARCH("(",L1292)+1,SEARCH(")",L1292)-SEARCH("(",L1292)-1),"$",""),",","")," ","")),0),0))</f>
        <v>0</v>
      </c>
    </row>
    <row r="1293" spans="1:27">
      <c r="A1293" s="142">
        <v>45913</v>
      </c>
      <c r="B1293" s="143" t="s">
        <v>3025</v>
      </c>
      <c r="C1293" s="143" t="s">
        <v>1634</v>
      </c>
      <c r="D1293" s="143" t="s">
        <v>63</v>
      </c>
      <c r="E1293" s="143">
        <v>85032</v>
      </c>
      <c r="F1293" s="143" t="s">
        <v>31</v>
      </c>
      <c r="G1293" s="143" t="s">
        <v>2985</v>
      </c>
      <c r="H1293" s="145" t="s">
        <v>27</v>
      </c>
      <c r="I1293" s="146"/>
      <c r="J1293" s="146"/>
      <c r="K1293" s="146"/>
      <c r="L1293" s="146"/>
      <c r="M1293" s="146"/>
      <c r="N1293" s="146"/>
      <c r="O1293" s="146"/>
      <c r="P1293" s="146"/>
      <c r="Q1293" s="146"/>
      <c r="R1293" s="143"/>
      <c r="S1293" s="143"/>
      <c r="T1293" s="143"/>
      <c r="U1293" s="143"/>
      <c r="AA1293">
        <f>IF(COUNTIF('Call Queue'!$H$6:$H$20,V1293)&gt;0,0,IF(AND(ISNUMBER(N1293),N1293&gt;0),10000000+N1293,IF(ISNUMBER(N1293*1),IF(N1293*1&gt;0,10000000+N1293*1,0),0))+IF(ISNUMBER(SEARCH("(",L1293)),1000000+IFERROR(VALUE(SUBSTITUTE(SUBSTITUTE(SUBSTITUTE(MID(L1293,SEARCH("(",L1293)+1,SEARCH(")",L1293)-SEARCH("(",L1293)-1),"$",""),",","")," ","")),0),0))</f>
        <v>0</v>
      </c>
    </row>
    <row r="1294" spans="1:27">
      <c r="A1294" s="137">
        <v>45913</v>
      </c>
      <c r="B1294" s="138" t="s">
        <v>3026</v>
      </c>
      <c r="C1294" s="138" t="s">
        <v>3006</v>
      </c>
      <c r="D1294" s="138" t="s">
        <v>63</v>
      </c>
      <c r="E1294" s="138">
        <v>85003</v>
      </c>
      <c r="F1294" s="138" t="s">
        <v>31</v>
      </c>
      <c r="G1294" s="138" t="s">
        <v>2985</v>
      </c>
      <c r="H1294" s="140" t="s">
        <v>27</v>
      </c>
      <c r="I1294" s="141"/>
      <c r="J1294" s="141"/>
      <c r="K1294" s="141"/>
      <c r="L1294" s="141"/>
      <c r="M1294" s="141"/>
      <c r="N1294" s="141"/>
      <c r="O1294" s="141"/>
      <c r="P1294" s="141"/>
      <c r="Q1294" s="141"/>
      <c r="R1294" s="138"/>
      <c r="S1294" s="138"/>
      <c r="T1294" s="138"/>
      <c r="U1294" s="138"/>
      <c r="AA1294">
        <f>IF(COUNTIF('Call Queue'!$H$6:$H$20,V1294)&gt;0,0,IF(AND(ISNUMBER(N1294),N1294&gt;0),10000000+N1294,IF(ISNUMBER(N1294*1),IF(N1294*1&gt;0,10000000+N1294*1,0),0))+IF(ISNUMBER(SEARCH("(",L1294)),1000000+IFERROR(VALUE(SUBSTITUTE(SUBSTITUTE(SUBSTITUTE(MID(L1294,SEARCH("(",L1294)+1,SEARCH(")",L1294)-SEARCH("(",L1294)-1),"$",""),",","")," ","")),0),0))</f>
        <v>0</v>
      </c>
    </row>
    <row r="1295" spans="1:27">
      <c r="A1295" s="142">
        <v>45913</v>
      </c>
      <c r="B1295" s="143" t="s">
        <v>3027</v>
      </c>
      <c r="C1295" s="143" t="s">
        <v>3028</v>
      </c>
      <c r="D1295" s="143" t="s">
        <v>112</v>
      </c>
      <c r="E1295" s="143">
        <v>85374</v>
      </c>
      <c r="F1295" s="143" t="s">
        <v>31</v>
      </c>
      <c r="G1295" s="143" t="s">
        <v>2985</v>
      </c>
      <c r="H1295" s="145" t="s">
        <v>27</v>
      </c>
      <c r="I1295" s="146"/>
      <c r="J1295" s="146"/>
      <c r="K1295" s="146"/>
      <c r="L1295" s="146"/>
      <c r="M1295" s="146"/>
      <c r="N1295" s="146"/>
      <c r="O1295" s="146"/>
      <c r="P1295" s="146"/>
      <c r="Q1295" s="146"/>
      <c r="R1295" s="143"/>
      <c r="S1295" s="143"/>
      <c r="T1295" s="143"/>
      <c r="U1295" s="143"/>
      <c r="AA1295">
        <f>IF(COUNTIF('Call Queue'!$H$6:$H$20,V1295)&gt;0,0,IF(AND(ISNUMBER(N1295),N1295&gt;0),10000000+N1295,IF(ISNUMBER(N1295*1),IF(N1295*1&gt;0,10000000+N1295*1,0),0))+IF(ISNUMBER(SEARCH("(",L1295)),1000000+IFERROR(VALUE(SUBSTITUTE(SUBSTITUTE(SUBSTITUTE(MID(L1295,SEARCH("(",L1295)+1,SEARCH(")",L1295)-SEARCH("(",L1295)-1),"$",""),",","")," ","")),0),0))</f>
        <v>0</v>
      </c>
    </row>
    <row r="1296" spans="1:27">
      <c r="A1296" s="137">
        <v>45914</v>
      </c>
      <c r="B1296" s="138" t="s">
        <v>3048</v>
      </c>
      <c r="C1296" s="138" t="s">
        <v>1472</v>
      </c>
      <c r="D1296" s="138" t="s">
        <v>202</v>
      </c>
      <c r="E1296" s="138">
        <v>85383</v>
      </c>
      <c r="F1296" s="138" t="s">
        <v>3049</v>
      </c>
      <c r="G1296" s="138" t="s">
        <v>2985</v>
      </c>
      <c r="H1296" s="140" t="s">
        <v>27</v>
      </c>
      <c r="I1296" s="141"/>
      <c r="J1296" s="141"/>
      <c r="K1296" s="141"/>
      <c r="L1296" s="141"/>
      <c r="M1296" s="141"/>
      <c r="N1296" s="141"/>
      <c r="O1296" s="141"/>
      <c r="P1296" s="141"/>
      <c r="Q1296" s="141"/>
      <c r="R1296" s="138"/>
      <c r="S1296" s="138"/>
      <c r="T1296" s="138"/>
      <c r="U1296" s="138"/>
      <c r="AA1296">
        <f>IF(COUNTIF('Call Queue'!$H$6:$H$20,V1296)&gt;0,0,IF(AND(ISNUMBER(N1296),N1296&gt;0),10000000+N1296,IF(ISNUMBER(N1296*1),IF(N1296*1&gt;0,10000000+N1296*1,0),0))+IF(ISNUMBER(SEARCH("(",L1296)),1000000+IFERROR(VALUE(SUBSTITUTE(SUBSTITUTE(SUBSTITUTE(MID(L1296,SEARCH("(",L1296)+1,SEARCH(")",L1296)-SEARCH("(",L1296)-1),"$",""),",","")," ","")),0),0))</f>
        <v>0</v>
      </c>
    </row>
    <row r="1297" spans="1:27">
      <c r="A1297" s="142">
        <v>45918</v>
      </c>
      <c r="B1297" s="143" t="s">
        <v>3085</v>
      </c>
      <c r="C1297" s="143" t="s">
        <v>399</v>
      </c>
      <c r="D1297" s="143" t="s">
        <v>24</v>
      </c>
      <c r="E1297" s="143">
        <v>85310</v>
      </c>
      <c r="F1297" s="143" t="s">
        <v>3086</v>
      </c>
      <c r="G1297" s="143" t="s">
        <v>3083</v>
      </c>
      <c r="H1297" s="145" t="s">
        <v>27</v>
      </c>
      <c r="I1297" s="146"/>
      <c r="J1297" s="146"/>
      <c r="K1297" s="146"/>
      <c r="L1297" s="146"/>
      <c r="M1297" s="146"/>
      <c r="N1297" s="146"/>
      <c r="O1297" s="146"/>
      <c r="P1297" s="146"/>
      <c r="Q1297" s="146"/>
      <c r="R1297" s="143"/>
      <c r="S1297" s="143"/>
      <c r="T1297" s="143"/>
      <c r="U1297" s="143"/>
      <c r="AA1297">
        <f>IF(COUNTIF('Call Queue'!$H$6:$H$20,V1297)&gt;0,0,IF(AND(ISNUMBER(N1297),N1297&gt;0),10000000+N1297,IF(ISNUMBER(N1297*1),IF(N1297*1&gt;0,10000000+N1297*1,0),0))+IF(ISNUMBER(SEARCH("(",L1297)),1000000+IFERROR(VALUE(SUBSTITUTE(SUBSTITUTE(SUBSTITUTE(MID(L1297,SEARCH("(",L1297)+1,SEARCH(")",L1297)-SEARCH("(",L1297)-1),"$",""),",","")," ","")),0),0))</f>
        <v>0</v>
      </c>
    </row>
    <row r="1298" spans="1:27">
      <c r="A1298" s="137">
        <v>45918</v>
      </c>
      <c r="B1298" s="138" t="s">
        <v>1148</v>
      </c>
      <c r="C1298" s="138" t="s">
        <v>821</v>
      </c>
      <c r="D1298" s="138" t="s">
        <v>169</v>
      </c>
      <c r="E1298" s="138">
        <v>85338</v>
      </c>
      <c r="F1298" s="138" t="s">
        <v>3087</v>
      </c>
      <c r="G1298" s="138" t="s">
        <v>3083</v>
      </c>
      <c r="H1298" s="140" t="s">
        <v>27</v>
      </c>
      <c r="I1298" s="141"/>
      <c r="J1298" s="141"/>
      <c r="K1298" s="141"/>
      <c r="L1298" s="141"/>
      <c r="M1298" s="141"/>
      <c r="N1298" s="141"/>
      <c r="O1298" s="141"/>
      <c r="P1298" s="141"/>
      <c r="Q1298" s="141"/>
      <c r="R1298" s="138"/>
      <c r="S1298" s="138"/>
      <c r="T1298" s="138"/>
      <c r="U1298" s="138"/>
      <c r="AA1298">
        <f>IF(COUNTIF('Call Queue'!$H$6:$H$20,V1298)&gt;0,0,IF(AND(ISNUMBER(N1298),N1298&gt;0),10000000+N1298,IF(ISNUMBER(N1298*1),IF(N1298*1&gt;0,10000000+N1298*1,0),0))+IF(ISNUMBER(SEARCH("(",L1298)),1000000+IFERROR(VALUE(SUBSTITUTE(SUBSTITUTE(SUBSTITUTE(MID(L1298,SEARCH("(",L1298)+1,SEARCH(")",L1298)-SEARCH("(",L1298)-1),"$",""),",","")," ","")),0),0))</f>
        <v>0</v>
      </c>
    </row>
    <row r="1299" spans="1:27">
      <c r="A1299" s="142">
        <v>45918</v>
      </c>
      <c r="B1299" s="143" t="s">
        <v>3095</v>
      </c>
      <c r="C1299" s="143" t="s">
        <v>747</v>
      </c>
      <c r="D1299" s="143" t="s">
        <v>63</v>
      </c>
      <c r="E1299" s="143">
        <v>85024</v>
      </c>
      <c r="F1299" s="143" t="s">
        <v>3096</v>
      </c>
      <c r="G1299" s="143" t="s">
        <v>3083</v>
      </c>
      <c r="H1299" s="145" t="s">
        <v>27</v>
      </c>
      <c r="I1299" s="146"/>
      <c r="J1299" s="146"/>
      <c r="K1299" s="146"/>
      <c r="L1299" s="146"/>
      <c r="M1299" s="146"/>
      <c r="N1299" s="146"/>
      <c r="O1299" s="146"/>
      <c r="P1299" s="146"/>
      <c r="Q1299" s="146"/>
      <c r="R1299" s="143"/>
      <c r="S1299" s="143"/>
      <c r="T1299" s="143"/>
      <c r="U1299" s="143"/>
      <c r="AA1299">
        <f>IF(COUNTIF('Call Queue'!$H$6:$H$20,V1299)&gt;0,0,IF(AND(ISNUMBER(N1299),N1299&gt;0),10000000+N1299,IF(ISNUMBER(N1299*1),IF(N1299*1&gt;0,10000000+N1299*1,0),0))+IF(ISNUMBER(SEARCH("(",L1299)),1000000+IFERROR(VALUE(SUBSTITUTE(SUBSTITUTE(SUBSTITUTE(MID(L1299,SEARCH("(",L1299)+1,SEARCH(")",L1299)-SEARCH("(",L1299)-1),"$",""),",","")," ","")),0),0))</f>
        <v>0</v>
      </c>
    </row>
    <row r="1300" spans="1:27">
      <c r="A1300" s="137">
        <v>45918</v>
      </c>
      <c r="B1300" s="138" t="s">
        <v>3104</v>
      </c>
      <c r="C1300" s="138" t="s">
        <v>481</v>
      </c>
      <c r="D1300" s="138" t="s">
        <v>1198</v>
      </c>
      <c r="E1300" s="138">
        <v>85607</v>
      </c>
      <c r="F1300" s="138" t="s">
        <v>3105</v>
      </c>
      <c r="G1300" s="138" t="s">
        <v>3083</v>
      </c>
      <c r="H1300" s="140" t="s">
        <v>90</v>
      </c>
      <c r="I1300" s="141"/>
      <c r="J1300" s="141"/>
      <c r="K1300" s="141"/>
      <c r="L1300" s="141"/>
      <c r="M1300" s="141"/>
      <c r="N1300" s="141"/>
      <c r="O1300" s="141"/>
      <c r="P1300" s="141"/>
      <c r="Q1300" s="141"/>
      <c r="R1300" s="138"/>
      <c r="S1300" s="138"/>
      <c r="T1300" s="138"/>
      <c r="U1300" s="138"/>
      <c r="AA1300">
        <f>IF(COUNTIF('Call Queue'!$H$6:$H$20,V1300)&gt;0,0,IF(AND(ISNUMBER(N1300),N1300&gt;0),10000000+N1300,IF(ISNUMBER(N1300*1),IF(N1300*1&gt;0,10000000+N1300*1,0),0))+IF(ISNUMBER(SEARCH("(",L1300)),1000000+IFERROR(VALUE(SUBSTITUTE(SUBSTITUTE(SUBSTITUTE(MID(L1300,SEARCH("(",L1300)+1,SEARCH(")",L1300)-SEARCH("(",L1300)-1),"$",""),",","")," ","")),0),0))</f>
        <v>0</v>
      </c>
    </row>
    <row r="1301" spans="1:27">
      <c r="A1301" s="142">
        <v>45918</v>
      </c>
      <c r="B1301" s="143" t="s">
        <v>655</v>
      </c>
      <c r="C1301" s="143" t="s">
        <v>3121</v>
      </c>
      <c r="D1301" s="143" t="s">
        <v>202</v>
      </c>
      <c r="E1301" s="143">
        <v>85383</v>
      </c>
      <c r="F1301" s="143" t="s">
        <v>3122</v>
      </c>
      <c r="G1301" s="143" t="s">
        <v>3083</v>
      </c>
      <c r="H1301" s="145" t="s">
        <v>27</v>
      </c>
      <c r="I1301" s="146"/>
      <c r="J1301" s="146"/>
      <c r="K1301" s="146"/>
      <c r="L1301" s="146"/>
      <c r="M1301" s="146"/>
      <c r="N1301" s="146"/>
      <c r="O1301" s="146"/>
      <c r="P1301" s="146"/>
      <c r="Q1301" s="146"/>
      <c r="R1301" s="143"/>
      <c r="S1301" s="143"/>
      <c r="T1301" s="143"/>
      <c r="U1301" s="143"/>
      <c r="AA1301">
        <f>IF(COUNTIF('Call Queue'!$H$6:$H$20,V1301)&gt;0,0,IF(AND(ISNUMBER(N1301),N1301&gt;0),10000000+N1301,IF(ISNUMBER(N1301*1),IF(N1301*1&gt;0,10000000+N1301*1,0),0))+IF(ISNUMBER(SEARCH("(",L1301)),1000000+IFERROR(VALUE(SUBSTITUTE(SUBSTITUTE(SUBSTITUTE(MID(L1301,SEARCH("(",L1301)+1,SEARCH(")",L1301)-SEARCH("(",L1301)-1),"$",""),",","")," ","")),0),0))</f>
        <v>0</v>
      </c>
    </row>
    <row r="1302" spans="1:27">
      <c r="A1302" s="142">
        <v>45919</v>
      </c>
      <c r="B1302" s="143" t="s">
        <v>930</v>
      </c>
      <c r="C1302" s="143" t="s">
        <v>135</v>
      </c>
      <c r="D1302" s="143" t="s">
        <v>112</v>
      </c>
      <c r="E1302" s="143">
        <v>85379</v>
      </c>
      <c r="F1302" s="143" t="s">
        <v>3161</v>
      </c>
      <c r="G1302" s="143" t="s">
        <v>3155</v>
      </c>
      <c r="H1302" s="145" t="s">
        <v>27</v>
      </c>
      <c r="I1302" s="146"/>
      <c r="J1302" s="146"/>
      <c r="K1302" s="146"/>
      <c r="L1302" s="146"/>
      <c r="M1302" s="146"/>
      <c r="N1302" s="146"/>
      <c r="O1302" s="146"/>
      <c r="P1302" s="146"/>
      <c r="Q1302" s="146"/>
      <c r="R1302" s="143"/>
      <c r="S1302" s="143"/>
      <c r="T1302" s="143"/>
      <c r="U1302" s="143"/>
      <c r="AA1302">
        <f>IF(COUNTIF('Call Queue'!$H$6:$H$20,V1302)&gt;0,0,IF(AND(ISNUMBER(N1302),N1302&gt;0),10000000+N1302,IF(ISNUMBER(N1302*1),IF(N1302*1&gt;0,10000000+N1302*1,0),0))+IF(ISNUMBER(SEARCH("(",L1302)),1000000+IFERROR(VALUE(SUBSTITUTE(SUBSTITUTE(SUBSTITUTE(MID(L1302,SEARCH("(",L1302)+1,SEARCH(")",L1302)-SEARCH("(",L1302)-1),"$",""),",","")," ","")),0),0))</f>
        <v>0</v>
      </c>
    </row>
    <row r="1303" spans="1:27">
      <c r="A1303" s="142">
        <v>45919</v>
      </c>
      <c r="B1303" s="143" t="s">
        <v>3166</v>
      </c>
      <c r="C1303" s="143" t="s">
        <v>481</v>
      </c>
      <c r="D1303" s="143" t="s">
        <v>136</v>
      </c>
      <c r="E1303" s="143">
        <v>85377</v>
      </c>
      <c r="F1303" s="143" t="s">
        <v>3167</v>
      </c>
      <c r="G1303" s="143" t="s">
        <v>3155</v>
      </c>
      <c r="H1303" s="145" t="s">
        <v>27</v>
      </c>
      <c r="I1303" s="146"/>
      <c r="J1303" s="146"/>
      <c r="K1303" s="146"/>
      <c r="L1303" s="146"/>
      <c r="M1303" s="146"/>
      <c r="N1303" s="146"/>
      <c r="O1303" s="146"/>
      <c r="P1303" s="146"/>
      <c r="Q1303" s="146"/>
      <c r="R1303" s="143"/>
      <c r="S1303" s="143"/>
      <c r="T1303" s="143"/>
      <c r="U1303" s="143"/>
      <c r="AA1303">
        <f>IF(COUNTIF('Call Queue'!$H$6:$H$20,V1303)&gt;0,0,IF(AND(ISNUMBER(N1303),N1303&gt;0),10000000+N1303,IF(ISNUMBER(N1303*1),IF(N1303*1&gt;0,10000000+N1303*1,0),0))+IF(ISNUMBER(SEARCH("(",L1303)),1000000+IFERROR(VALUE(SUBSTITUTE(SUBSTITUTE(SUBSTITUTE(MID(L1303,SEARCH("(",L1303)+1,SEARCH(")",L1303)-SEARCH("(",L1303)-1),"$",""),",","")," ","")),0),0))</f>
        <v>0</v>
      </c>
    </row>
    <row r="1304" spans="1:27">
      <c r="A1304" s="137">
        <v>45919</v>
      </c>
      <c r="B1304" s="138" t="s">
        <v>3168</v>
      </c>
      <c r="C1304" s="138" t="s">
        <v>835</v>
      </c>
      <c r="D1304" s="138" t="s">
        <v>169</v>
      </c>
      <c r="E1304" s="138">
        <v>85339</v>
      </c>
      <c r="F1304" s="138" t="s">
        <v>3169</v>
      </c>
      <c r="G1304" s="138" t="s">
        <v>3155</v>
      </c>
      <c r="H1304" s="140" t="s">
        <v>27</v>
      </c>
      <c r="I1304" s="141"/>
      <c r="J1304" s="141"/>
      <c r="K1304" s="141"/>
      <c r="L1304" s="141"/>
      <c r="M1304" s="141"/>
      <c r="N1304" s="141"/>
      <c r="O1304" s="141"/>
      <c r="P1304" s="141"/>
      <c r="Q1304" s="141"/>
      <c r="R1304" s="138"/>
      <c r="S1304" s="138"/>
      <c r="T1304" s="138"/>
      <c r="U1304" s="138"/>
      <c r="AA1304">
        <f>IF(COUNTIF('Call Queue'!$H$6:$H$20,V1304)&gt;0,0,IF(AND(ISNUMBER(N1304),N1304&gt;0),10000000+N1304,IF(ISNUMBER(N1304*1),IF(N1304*1&gt;0,10000000+N1304*1,0),0))+IF(ISNUMBER(SEARCH("(",L1304)),1000000+IFERROR(VALUE(SUBSTITUTE(SUBSTITUTE(SUBSTITUTE(MID(L1304,SEARCH("(",L1304)+1,SEARCH(")",L1304)-SEARCH("(",L1304)-1),"$",""),",","")," ","")),0),0))</f>
        <v>0</v>
      </c>
    </row>
    <row r="1305" spans="1:27">
      <c r="A1305" s="142">
        <v>45919</v>
      </c>
      <c r="B1305" s="143" t="s">
        <v>3170</v>
      </c>
      <c r="C1305" s="143" t="s">
        <v>3171</v>
      </c>
      <c r="D1305" s="143" t="s">
        <v>63</v>
      </c>
      <c r="E1305" s="143">
        <v>85032</v>
      </c>
      <c r="F1305" s="143" t="s">
        <v>3172</v>
      </c>
      <c r="G1305" s="143" t="s">
        <v>3155</v>
      </c>
      <c r="H1305" s="145" t="s">
        <v>27</v>
      </c>
      <c r="I1305" s="146"/>
      <c r="J1305" s="146"/>
      <c r="K1305" s="146"/>
      <c r="L1305" s="146"/>
      <c r="M1305" s="146"/>
      <c r="N1305" s="146"/>
      <c r="O1305" s="146"/>
      <c r="P1305" s="146"/>
      <c r="Q1305" s="146"/>
      <c r="R1305" s="143"/>
      <c r="S1305" s="143"/>
      <c r="T1305" s="143"/>
      <c r="U1305" s="143"/>
      <c r="AA1305">
        <f>IF(COUNTIF('Call Queue'!$H$6:$H$20,V1305)&gt;0,0,IF(AND(ISNUMBER(N1305),N1305&gt;0),10000000+N1305,IF(ISNUMBER(N1305*1),IF(N1305*1&gt;0,10000000+N1305*1,0),0))+IF(ISNUMBER(SEARCH("(",L1305)),1000000+IFERROR(VALUE(SUBSTITUTE(SUBSTITUTE(SUBSTITUTE(MID(L1305,SEARCH("(",L1305)+1,SEARCH(")",L1305)-SEARCH("(",L1305)-1),"$",""),",","")," ","")),0),0))</f>
        <v>0</v>
      </c>
    </row>
    <row r="1306" spans="1:27">
      <c r="A1306" s="137">
        <v>45919</v>
      </c>
      <c r="B1306" s="138" t="s">
        <v>399</v>
      </c>
      <c r="C1306" s="138" t="s">
        <v>3198</v>
      </c>
      <c r="D1306" s="138" t="s">
        <v>3192</v>
      </c>
      <c r="E1306" s="138">
        <v>85253</v>
      </c>
      <c r="F1306" s="138" t="s">
        <v>3199</v>
      </c>
      <c r="G1306" s="138" t="s">
        <v>3189</v>
      </c>
      <c r="H1306" s="140" t="s">
        <v>27</v>
      </c>
      <c r="I1306" s="141"/>
      <c r="J1306" s="141"/>
      <c r="K1306" s="141"/>
      <c r="L1306" s="141"/>
      <c r="M1306" s="141"/>
      <c r="N1306" s="141"/>
      <c r="O1306" s="141"/>
      <c r="P1306" s="141"/>
      <c r="Q1306" s="141"/>
      <c r="R1306" s="138"/>
      <c r="S1306" s="138"/>
      <c r="T1306" s="138"/>
      <c r="U1306" s="138"/>
      <c r="AA1306">
        <f>IF(COUNTIF('Call Queue'!$H$6:$H$20,V1306)&gt;0,0,IF(AND(ISNUMBER(N1306),N1306&gt;0),10000000+N1306,IF(ISNUMBER(N1306*1),IF(N1306*1&gt;0,10000000+N1306*1,0),0))+IF(ISNUMBER(SEARCH("(",L1306)),1000000+IFERROR(VALUE(SUBSTITUTE(SUBSTITUTE(SUBSTITUTE(MID(L1306,SEARCH("(",L1306)+1,SEARCH(")",L1306)-SEARCH("(",L1306)-1),"$",""),",","")," ","")),0),0))</f>
        <v>0</v>
      </c>
    </row>
    <row r="1307" spans="1:27">
      <c r="A1307" s="137">
        <v>45919</v>
      </c>
      <c r="B1307" s="138" t="s">
        <v>3203</v>
      </c>
      <c r="C1307" s="138" t="s">
        <v>3204</v>
      </c>
      <c r="D1307" s="138" t="s">
        <v>3205</v>
      </c>
      <c r="E1307" s="138">
        <v>85335</v>
      </c>
      <c r="F1307" s="138" t="s">
        <v>3206</v>
      </c>
      <c r="G1307" s="138" t="s">
        <v>3189</v>
      </c>
      <c r="H1307" s="140" t="s">
        <v>27</v>
      </c>
      <c r="I1307" s="141"/>
      <c r="J1307" s="141"/>
      <c r="K1307" s="141"/>
      <c r="L1307" s="141"/>
      <c r="M1307" s="141"/>
      <c r="N1307" s="141"/>
      <c r="O1307" s="141"/>
      <c r="P1307" s="141"/>
      <c r="Q1307" s="141"/>
      <c r="R1307" s="138"/>
      <c r="S1307" s="138"/>
      <c r="T1307" s="138"/>
      <c r="U1307" s="138"/>
      <c r="AA1307">
        <f>IF(COUNTIF('Call Queue'!$H$6:$H$20,V1307)&gt;0,0,IF(AND(ISNUMBER(N1307),N1307&gt;0),10000000+N1307,IF(ISNUMBER(N1307*1),IF(N1307*1&gt;0,10000000+N1307*1,0),0))+IF(ISNUMBER(SEARCH("(",L1307)),1000000+IFERROR(VALUE(SUBSTITUTE(SUBSTITUTE(SUBSTITUTE(MID(L1307,SEARCH("(",L1307)+1,SEARCH(")",L1307)-SEARCH("(",L1307)-1),"$",""),",","")," ","")),0),0))</f>
        <v>0</v>
      </c>
    </row>
    <row r="1308" spans="1:27">
      <c r="A1308" s="137">
        <v>45919</v>
      </c>
      <c r="B1308" s="138" t="s">
        <v>2571</v>
      </c>
      <c r="C1308" s="138" t="s">
        <v>3226</v>
      </c>
      <c r="D1308" s="138" t="s">
        <v>30</v>
      </c>
      <c r="E1308" s="138" t="s">
        <v>30</v>
      </c>
      <c r="F1308" s="138" t="s">
        <v>3227</v>
      </c>
      <c r="G1308" s="138" t="s">
        <v>3189</v>
      </c>
      <c r="H1308" s="140" t="s">
        <v>27</v>
      </c>
      <c r="I1308" s="141"/>
      <c r="J1308" s="141"/>
      <c r="K1308" s="141"/>
      <c r="L1308" s="141"/>
      <c r="M1308" s="141"/>
      <c r="N1308" s="141"/>
      <c r="O1308" s="141"/>
      <c r="P1308" s="141"/>
      <c r="Q1308" s="141"/>
      <c r="R1308" s="138"/>
      <c r="S1308" s="138"/>
      <c r="T1308" s="138"/>
      <c r="U1308" s="138"/>
      <c r="AA1308">
        <f>IF(COUNTIF('Call Queue'!$H$6:$H$20,V1308)&gt;0,0,IF(AND(ISNUMBER(N1308),N1308&gt;0),10000000+N1308,IF(ISNUMBER(N1308*1),IF(N1308*1&gt;0,10000000+N1308*1,0),0))+IF(ISNUMBER(SEARCH("(",L1308)),1000000+IFERROR(VALUE(SUBSTITUTE(SUBSTITUTE(SUBSTITUTE(MID(L1308,SEARCH("(",L1308)+1,SEARCH(")",L1308)-SEARCH("(",L1308)-1),"$",""),",","")," ","")),0),0))</f>
        <v>0</v>
      </c>
    </row>
    <row r="1309" spans="1:27">
      <c r="A1309" s="154" t="s">
        <v>3240</v>
      </c>
      <c r="B1309" s="143" t="s">
        <v>160</v>
      </c>
      <c r="C1309" s="143" t="s">
        <v>780</v>
      </c>
      <c r="D1309" s="143" t="s">
        <v>63</v>
      </c>
      <c r="E1309" s="143">
        <v>85015</v>
      </c>
      <c r="F1309" s="143" t="s">
        <v>310</v>
      </c>
      <c r="G1309" s="143" t="s">
        <v>2563</v>
      </c>
      <c r="H1309" s="145" t="s">
        <v>27</v>
      </c>
      <c r="I1309" s="146"/>
      <c r="J1309" s="146"/>
      <c r="K1309" s="146"/>
      <c r="L1309" s="146"/>
      <c r="M1309" s="146"/>
      <c r="N1309" s="146"/>
      <c r="O1309" s="146"/>
      <c r="P1309" s="146"/>
      <c r="Q1309" s="146"/>
      <c r="R1309" s="143"/>
      <c r="S1309" s="143"/>
      <c r="T1309" s="143"/>
      <c r="U1309" s="143"/>
      <c r="AA1309">
        <f>IF(COUNTIF('Call Queue'!$H$6:$H$20,V1309)&gt;0,0,IF(AND(ISNUMBER(N1309),N1309&gt;0),10000000+N1309,IF(ISNUMBER(N1309*1),IF(N1309*1&gt;0,10000000+N1309*1,0),0))+IF(ISNUMBER(SEARCH("(",L1309)),1000000+IFERROR(VALUE(SUBSTITUTE(SUBSTITUTE(SUBSTITUTE(MID(L1309,SEARCH("(",L1309)+1,SEARCH(")",L1309)-SEARCH("(",L1309)-1),"$",""),",","")," ","")),0),0))</f>
        <v>0</v>
      </c>
    </row>
    <row r="1310" spans="1:27">
      <c r="A1310" s="142">
        <v>45919</v>
      </c>
      <c r="B1310" s="143" t="s">
        <v>3249</v>
      </c>
      <c r="C1310" s="143" t="s">
        <v>3250</v>
      </c>
      <c r="D1310" s="143" t="s">
        <v>63</v>
      </c>
      <c r="E1310" s="143">
        <v>85021</v>
      </c>
      <c r="F1310" s="143" t="s">
        <v>3251</v>
      </c>
      <c r="G1310" s="143" t="s">
        <v>2563</v>
      </c>
      <c r="H1310" s="145" t="s">
        <v>27</v>
      </c>
      <c r="I1310" s="146"/>
      <c r="J1310" s="146"/>
      <c r="K1310" s="146"/>
      <c r="L1310" s="146"/>
      <c r="M1310" s="146"/>
      <c r="N1310" s="146"/>
      <c r="O1310" s="146"/>
      <c r="P1310" s="146"/>
      <c r="Q1310" s="146"/>
      <c r="R1310" s="143"/>
      <c r="S1310" s="143"/>
      <c r="T1310" s="143"/>
      <c r="U1310" s="143"/>
      <c r="AA1310">
        <f>IF(COUNTIF('Call Queue'!$H$6:$H$20,V1310)&gt;0,0,IF(AND(ISNUMBER(N1310),N1310&gt;0),10000000+N1310,IF(ISNUMBER(N1310*1),IF(N1310*1&gt;0,10000000+N1310*1,0),0))+IF(ISNUMBER(SEARCH("(",L1310)),1000000+IFERROR(VALUE(SUBSTITUTE(SUBSTITUTE(SUBSTITUTE(MID(L1310,SEARCH("(",L1310)+1,SEARCH(")",L1310)-SEARCH("(",L1310)-1),"$",""),",","")," ","")),0),0))</f>
        <v>0</v>
      </c>
    </row>
    <row r="1311" spans="1:27">
      <c r="A1311" s="142">
        <v>45922</v>
      </c>
      <c r="B1311" s="143" t="s">
        <v>3255</v>
      </c>
      <c r="C1311" s="143" t="s">
        <v>117</v>
      </c>
      <c r="D1311" s="143" t="s">
        <v>3256</v>
      </c>
      <c r="E1311" s="143">
        <v>85120</v>
      </c>
      <c r="F1311" s="143" t="s">
        <v>3257</v>
      </c>
      <c r="G1311" s="143" t="s">
        <v>2563</v>
      </c>
      <c r="H1311" s="145" t="s">
        <v>27</v>
      </c>
      <c r="I1311" s="146"/>
      <c r="J1311" s="146"/>
      <c r="K1311" s="146"/>
      <c r="L1311" s="146"/>
      <c r="M1311" s="146"/>
      <c r="N1311" s="146"/>
      <c r="O1311" s="146"/>
      <c r="P1311" s="146"/>
      <c r="Q1311" s="146"/>
      <c r="R1311" s="143"/>
      <c r="S1311" s="143"/>
      <c r="T1311" s="143"/>
      <c r="U1311" s="143"/>
      <c r="AA1311">
        <f>IF(COUNTIF('Call Queue'!$H$6:$H$20,V1311)&gt;0,0,IF(AND(ISNUMBER(N1311),N1311&gt;0),10000000+N1311,IF(ISNUMBER(N1311*1),IF(N1311*1&gt;0,10000000+N1311*1,0),0))+IF(ISNUMBER(SEARCH("(",L1311)),1000000+IFERROR(VALUE(SUBSTITUTE(SUBSTITUTE(SUBSTITUTE(MID(L1311,SEARCH("(",L1311)+1,SEARCH(")",L1311)-SEARCH("(",L1311)-1),"$",""),",","")," ","")),0),0))</f>
        <v>0</v>
      </c>
    </row>
    <row r="1312" spans="1:27">
      <c r="A1312" s="142">
        <v>45921</v>
      </c>
      <c r="B1312" s="143" t="s">
        <v>3261</v>
      </c>
      <c r="C1312" s="143" t="s">
        <v>437</v>
      </c>
      <c r="D1312" s="143" t="s">
        <v>112</v>
      </c>
      <c r="E1312" s="143">
        <v>85379</v>
      </c>
      <c r="F1312" s="143" t="s">
        <v>3262</v>
      </c>
      <c r="G1312" s="143" t="s">
        <v>2563</v>
      </c>
      <c r="H1312" s="145" t="s">
        <v>90</v>
      </c>
      <c r="I1312" s="146"/>
      <c r="J1312" s="146"/>
      <c r="K1312" s="146"/>
      <c r="L1312" s="146"/>
      <c r="M1312" s="146"/>
      <c r="N1312" s="146"/>
      <c r="O1312" s="146"/>
      <c r="P1312" s="146"/>
      <c r="Q1312" s="146"/>
      <c r="R1312" s="143"/>
      <c r="S1312" s="143"/>
      <c r="T1312" s="143"/>
      <c r="U1312" s="143"/>
      <c r="AA1312">
        <f>IF(COUNTIF('Call Queue'!$H$6:$H$20,V1312)&gt;0,0,IF(AND(ISNUMBER(N1312),N1312&gt;0),10000000+N1312,IF(ISNUMBER(N1312*1),IF(N1312*1&gt;0,10000000+N1312*1,0),0))+IF(ISNUMBER(SEARCH("(",L1312)),1000000+IFERROR(VALUE(SUBSTITUTE(SUBSTITUTE(SUBSTITUTE(MID(L1312,SEARCH("(",L1312)+1,SEARCH(")",L1312)-SEARCH("(",L1312)-1),"$",""),",","")," ","")),0),0))</f>
        <v>0</v>
      </c>
    </row>
    <row r="1313" spans="1:27">
      <c r="A1313" s="137">
        <v>45921</v>
      </c>
      <c r="B1313" s="138" t="s">
        <v>3263</v>
      </c>
      <c r="C1313" s="138" t="s">
        <v>302</v>
      </c>
      <c r="D1313" s="138" t="s">
        <v>63</v>
      </c>
      <c r="E1313" s="138">
        <v>85087</v>
      </c>
      <c r="F1313" s="138" t="s">
        <v>3264</v>
      </c>
      <c r="G1313" s="138" t="s">
        <v>2563</v>
      </c>
      <c r="H1313" s="140" t="s">
        <v>27</v>
      </c>
      <c r="I1313" s="141"/>
      <c r="J1313" s="141"/>
      <c r="K1313" s="141"/>
      <c r="L1313" s="141"/>
      <c r="M1313" s="141"/>
      <c r="N1313" s="141"/>
      <c r="O1313" s="141"/>
      <c r="P1313" s="141"/>
      <c r="Q1313" s="141"/>
      <c r="R1313" s="138"/>
      <c r="S1313" s="138"/>
      <c r="T1313" s="138"/>
      <c r="U1313" s="138"/>
      <c r="AA1313">
        <f>IF(COUNTIF('Call Queue'!$H$6:$H$20,V1313)&gt;0,0,IF(AND(ISNUMBER(N1313),N1313&gt;0),10000000+N1313,IF(ISNUMBER(N1313*1),IF(N1313*1&gt;0,10000000+N1313*1,0),0))+IF(ISNUMBER(SEARCH("(",L1313)),1000000+IFERROR(VALUE(SUBSTITUTE(SUBSTITUTE(SUBSTITUTE(MID(L1313,SEARCH("(",L1313)+1,SEARCH(")",L1313)-SEARCH("(",L1313)-1),"$",""),",","")," ","")),0),0))</f>
        <v>0</v>
      </c>
    </row>
    <row r="1314" spans="1:27">
      <c r="A1314" s="142">
        <v>45922</v>
      </c>
      <c r="B1314" s="143" t="s">
        <v>3284</v>
      </c>
      <c r="C1314" s="143" t="s">
        <v>184</v>
      </c>
      <c r="D1314" s="143" t="s">
        <v>30</v>
      </c>
      <c r="E1314" s="143" t="s">
        <v>30</v>
      </c>
      <c r="F1314" s="143" t="s">
        <v>3285</v>
      </c>
      <c r="G1314" s="143" t="s">
        <v>3281</v>
      </c>
      <c r="H1314" s="145" t="s">
        <v>27</v>
      </c>
      <c r="I1314" s="146"/>
      <c r="J1314" s="146"/>
      <c r="K1314" s="146"/>
      <c r="L1314" s="146"/>
      <c r="M1314" s="146"/>
      <c r="N1314" s="146"/>
      <c r="O1314" s="146"/>
      <c r="P1314" s="146"/>
      <c r="Q1314" s="146"/>
      <c r="R1314" s="143"/>
      <c r="S1314" s="143"/>
      <c r="T1314" s="143"/>
      <c r="U1314" s="143"/>
      <c r="AA1314">
        <f>IF(COUNTIF('Call Queue'!$H$6:$H$20,V1314)&gt;0,0,IF(AND(ISNUMBER(N1314),N1314&gt;0),10000000+N1314,IF(ISNUMBER(N1314*1),IF(N1314*1&gt;0,10000000+N1314*1,0),0))+IF(ISNUMBER(SEARCH("(",L1314)),1000000+IFERROR(VALUE(SUBSTITUTE(SUBSTITUTE(SUBSTITUTE(MID(L1314,SEARCH("(",L1314)+1,SEARCH(")",L1314)-SEARCH("(",L1314)-1),"$",""),",","")," ","")),0),0))</f>
        <v>0</v>
      </c>
    </row>
    <row r="1315" spans="1:27">
      <c r="A1315" s="137">
        <v>45922</v>
      </c>
      <c r="B1315" s="138" t="s">
        <v>3286</v>
      </c>
      <c r="C1315" s="138" t="s">
        <v>252</v>
      </c>
      <c r="D1315" s="138" t="s">
        <v>112</v>
      </c>
      <c r="E1315" s="138">
        <v>85378</v>
      </c>
      <c r="F1315" s="138" t="s">
        <v>3287</v>
      </c>
      <c r="G1315" s="138" t="s">
        <v>3281</v>
      </c>
      <c r="H1315" s="140" t="s">
        <v>27</v>
      </c>
      <c r="I1315" s="141"/>
      <c r="J1315" s="141"/>
      <c r="K1315" s="141"/>
      <c r="L1315" s="141"/>
      <c r="M1315" s="141"/>
      <c r="N1315" s="141"/>
      <c r="O1315" s="141"/>
      <c r="P1315" s="141"/>
      <c r="Q1315" s="141"/>
      <c r="R1315" s="138"/>
      <c r="S1315" s="138"/>
      <c r="T1315" s="138"/>
      <c r="U1315" s="138"/>
      <c r="AA1315">
        <f>IF(COUNTIF('Call Queue'!$H$6:$H$20,V1315)&gt;0,0,IF(AND(ISNUMBER(N1315),N1315&gt;0),10000000+N1315,IF(ISNUMBER(N1315*1),IF(N1315*1&gt;0,10000000+N1315*1,0),0))+IF(ISNUMBER(SEARCH("(",L1315)),1000000+IFERROR(VALUE(SUBSTITUTE(SUBSTITUTE(SUBSTITUTE(MID(L1315,SEARCH("(",L1315)+1,SEARCH(")",L1315)-SEARCH("(",L1315)-1),"$",""),",","")," ","")),0),0))</f>
        <v>0</v>
      </c>
    </row>
    <row r="1316" spans="1:27">
      <c r="A1316" s="142">
        <v>45922</v>
      </c>
      <c r="B1316" s="143" t="s">
        <v>3307</v>
      </c>
      <c r="C1316" s="143" t="s">
        <v>777</v>
      </c>
      <c r="D1316" s="143" t="s">
        <v>428</v>
      </c>
      <c r="E1316" s="143">
        <v>85335</v>
      </c>
      <c r="F1316" s="143" t="s">
        <v>3308</v>
      </c>
      <c r="G1316" s="143" t="s">
        <v>3281</v>
      </c>
      <c r="H1316" s="145" t="s">
        <v>90</v>
      </c>
      <c r="I1316" s="146"/>
      <c r="J1316" s="146"/>
      <c r="K1316" s="146"/>
      <c r="L1316" s="146"/>
      <c r="M1316" s="146"/>
      <c r="N1316" s="146"/>
      <c r="O1316" s="146"/>
      <c r="P1316" s="146"/>
      <c r="Q1316" s="146"/>
      <c r="R1316" s="143"/>
      <c r="S1316" s="143"/>
      <c r="T1316" s="143"/>
      <c r="U1316" s="143"/>
      <c r="AA1316">
        <f>IF(COUNTIF('Call Queue'!$H$6:$H$20,V1316)&gt;0,0,IF(AND(ISNUMBER(N1316),N1316&gt;0),10000000+N1316,IF(ISNUMBER(N1316*1),IF(N1316*1&gt;0,10000000+N1316*1,0),0))+IF(ISNUMBER(SEARCH("(",L1316)),1000000+IFERROR(VALUE(SUBSTITUTE(SUBSTITUTE(SUBSTITUTE(MID(L1316,SEARCH("(",L1316)+1,SEARCH(")",L1316)-SEARCH("(",L1316)-1),"$",""),",","")," ","")),0),0))</f>
        <v>0</v>
      </c>
    </row>
    <row r="1317" spans="1:27">
      <c r="A1317" s="142">
        <v>45922</v>
      </c>
      <c r="B1317" s="143" t="s">
        <v>365</v>
      </c>
      <c r="C1317" s="143" t="s">
        <v>256</v>
      </c>
      <c r="D1317" s="143" t="s">
        <v>174</v>
      </c>
      <c r="E1317" s="143">
        <v>85326</v>
      </c>
      <c r="F1317" s="143" t="s">
        <v>3317</v>
      </c>
      <c r="G1317" s="143" t="s">
        <v>3281</v>
      </c>
      <c r="H1317" s="145" t="s">
        <v>27</v>
      </c>
      <c r="I1317" s="146"/>
      <c r="J1317" s="146"/>
      <c r="K1317" s="146"/>
      <c r="L1317" s="146"/>
      <c r="M1317" s="146"/>
      <c r="N1317" s="146"/>
      <c r="O1317" s="146"/>
      <c r="P1317" s="146"/>
      <c r="Q1317" s="146"/>
      <c r="R1317" s="143"/>
      <c r="S1317" s="143"/>
      <c r="T1317" s="143"/>
      <c r="U1317" s="143"/>
      <c r="AA1317">
        <f>IF(COUNTIF('Call Queue'!$H$6:$H$20,V1317)&gt;0,0,IF(AND(ISNUMBER(N1317),N1317&gt;0),10000000+N1317,IF(ISNUMBER(N1317*1),IF(N1317*1&gt;0,10000000+N1317*1,0),0))+IF(ISNUMBER(SEARCH("(",L1317)),1000000+IFERROR(VALUE(SUBSTITUTE(SUBSTITUTE(SUBSTITUTE(MID(L1317,SEARCH("(",L1317)+1,SEARCH(")",L1317)-SEARCH("(",L1317)-1),"$",""),",","")," ","")),0),0))</f>
        <v>0</v>
      </c>
    </row>
    <row r="1318" spans="1:27">
      <c r="A1318" s="137">
        <v>45922</v>
      </c>
      <c r="B1318" s="138" t="s">
        <v>3318</v>
      </c>
      <c r="C1318" s="138" t="s">
        <v>624</v>
      </c>
      <c r="D1318" s="138" t="s">
        <v>174</v>
      </c>
      <c r="E1318" s="138">
        <v>85326</v>
      </c>
      <c r="F1318" s="138" t="s">
        <v>3319</v>
      </c>
      <c r="G1318" s="138" t="s">
        <v>3281</v>
      </c>
      <c r="H1318" s="140" t="s">
        <v>27</v>
      </c>
      <c r="I1318" s="141"/>
      <c r="J1318" s="141"/>
      <c r="K1318" s="141"/>
      <c r="L1318" s="141"/>
      <c r="M1318" s="141"/>
      <c r="N1318" s="141"/>
      <c r="O1318" s="141"/>
      <c r="P1318" s="141"/>
      <c r="Q1318" s="141"/>
      <c r="R1318" s="138"/>
      <c r="S1318" s="138"/>
      <c r="T1318" s="138"/>
      <c r="U1318" s="138"/>
      <c r="AA1318">
        <f>IF(COUNTIF('Call Queue'!$H$6:$H$20,V1318)&gt;0,0,IF(AND(ISNUMBER(N1318),N1318&gt;0),10000000+N1318,IF(ISNUMBER(N1318*1),IF(N1318*1&gt;0,10000000+N1318*1,0),0))+IF(ISNUMBER(SEARCH("(",L1318)),1000000+IFERROR(VALUE(SUBSTITUTE(SUBSTITUTE(SUBSTITUTE(MID(L1318,SEARCH("(",L1318)+1,SEARCH(")",L1318)-SEARCH("(",L1318)-1),"$",""),",","")," ","")),0),0))</f>
        <v>0</v>
      </c>
    </row>
    <row r="1319" spans="1:27">
      <c r="A1319" s="137">
        <v>45922</v>
      </c>
      <c r="B1319" s="138" t="s">
        <v>3324</v>
      </c>
      <c r="C1319" s="138" t="s">
        <v>2116</v>
      </c>
      <c r="D1319" s="138" t="s">
        <v>698</v>
      </c>
      <c r="E1319" s="138">
        <v>85375</v>
      </c>
      <c r="F1319" s="138" t="s">
        <v>3325</v>
      </c>
      <c r="G1319" s="138" t="s">
        <v>3326</v>
      </c>
      <c r="H1319" s="140" t="s">
        <v>27</v>
      </c>
      <c r="I1319" s="141"/>
      <c r="J1319" s="141"/>
      <c r="K1319" s="141"/>
      <c r="L1319" s="141"/>
      <c r="M1319" s="141"/>
      <c r="N1319" s="141"/>
      <c r="O1319" s="141"/>
      <c r="P1319" s="141"/>
      <c r="Q1319" s="141"/>
      <c r="R1319" s="138"/>
      <c r="S1319" s="138"/>
      <c r="T1319" s="138"/>
      <c r="U1319" s="138"/>
      <c r="AA1319">
        <f>IF(COUNTIF('Call Queue'!$H$6:$H$20,V1319)&gt;0,0,IF(AND(ISNUMBER(N1319),N1319&gt;0),10000000+N1319,IF(ISNUMBER(N1319*1),IF(N1319*1&gt;0,10000000+N1319*1,0),0))+IF(ISNUMBER(SEARCH("(",L1319)),1000000+IFERROR(VALUE(SUBSTITUTE(SUBSTITUTE(SUBSTITUTE(MID(L1319,SEARCH("(",L1319)+1,SEARCH(")",L1319)-SEARCH("(",L1319)-1),"$",""),",","")," ","")),0),0))</f>
        <v>0</v>
      </c>
    </row>
    <row r="1320" spans="1:27">
      <c r="A1320" s="142">
        <v>45923</v>
      </c>
      <c r="B1320" s="143" t="s">
        <v>3344</v>
      </c>
      <c r="C1320" s="143" t="s">
        <v>1634</v>
      </c>
      <c r="D1320" s="143" t="s">
        <v>169</v>
      </c>
      <c r="E1320" s="143">
        <v>85338</v>
      </c>
      <c r="F1320" s="143" t="s">
        <v>3345</v>
      </c>
      <c r="G1320" s="143" t="s">
        <v>3326</v>
      </c>
      <c r="H1320" s="145" t="s">
        <v>27</v>
      </c>
      <c r="I1320" s="146"/>
      <c r="J1320" s="146"/>
      <c r="K1320" s="146"/>
      <c r="L1320" s="146"/>
      <c r="M1320" s="146"/>
      <c r="N1320" s="146"/>
      <c r="O1320" s="146"/>
      <c r="P1320" s="146"/>
      <c r="Q1320" s="146"/>
      <c r="R1320" s="143"/>
      <c r="S1320" s="143"/>
      <c r="T1320" s="143"/>
      <c r="U1320" s="143"/>
      <c r="AA1320">
        <f>IF(COUNTIF('Call Queue'!$H$6:$H$20,V1320)&gt;0,0,IF(AND(ISNUMBER(N1320),N1320&gt;0),10000000+N1320,IF(ISNUMBER(N1320*1),IF(N1320*1&gt;0,10000000+N1320*1,0),0))+IF(ISNUMBER(SEARCH("(",L1320)),1000000+IFERROR(VALUE(SUBSTITUTE(SUBSTITUTE(SUBSTITUTE(MID(L1320,SEARCH("(",L1320)+1,SEARCH(")",L1320)-SEARCH("(",L1320)-1),"$",""),",","")," ","")),0),0))</f>
        <v>0</v>
      </c>
    </row>
    <row r="1321" spans="1:27">
      <c r="A1321" s="142">
        <v>45923</v>
      </c>
      <c r="B1321" s="143" t="s">
        <v>3350</v>
      </c>
      <c r="C1321" s="143" t="s">
        <v>3351</v>
      </c>
      <c r="D1321" s="143" t="s">
        <v>428</v>
      </c>
      <c r="E1321" s="143">
        <v>85335</v>
      </c>
      <c r="F1321" s="143" t="s">
        <v>3352</v>
      </c>
      <c r="G1321" s="143" t="s">
        <v>3353</v>
      </c>
      <c r="H1321" s="145" t="s">
        <v>27</v>
      </c>
      <c r="I1321" s="146"/>
      <c r="J1321" s="146"/>
      <c r="K1321" s="146"/>
      <c r="L1321" s="146"/>
      <c r="M1321" s="146"/>
      <c r="N1321" s="146"/>
      <c r="O1321" s="146"/>
      <c r="P1321" s="146"/>
      <c r="Q1321" s="146"/>
      <c r="R1321" s="143"/>
      <c r="S1321" s="143"/>
      <c r="T1321" s="143"/>
      <c r="U1321" s="143"/>
      <c r="AA1321">
        <f>IF(COUNTIF('Call Queue'!$H$6:$H$20,V1321)&gt;0,0,IF(AND(ISNUMBER(N1321),N1321&gt;0),10000000+N1321,IF(ISNUMBER(N1321*1),IF(N1321*1&gt;0,10000000+N1321*1,0),0))+IF(ISNUMBER(SEARCH("(",L1321)),1000000+IFERROR(VALUE(SUBSTITUTE(SUBSTITUTE(SUBSTITUTE(MID(L1321,SEARCH("(",L1321)+1,SEARCH(")",L1321)-SEARCH("(",L1321)-1),"$",""),",","")," ","")),0),0))</f>
        <v>0</v>
      </c>
    </row>
    <row r="1322" spans="1:27">
      <c r="A1322" s="137">
        <v>45926</v>
      </c>
      <c r="B1322" s="138" t="s">
        <v>246</v>
      </c>
      <c r="C1322" s="138" t="s">
        <v>3380</v>
      </c>
      <c r="D1322" s="138" t="s">
        <v>93</v>
      </c>
      <c r="E1322" s="138">
        <v>85351</v>
      </c>
      <c r="F1322" s="138" t="s">
        <v>3381</v>
      </c>
      <c r="G1322" s="138" t="s">
        <v>3382</v>
      </c>
      <c r="H1322" s="140" t="s">
        <v>27</v>
      </c>
      <c r="I1322" s="141"/>
      <c r="J1322" s="141"/>
      <c r="K1322" s="141"/>
      <c r="L1322" s="141"/>
      <c r="M1322" s="141"/>
      <c r="N1322" s="141"/>
      <c r="O1322" s="141"/>
      <c r="P1322" s="141"/>
      <c r="Q1322" s="141"/>
      <c r="R1322" s="138"/>
      <c r="S1322" s="138"/>
      <c r="T1322" s="138"/>
      <c r="U1322" s="138"/>
      <c r="AA1322">
        <f>IF(COUNTIF('Call Queue'!$H$6:$H$20,V1322)&gt;0,0,IF(AND(ISNUMBER(N1322),N1322&gt;0),10000000+N1322,IF(ISNUMBER(N1322*1),IF(N1322*1&gt;0,10000000+N1322*1,0),0))+IF(ISNUMBER(SEARCH("(",L1322)),1000000+IFERROR(VALUE(SUBSTITUTE(SUBSTITUTE(SUBSTITUTE(MID(L1322,SEARCH("(",L1322)+1,SEARCH(")",L1322)-SEARCH("(",L1322)-1),"$",""),",","")," ","")),0),0))</f>
        <v>0</v>
      </c>
    </row>
    <row r="1323" spans="1:27">
      <c r="A1323" s="142">
        <v>45929</v>
      </c>
      <c r="B1323" s="143" t="s">
        <v>3395</v>
      </c>
      <c r="C1323" s="143" t="s">
        <v>1423</v>
      </c>
      <c r="D1323" s="143" t="s">
        <v>63</v>
      </c>
      <c r="E1323" s="143">
        <v>85086</v>
      </c>
      <c r="F1323" s="143" t="s">
        <v>3396</v>
      </c>
      <c r="G1323" s="143" t="s">
        <v>3387</v>
      </c>
      <c r="H1323" s="145" t="s">
        <v>27</v>
      </c>
      <c r="I1323" s="146"/>
      <c r="J1323" s="146"/>
      <c r="K1323" s="146"/>
      <c r="L1323" s="146"/>
      <c r="M1323" s="146"/>
      <c r="N1323" s="146"/>
      <c r="O1323" s="146"/>
      <c r="P1323" s="146"/>
      <c r="Q1323" s="146"/>
      <c r="R1323" s="143"/>
      <c r="S1323" s="143"/>
      <c r="T1323" s="143"/>
      <c r="U1323" s="143"/>
      <c r="AA1323">
        <f>IF(COUNTIF('Call Queue'!$H$6:$H$20,V1323)&gt;0,0,IF(AND(ISNUMBER(N1323),N1323&gt;0),10000000+N1323,IF(ISNUMBER(N1323*1),IF(N1323*1&gt;0,10000000+N1323*1,0),0))+IF(ISNUMBER(SEARCH("(",L1323)),1000000+IFERROR(VALUE(SUBSTITUTE(SUBSTITUTE(SUBSTITUTE(MID(L1323,SEARCH("(",L1323)+1,SEARCH(")",L1323)-SEARCH("(",L1323)-1),"$",""),",","")," ","")),0),0))</f>
        <v>0</v>
      </c>
    </row>
    <row r="1324" spans="1:27">
      <c r="A1324" s="137">
        <v>45931</v>
      </c>
      <c r="B1324" s="138" t="s">
        <v>3431</v>
      </c>
      <c r="C1324" s="138" t="s">
        <v>3432</v>
      </c>
      <c r="D1324" s="138" t="s">
        <v>63</v>
      </c>
      <c r="E1324" s="138">
        <v>85032</v>
      </c>
      <c r="F1324" s="138" t="s">
        <v>3433</v>
      </c>
      <c r="G1324" s="138" t="s">
        <v>3434</v>
      </c>
      <c r="H1324" s="140" t="s">
        <v>90</v>
      </c>
      <c r="I1324" s="141"/>
      <c r="J1324" s="141"/>
      <c r="K1324" s="141"/>
      <c r="L1324" s="141"/>
      <c r="M1324" s="141"/>
      <c r="N1324" s="141"/>
      <c r="O1324" s="141"/>
      <c r="P1324" s="141"/>
      <c r="Q1324" s="141"/>
      <c r="R1324" s="138"/>
      <c r="S1324" s="138"/>
      <c r="T1324" s="138"/>
      <c r="U1324" s="138"/>
      <c r="AA1324">
        <f>IF(COUNTIF('Call Queue'!$H$6:$H$20,V1324)&gt;0,0,IF(AND(ISNUMBER(N1324),N1324&gt;0),10000000+N1324,IF(ISNUMBER(N1324*1),IF(N1324*1&gt;0,10000000+N1324*1,0),0))+IF(ISNUMBER(SEARCH("(",L1324)),1000000+IFERROR(VALUE(SUBSTITUTE(SUBSTITUTE(SUBSTITUTE(MID(L1324,SEARCH("(",L1324)+1,SEARCH(")",L1324)-SEARCH("(",L1324)-1),"$",""),",","")," ","")),0),0))</f>
        <v>0</v>
      </c>
    </row>
    <row r="1325" spans="1:27">
      <c r="A1325" s="142">
        <v>45935</v>
      </c>
      <c r="B1325" s="143" t="s">
        <v>3468</v>
      </c>
      <c r="C1325" s="143" t="s">
        <v>2931</v>
      </c>
      <c r="D1325" s="143" t="s">
        <v>63</v>
      </c>
      <c r="E1325" s="143">
        <v>85014</v>
      </c>
      <c r="F1325" s="143" t="s">
        <v>310</v>
      </c>
      <c r="G1325" s="143" t="s">
        <v>3456</v>
      </c>
      <c r="H1325" s="145" t="s">
        <v>27</v>
      </c>
      <c r="I1325" s="146"/>
      <c r="J1325" s="146"/>
      <c r="K1325" s="146"/>
      <c r="L1325" s="146"/>
      <c r="M1325" s="146"/>
      <c r="N1325" s="146"/>
      <c r="O1325" s="146"/>
      <c r="P1325" s="146"/>
      <c r="Q1325" s="146"/>
      <c r="R1325" s="143"/>
      <c r="S1325" s="143"/>
      <c r="T1325" s="143"/>
      <c r="U1325" s="143"/>
      <c r="AA1325">
        <f>IF(COUNTIF('Call Queue'!$H$6:$H$20,V1325)&gt;0,0,IF(AND(ISNUMBER(N1325),N1325&gt;0),10000000+N1325,IF(ISNUMBER(N1325*1),IF(N1325*1&gt;0,10000000+N1325*1,0),0))+IF(ISNUMBER(SEARCH("(",L1325)),1000000+IFERROR(VALUE(SUBSTITUTE(SUBSTITUTE(SUBSTITUTE(MID(L1325,SEARCH("(",L1325)+1,SEARCH(")",L1325)-SEARCH("(",L1325)-1),"$",""),",","")," ","")),0),0))</f>
        <v>0</v>
      </c>
    </row>
    <row r="1326" spans="1:27">
      <c r="A1326" s="142">
        <v>45936</v>
      </c>
      <c r="B1326" s="143" t="s">
        <v>3472</v>
      </c>
      <c r="C1326" s="143" t="s">
        <v>3473</v>
      </c>
      <c r="D1326" s="143" t="s">
        <v>63</v>
      </c>
      <c r="E1326" s="143">
        <v>85024</v>
      </c>
      <c r="F1326" s="143" t="s">
        <v>3474</v>
      </c>
      <c r="G1326" s="143" t="s">
        <v>3456</v>
      </c>
      <c r="H1326" s="145" t="s">
        <v>27</v>
      </c>
      <c r="I1326" s="146"/>
      <c r="J1326" s="146"/>
      <c r="K1326" s="146"/>
      <c r="L1326" s="146"/>
      <c r="M1326" s="146"/>
      <c r="N1326" s="146"/>
      <c r="O1326" s="146"/>
      <c r="P1326" s="146"/>
      <c r="Q1326" s="146"/>
      <c r="R1326" s="143"/>
      <c r="S1326" s="143"/>
      <c r="T1326" s="143"/>
      <c r="U1326" s="143"/>
      <c r="AA1326">
        <f>IF(COUNTIF('Call Queue'!$H$6:$H$20,V1326)&gt;0,0,IF(AND(ISNUMBER(N1326),N1326&gt;0),10000000+N1326,IF(ISNUMBER(N1326*1),IF(N1326*1&gt;0,10000000+N1326*1,0),0))+IF(ISNUMBER(SEARCH("(",L1326)),1000000+IFERROR(VALUE(SUBSTITUTE(SUBSTITUTE(SUBSTITUTE(MID(L1326,SEARCH("(",L1326)+1,SEARCH(")",L1326)-SEARCH("(",L1326)-1),"$",""),",","")," ","")),0),0))</f>
        <v>0</v>
      </c>
    </row>
    <row r="1327" spans="1:27">
      <c r="A1327" s="137">
        <v>45936</v>
      </c>
      <c r="B1327" s="138" t="s">
        <v>3475</v>
      </c>
      <c r="C1327" s="138" t="s">
        <v>1707</v>
      </c>
      <c r="D1327" s="138" t="s">
        <v>24</v>
      </c>
      <c r="E1327" s="138">
        <v>85308</v>
      </c>
      <c r="F1327" s="138" t="s">
        <v>3476</v>
      </c>
      <c r="G1327" s="138" t="s">
        <v>3456</v>
      </c>
      <c r="H1327" s="140" t="s">
        <v>27</v>
      </c>
      <c r="I1327" s="141"/>
      <c r="J1327" s="141"/>
      <c r="K1327" s="141"/>
      <c r="L1327" s="141"/>
      <c r="M1327" s="141"/>
      <c r="N1327" s="141"/>
      <c r="O1327" s="141"/>
      <c r="P1327" s="141"/>
      <c r="Q1327" s="141"/>
      <c r="R1327" s="138"/>
      <c r="S1327" s="138"/>
      <c r="T1327" s="138"/>
      <c r="U1327" s="138"/>
      <c r="AA1327">
        <f>IF(COUNTIF('Call Queue'!$H$6:$H$20,V1327)&gt;0,0,IF(AND(ISNUMBER(N1327),N1327&gt;0),10000000+N1327,IF(ISNUMBER(N1327*1),IF(N1327*1&gt;0,10000000+N1327*1,0),0))+IF(ISNUMBER(SEARCH("(",L1327)),1000000+IFERROR(VALUE(SUBSTITUTE(SUBSTITUTE(SUBSTITUTE(MID(L1327,SEARCH("(",L1327)+1,SEARCH(")",L1327)-SEARCH("(",L1327)-1),"$",""),",","")," ","")),0),0))</f>
        <v>0</v>
      </c>
    </row>
    <row r="1328" spans="1:27">
      <c r="A1328" s="137">
        <v>45938</v>
      </c>
      <c r="B1328" s="138" t="s">
        <v>3481</v>
      </c>
      <c r="C1328" s="138" t="s">
        <v>3482</v>
      </c>
      <c r="D1328" s="138" t="s">
        <v>112</v>
      </c>
      <c r="E1328" s="138">
        <v>85379</v>
      </c>
      <c r="F1328" s="138" t="s">
        <v>310</v>
      </c>
      <c r="G1328" s="138" t="s">
        <v>3158</v>
      </c>
      <c r="H1328" s="140" t="s">
        <v>90</v>
      </c>
      <c r="I1328" s="141"/>
      <c r="J1328" s="141"/>
      <c r="K1328" s="141"/>
      <c r="L1328" s="141"/>
      <c r="M1328" s="141"/>
      <c r="N1328" s="141"/>
      <c r="O1328" s="141"/>
      <c r="P1328" s="141"/>
      <c r="Q1328" s="141"/>
      <c r="R1328" s="138"/>
      <c r="S1328" s="138"/>
      <c r="T1328" s="138"/>
      <c r="U1328" s="138"/>
      <c r="AA1328">
        <f>IF(COUNTIF('Call Queue'!$H$6:$H$20,V1328)&gt;0,0,IF(AND(ISNUMBER(N1328),N1328&gt;0),10000000+N1328,IF(ISNUMBER(N1328*1),IF(N1328*1&gt;0,10000000+N1328*1,0),0))+IF(ISNUMBER(SEARCH("(",L1328)),1000000+IFERROR(VALUE(SUBSTITUTE(SUBSTITUTE(SUBSTITUTE(MID(L1328,SEARCH("(",L1328)+1,SEARCH(")",L1328)-SEARCH("(",L1328)-1),"$",""),",","")," ","")),0),0))</f>
        <v>0</v>
      </c>
    </row>
    <row r="1329" spans="1:27">
      <c r="A1329" s="137">
        <v>45938</v>
      </c>
      <c r="B1329" s="138" t="s">
        <v>3496</v>
      </c>
      <c r="C1329" s="138" t="s">
        <v>3497</v>
      </c>
      <c r="D1329" s="138" t="s">
        <v>3498</v>
      </c>
      <c r="E1329" s="138" t="s">
        <v>30</v>
      </c>
      <c r="F1329" s="138" t="s">
        <v>310</v>
      </c>
      <c r="G1329" s="138" t="s">
        <v>3494</v>
      </c>
      <c r="H1329" s="140" t="s">
        <v>27</v>
      </c>
      <c r="I1329" s="141"/>
      <c r="J1329" s="141"/>
      <c r="K1329" s="141"/>
      <c r="L1329" s="141"/>
      <c r="M1329" s="141"/>
      <c r="N1329" s="141"/>
      <c r="O1329" s="141"/>
      <c r="P1329" s="141"/>
      <c r="Q1329" s="141"/>
      <c r="R1329" s="138" t="s">
        <v>3499</v>
      </c>
      <c r="S1329" s="138"/>
      <c r="T1329" s="138"/>
      <c r="U1329" s="138"/>
      <c r="AA1329">
        <f>IF(COUNTIF('Call Queue'!$H$6:$H$20,V1329)&gt;0,0,IF(AND(ISNUMBER(N1329),N1329&gt;0),10000000+N1329,IF(ISNUMBER(N1329*1),IF(N1329*1&gt;0,10000000+N1329*1,0),0))+IF(ISNUMBER(SEARCH("(",L1329)),1000000+IFERROR(VALUE(SUBSTITUTE(SUBSTITUTE(SUBSTITUTE(MID(L1329,SEARCH("(",L1329)+1,SEARCH(")",L1329)-SEARCH("(",L1329)-1),"$",""),",","")," ","")),0),0))</f>
        <v>0</v>
      </c>
    </row>
    <row r="1330" spans="1:27">
      <c r="A1330" s="142">
        <v>45938</v>
      </c>
      <c r="B1330" s="143" t="s">
        <v>3500</v>
      </c>
      <c r="C1330" s="143" t="s">
        <v>3497</v>
      </c>
      <c r="D1330" s="143" t="s">
        <v>3498</v>
      </c>
      <c r="E1330" s="143" t="s">
        <v>30</v>
      </c>
      <c r="F1330" s="143" t="s">
        <v>310</v>
      </c>
      <c r="G1330" s="143" t="s">
        <v>3494</v>
      </c>
      <c r="H1330" s="145" t="s">
        <v>27</v>
      </c>
      <c r="I1330" s="146"/>
      <c r="J1330" s="146"/>
      <c r="K1330" s="146"/>
      <c r="L1330" s="146"/>
      <c r="M1330" s="146"/>
      <c r="N1330" s="146"/>
      <c r="O1330" s="146"/>
      <c r="P1330" s="146"/>
      <c r="Q1330" s="146"/>
      <c r="R1330" s="143" t="s">
        <v>3499</v>
      </c>
      <c r="S1330" s="143"/>
      <c r="T1330" s="143"/>
      <c r="U1330" s="143"/>
      <c r="AA1330">
        <f>IF(COUNTIF('Call Queue'!$H$6:$H$20,V1330)&gt;0,0,IF(AND(ISNUMBER(N1330),N1330&gt;0),10000000+N1330,IF(ISNUMBER(N1330*1),IF(N1330*1&gt;0,10000000+N1330*1,0),0))+IF(ISNUMBER(SEARCH("(",L1330)),1000000+IFERROR(VALUE(SUBSTITUTE(SUBSTITUTE(SUBSTITUTE(MID(L1330,SEARCH("(",L1330)+1,SEARCH(")",L1330)-SEARCH("(",L1330)-1),"$",""),",","")," ","")),0),0))</f>
        <v>0</v>
      </c>
    </row>
    <row r="1331" spans="1:27">
      <c r="A1331" s="142">
        <v>45938</v>
      </c>
      <c r="B1331" s="143" t="s">
        <v>3497</v>
      </c>
      <c r="C1331" s="143" t="s">
        <v>3500</v>
      </c>
      <c r="D1331" s="143" t="s">
        <v>3498</v>
      </c>
      <c r="E1331" s="143" t="s">
        <v>30</v>
      </c>
      <c r="F1331" s="143" t="s">
        <v>310</v>
      </c>
      <c r="G1331" s="143" t="s">
        <v>3494</v>
      </c>
      <c r="H1331" s="145" t="s">
        <v>27</v>
      </c>
      <c r="I1331" s="146"/>
      <c r="J1331" s="146"/>
      <c r="K1331" s="146"/>
      <c r="L1331" s="146"/>
      <c r="M1331" s="146"/>
      <c r="N1331" s="146"/>
      <c r="O1331" s="146"/>
      <c r="P1331" s="146"/>
      <c r="Q1331" s="146"/>
      <c r="R1331" s="143" t="s">
        <v>3499</v>
      </c>
      <c r="S1331" s="143"/>
      <c r="T1331" s="143"/>
      <c r="U1331" s="143"/>
      <c r="AA1331">
        <f>IF(COUNTIF('Call Queue'!$H$6:$H$20,V1331)&gt;0,0,IF(AND(ISNUMBER(N1331),N1331&gt;0),10000000+N1331,IF(ISNUMBER(N1331*1),IF(N1331*1&gt;0,10000000+N1331*1,0),0))+IF(ISNUMBER(SEARCH("(",L1331)),1000000+IFERROR(VALUE(SUBSTITUTE(SUBSTITUTE(SUBSTITUTE(MID(L1331,SEARCH("(",L1331)+1,SEARCH(")",L1331)-SEARCH("(",L1331)-1),"$",""),",","")," ","")),0),0))</f>
        <v>0</v>
      </c>
    </row>
    <row r="1332" spans="1:27">
      <c r="A1332" s="142">
        <v>45939</v>
      </c>
      <c r="B1332" s="143" t="s">
        <v>3509</v>
      </c>
      <c r="C1332" s="143" t="s">
        <v>801</v>
      </c>
      <c r="D1332" s="143" t="s">
        <v>63</v>
      </c>
      <c r="E1332" s="143">
        <v>85050</v>
      </c>
      <c r="F1332" s="143" t="s">
        <v>3510</v>
      </c>
      <c r="G1332" s="143" t="s">
        <v>3494</v>
      </c>
      <c r="H1332" s="145" t="s">
        <v>90</v>
      </c>
      <c r="I1332" s="146"/>
      <c r="J1332" s="146"/>
      <c r="K1332" s="146"/>
      <c r="L1332" s="146"/>
      <c r="M1332" s="146"/>
      <c r="N1332" s="146"/>
      <c r="O1332" s="146"/>
      <c r="P1332" s="146"/>
      <c r="Q1332" s="146"/>
      <c r="R1332" s="143"/>
      <c r="S1332" s="143"/>
      <c r="T1332" s="143"/>
      <c r="U1332" s="143"/>
      <c r="AA1332">
        <f>IF(COUNTIF('Call Queue'!$H$6:$H$20,V1332)&gt;0,0,IF(AND(ISNUMBER(N1332),N1332&gt;0),10000000+N1332,IF(ISNUMBER(N1332*1),IF(N1332*1&gt;0,10000000+N1332*1,0),0))+IF(ISNUMBER(SEARCH("(",L1332)),1000000+IFERROR(VALUE(SUBSTITUTE(SUBSTITUTE(SUBSTITUTE(MID(L1332,SEARCH("(",L1332)+1,SEARCH(")",L1332)-SEARCH("(",L1332)-1),"$",""),",","")," ","")),0),0))</f>
        <v>0</v>
      </c>
    </row>
    <row r="1333" spans="1:27">
      <c r="A1333" s="137">
        <v>45940</v>
      </c>
      <c r="B1333" s="138" t="s">
        <v>3511</v>
      </c>
      <c r="C1333" s="138" t="s">
        <v>135</v>
      </c>
      <c r="D1333" s="138" t="s">
        <v>169</v>
      </c>
      <c r="E1333" s="138">
        <v>85338</v>
      </c>
      <c r="F1333" s="138" t="s">
        <v>2251</v>
      </c>
      <c r="G1333" s="155" t="s">
        <v>3512</v>
      </c>
      <c r="H1333" s="140" t="s">
        <v>27</v>
      </c>
      <c r="I1333" s="141"/>
      <c r="J1333" s="141"/>
      <c r="K1333" s="141"/>
      <c r="L1333" s="141"/>
      <c r="M1333" s="141"/>
      <c r="N1333" s="141"/>
      <c r="O1333" s="141"/>
      <c r="P1333" s="141"/>
      <c r="Q1333" s="141"/>
      <c r="R1333" s="138"/>
      <c r="S1333" s="138"/>
      <c r="T1333" s="138"/>
      <c r="U1333" s="138"/>
      <c r="AA1333">
        <f>IF(COUNTIF('Call Queue'!$H$6:$H$20,V1333)&gt;0,0,IF(AND(ISNUMBER(N1333),N1333&gt;0),10000000+N1333,IF(ISNUMBER(N1333*1),IF(N1333*1&gt;0,10000000+N1333*1,0),0))+IF(ISNUMBER(SEARCH("(",L1333)),1000000+IFERROR(VALUE(SUBSTITUTE(SUBSTITUTE(SUBSTITUTE(MID(L1333,SEARCH("(",L1333)+1,SEARCH(")",L1333)-SEARCH("(",L1333)-1),"$",""),",","")," ","")),0),0))</f>
        <v>0</v>
      </c>
    </row>
    <row r="1334" spans="1:27">
      <c r="A1334" s="142">
        <v>45940</v>
      </c>
      <c r="B1334" s="143" t="s">
        <v>1134</v>
      </c>
      <c r="C1334" s="143" t="s">
        <v>312</v>
      </c>
      <c r="D1334" s="143" t="s">
        <v>24</v>
      </c>
      <c r="E1334" s="143">
        <v>85308</v>
      </c>
      <c r="F1334" s="143" t="s">
        <v>3525</v>
      </c>
      <c r="G1334" s="156" t="s">
        <v>3512</v>
      </c>
      <c r="H1334" s="145" t="s">
        <v>27</v>
      </c>
      <c r="I1334" s="146"/>
      <c r="J1334" s="146"/>
      <c r="K1334" s="146"/>
      <c r="L1334" s="146"/>
      <c r="M1334" s="146"/>
      <c r="N1334" s="146"/>
      <c r="O1334" s="146"/>
      <c r="P1334" s="146"/>
      <c r="Q1334" s="146"/>
      <c r="R1334" s="143"/>
      <c r="S1334" s="143"/>
      <c r="T1334" s="143"/>
      <c r="U1334" s="143"/>
      <c r="AA1334">
        <f>IF(COUNTIF('Call Queue'!$H$6:$H$20,V1334)&gt;0,0,IF(AND(ISNUMBER(N1334),N1334&gt;0),10000000+N1334,IF(ISNUMBER(N1334*1),IF(N1334*1&gt;0,10000000+N1334*1,0),0))+IF(ISNUMBER(SEARCH("(",L1334)),1000000+IFERROR(VALUE(SUBSTITUTE(SUBSTITUTE(SUBSTITUTE(MID(L1334,SEARCH("(",L1334)+1,SEARCH(")",L1334)-SEARCH("(",L1334)-1),"$",""),",","")," ","")),0),0))</f>
        <v>0</v>
      </c>
    </row>
    <row r="1335" spans="1:27">
      <c r="A1335" s="142">
        <v>45940</v>
      </c>
      <c r="B1335" s="143" t="s">
        <v>2175</v>
      </c>
      <c r="C1335" s="143" t="s">
        <v>1815</v>
      </c>
      <c r="D1335" s="143" t="s">
        <v>3538</v>
      </c>
      <c r="E1335" s="143">
        <v>85741</v>
      </c>
      <c r="F1335" s="143" t="s">
        <v>3531</v>
      </c>
      <c r="G1335" s="156" t="s">
        <v>3512</v>
      </c>
      <c r="H1335" s="145" t="s">
        <v>27</v>
      </c>
      <c r="I1335" s="146"/>
      <c r="J1335" s="146"/>
      <c r="K1335" s="146"/>
      <c r="L1335" s="146"/>
      <c r="M1335" s="146"/>
      <c r="N1335" s="146"/>
      <c r="O1335" s="146"/>
      <c r="P1335" s="146"/>
      <c r="Q1335" s="146"/>
      <c r="R1335" s="143"/>
      <c r="S1335" s="143"/>
      <c r="T1335" s="143"/>
      <c r="U1335" s="143"/>
      <c r="AA1335">
        <f>IF(COUNTIF('Call Queue'!$H$6:$H$20,V1335)&gt;0,0,IF(AND(ISNUMBER(N1335),N1335&gt;0),10000000+N1335,IF(ISNUMBER(N1335*1),IF(N1335*1&gt;0,10000000+N1335*1,0),0))+IF(ISNUMBER(SEARCH("(",L1335)),1000000+IFERROR(VALUE(SUBSTITUTE(SUBSTITUTE(SUBSTITUTE(MID(L1335,SEARCH("(",L1335)+1,SEARCH(")",L1335)-SEARCH("(",L1335)-1),"$",""),",","")," ","")),0),0))</f>
        <v>0</v>
      </c>
    </row>
    <row r="1336" spans="1:27">
      <c r="A1336" s="137">
        <v>45940</v>
      </c>
      <c r="B1336" s="138" t="s">
        <v>3539</v>
      </c>
      <c r="C1336" s="138" t="s">
        <v>3540</v>
      </c>
      <c r="D1336" s="138" t="s">
        <v>3538</v>
      </c>
      <c r="E1336" s="138">
        <v>85712</v>
      </c>
      <c r="F1336" s="138" t="s">
        <v>3531</v>
      </c>
      <c r="G1336" s="155" t="s">
        <v>3512</v>
      </c>
      <c r="H1336" s="140" t="s">
        <v>27</v>
      </c>
      <c r="I1336" s="141"/>
      <c r="J1336" s="141"/>
      <c r="K1336" s="141"/>
      <c r="L1336" s="141"/>
      <c r="M1336" s="141"/>
      <c r="N1336" s="141"/>
      <c r="O1336" s="141"/>
      <c r="P1336" s="141"/>
      <c r="Q1336" s="141"/>
      <c r="R1336" s="138"/>
      <c r="S1336" s="138"/>
      <c r="T1336" s="138"/>
      <c r="U1336" s="138"/>
      <c r="AA1336">
        <f>IF(COUNTIF('Call Queue'!$H$6:$H$20,V1336)&gt;0,0,IF(AND(ISNUMBER(N1336),N1336&gt;0),10000000+N1336,IF(ISNUMBER(N1336*1),IF(N1336*1&gt;0,10000000+N1336*1,0),0))+IF(ISNUMBER(SEARCH("(",L1336)),1000000+IFERROR(VALUE(SUBSTITUTE(SUBSTITUTE(SUBSTITUTE(MID(L1336,SEARCH("(",L1336)+1,SEARCH(")",L1336)-SEARCH("(",L1336)-1),"$",""),",","")," ","")),0),0))</f>
        <v>0</v>
      </c>
    </row>
    <row r="1337" spans="1:27">
      <c r="A1337" s="137">
        <v>45940</v>
      </c>
      <c r="B1337" s="138" t="s">
        <v>3558</v>
      </c>
      <c r="C1337" s="138" t="s">
        <v>3559</v>
      </c>
      <c r="D1337" s="138" t="s">
        <v>30</v>
      </c>
      <c r="E1337" s="138" t="s">
        <v>30</v>
      </c>
      <c r="F1337" s="138" t="s">
        <v>3560</v>
      </c>
      <c r="G1337" s="155" t="s">
        <v>3512</v>
      </c>
      <c r="H1337" s="140" t="s">
        <v>27</v>
      </c>
      <c r="I1337" s="141"/>
      <c r="J1337" s="141"/>
      <c r="K1337" s="141"/>
      <c r="L1337" s="141"/>
      <c r="M1337" s="141"/>
      <c r="N1337" s="141"/>
      <c r="O1337" s="141"/>
      <c r="P1337" s="141"/>
      <c r="Q1337" s="141"/>
      <c r="R1337" s="138"/>
      <c r="S1337" s="138"/>
      <c r="T1337" s="138"/>
      <c r="U1337" s="138"/>
      <c r="AA1337">
        <f>IF(COUNTIF('Call Queue'!$H$6:$H$20,V1337)&gt;0,0,IF(AND(ISNUMBER(N1337),N1337&gt;0),10000000+N1337,IF(ISNUMBER(N1337*1),IF(N1337*1&gt;0,10000000+N1337*1,0),0))+IF(ISNUMBER(SEARCH("(",L1337)),1000000+IFERROR(VALUE(SUBSTITUTE(SUBSTITUTE(SUBSTITUTE(MID(L1337,SEARCH("(",L1337)+1,SEARCH(")",L1337)-SEARCH("(",L1337)-1),"$",""),",","")," ","")),0),0))</f>
        <v>0</v>
      </c>
    </row>
    <row r="1338" spans="1:27">
      <c r="A1338" s="137">
        <v>45944</v>
      </c>
      <c r="B1338" s="138" t="s">
        <v>2594</v>
      </c>
      <c r="C1338" s="138" t="s">
        <v>3040</v>
      </c>
      <c r="D1338" s="138" t="s">
        <v>63</v>
      </c>
      <c r="E1338" s="138">
        <v>85041</v>
      </c>
      <c r="F1338" s="138" t="s">
        <v>3531</v>
      </c>
      <c r="G1338" s="138" t="s">
        <v>3563</v>
      </c>
      <c r="H1338" s="140" t="s">
        <v>27</v>
      </c>
      <c r="I1338" s="141"/>
      <c r="J1338" s="141"/>
      <c r="K1338" s="141"/>
      <c r="L1338" s="141"/>
      <c r="M1338" s="141"/>
      <c r="N1338" s="141"/>
      <c r="O1338" s="141"/>
      <c r="P1338" s="141"/>
      <c r="Q1338" s="141"/>
      <c r="R1338" s="138"/>
      <c r="S1338" s="138"/>
      <c r="T1338" s="138"/>
      <c r="U1338" s="138"/>
      <c r="AA1338">
        <f>IF(COUNTIF('Call Queue'!$H$6:$H$20,V1338)&gt;0,0,IF(AND(ISNUMBER(N1338),N1338&gt;0),10000000+N1338,IF(ISNUMBER(N1338*1),IF(N1338*1&gt;0,10000000+N1338*1,0),0))+IF(ISNUMBER(SEARCH("(",L1338)),1000000+IFERROR(VALUE(SUBSTITUTE(SUBSTITUTE(SUBSTITUTE(MID(L1338,SEARCH("(",L1338)+1,SEARCH(")",L1338)-SEARCH("(",L1338)-1),"$",""),",","")," ","")),0),0))</f>
        <v>0</v>
      </c>
    </row>
    <row r="1339" spans="1:27">
      <c r="A1339" s="137">
        <v>45944</v>
      </c>
      <c r="B1339" s="138" t="s">
        <v>3588</v>
      </c>
      <c r="C1339" s="138" t="s">
        <v>548</v>
      </c>
      <c r="D1339" s="138" t="s">
        <v>3589</v>
      </c>
      <c r="E1339" s="138">
        <v>85602</v>
      </c>
      <c r="F1339" s="138" t="s">
        <v>3531</v>
      </c>
      <c r="G1339" s="138" t="s">
        <v>3580</v>
      </c>
      <c r="H1339" s="140" t="s">
        <v>27</v>
      </c>
      <c r="I1339" s="141"/>
      <c r="J1339" s="141"/>
      <c r="K1339" s="141"/>
      <c r="L1339" s="141"/>
      <c r="M1339" s="141"/>
      <c r="N1339" s="141"/>
      <c r="O1339" s="141"/>
      <c r="P1339" s="141"/>
      <c r="Q1339" s="141"/>
      <c r="R1339" s="138" t="s">
        <v>3583</v>
      </c>
      <c r="S1339" s="138"/>
      <c r="T1339" s="138"/>
      <c r="U1339" s="138"/>
      <c r="AA1339">
        <f>IF(COUNTIF('Call Queue'!$H$6:$H$20,V1339)&gt;0,0,IF(AND(ISNUMBER(N1339),N1339&gt;0),10000000+N1339,IF(ISNUMBER(N1339*1),IF(N1339*1&gt;0,10000000+N1339*1,0),0))+IF(ISNUMBER(SEARCH("(",L1339)),1000000+IFERROR(VALUE(SUBSTITUTE(SUBSTITUTE(SUBSTITUTE(MID(L1339,SEARCH("(",L1339)+1,SEARCH(")",L1339)-SEARCH("(",L1339)-1),"$",""),",","")," ","")),0),0))</f>
        <v>0</v>
      </c>
    </row>
    <row r="1340" spans="1:27">
      <c r="A1340" s="142">
        <v>45944</v>
      </c>
      <c r="B1340" s="143" t="s">
        <v>3590</v>
      </c>
      <c r="C1340" s="143" t="s">
        <v>3591</v>
      </c>
      <c r="D1340" s="143" t="s">
        <v>3538</v>
      </c>
      <c r="E1340" s="143">
        <v>85747</v>
      </c>
      <c r="F1340" s="143" t="s">
        <v>3531</v>
      </c>
      <c r="G1340" s="143" t="s">
        <v>3580</v>
      </c>
      <c r="H1340" s="145" t="s">
        <v>27</v>
      </c>
      <c r="I1340" s="146"/>
      <c r="J1340" s="146"/>
      <c r="K1340" s="146"/>
      <c r="L1340" s="146"/>
      <c r="M1340" s="146"/>
      <c r="N1340" s="146"/>
      <c r="O1340" s="146"/>
      <c r="P1340" s="146"/>
      <c r="Q1340" s="146"/>
      <c r="R1340" s="143" t="s">
        <v>3583</v>
      </c>
      <c r="S1340" s="143"/>
      <c r="T1340" s="143"/>
      <c r="U1340" s="143"/>
      <c r="AA1340">
        <f>IF(COUNTIF('Call Queue'!$H$6:$H$20,V1340)&gt;0,0,IF(AND(ISNUMBER(N1340),N1340&gt;0),10000000+N1340,IF(ISNUMBER(N1340*1),IF(N1340*1&gt;0,10000000+N1340*1,0),0))+IF(ISNUMBER(SEARCH("(",L1340)),1000000+IFERROR(VALUE(SUBSTITUTE(SUBSTITUTE(SUBSTITUTE(MID(L1340,SEARCH("(",L1340)+1,SEARCH(")",L1340)-SEARCH("(",L1340)-1),"$",""),",","")," ","")),0),0))</f>
        <v>0</v>
      </c>
    </row>
    <row r="1341" spans="1:27">
      <c r="A1341" s="137">
        <v>45944</v>
      </c>
      <c r="B1341" s="138" t="s">
        <v>3592</v>
      </c>
      <c r="C1341" s="138" t="s">
        <v>256</v>
      </c>
      <c r="D1341" s="138" t="s">
        <v>63</v>
      </c>
      <c r="E1341" s="138">
        <v>85032</v>
      </c>
      <c r="F1341" s="138" t="s">
        <v>3531</v>
      </c>
      <c r="G1341" s="138" t="s">
        <v>3580</v>
      </c>
      <c r="H1341" s="140" t="s">
        <v>27</v>
      </c>
      <c r="I1341" s="141"/>
      <c r="J1341" s="141"/>
      <c r="K1341" s="141"/>
      <c r="L1341" s="141"/>
      <c r="M1341" s="141"/>
      <c r="N1341" s="141"/>
      <c r="O1341" s="141"/>
      <c r="P1341" s="141"/>
      <c r="Q1341" s="141"/>
      <c r="R1341" s="138" t="s">
        <v>3583</v>
      </c>
      <c r="S1341" s="138"/>
      <c r="T1341" s="138"/>
      <c r="U1341" s="138"/>
      <c r="AA1341">
        <f>IF(COUNTIF('Call Queue'!$H$6:$H$20,V1341)&gt;0,0,IF(AND(ISNUMBER(N1341),N1341&gt;0),10000000+N1341,IF(ISNUMBER(N1341*1),IF(N1341*1&gt;0,10000000+N1341*1,0),0))+IF(ISNUMBER(SEARCH("(",L1341)),1000000+IFERROR(VALUE(SUBSTITUTE(SUBSTITUTE(SUBSTITUTE(MID(L1341,SEARCH("(",L1341)+1,SEARCH(")",L1341)-SEARCH("(",L1341)-1),"$",""),",","")," ","")),0),0))</f>
        <v>0</v>
      </c>
    </row>
    <row r="1342" spans="1:27">
      <c r="A1342" s="142">
        <v>45944</v>
      </c>
      <c r="B1342" s="143" t="s">
        <v>2175</v>
      </c>
      <c r="C1342" s="143" t="s">
        <v>1815</v>
      </c>
      <c r="D1342" s="143" t="s">
        <v>3538</v>
      </c>
      <c r="E1342" s="143" t="s">
        <v>30</v>
      </c>
      <c r="F1342" s="143" t="s">
        <v>3531</v>
      </c>
      <c r="G1342" s="143" t="s">
        <v>3598</v>
      </c>
      <c r="H1342" s="145" t="s">
        <v>27</v>
      </c>
      <c r="I1342" s="146"/>
      <c r="J1342" s="146"/>
      <c r="K1342" s="146"/>
      <c r="L1342" s="146"/>
      <c r="M1342" s="146"/>
      <c r="N1342" s="146"/>
      <c r="O1342" s="146"/>
      <c r="P1342" s="146"/>
      <c r="Q1342" s="146"/>
      <c r="R1342" s="143"/>
      <c r="S1342" s="143"/>
      <c r="T1342" s="143"/>
      <c r="U1342" s="143"/>
      <c r="AA1342">
        <f>IF(COUNTIF('Call Queue'!$H$6:$H$20,V1342)&gt;0,0,IF(AND(ISNUMBER(N1342),N1342&gt;0),10000000+N1342,IF(ISNUMBER(N1342*1),IF(N1342*1&gt;0,10000000+N1342*1,0),0))+IF(ISNUMBER(SEARCH("(",L1342)),1000000+IFERROR(VALUE(SUBSTITUTE(SUBSTITUTE(SUBSTITUTE(MID(L1342,SEARCH("(",L1342)+1,SEARCH(")",L1342)-SEARCH("(",L1342)-1),"$",""),",","")," ","")),0),0))</f>
        <v>0</v>
      </c>
    </row>
    <row r="1343" spans="1:27">
      <c r="A1343" s="137">
        <v>45944</v>
      </c>
      <c r="B1343" s="138" t="s">
        <v>3599</v>
      </c>
      <c r="C1343" s="138" t="s">
        <v>228</v>
      </c>
      <c r="D1343" s="138" t="s">
        <v>3538</v>
      </c>
      <c r="E1343" s="138" t="s">
        <v>30</v>
      </c>
      <c r="F1343" s="138" t="s">
        <v>3531</v>
      </c>
      <c r="G1343" s="138" t="s">
        <v>3598</v>
      </c>
      <c r="H1343" s="140" t="s">
        <v>27</v>
      </c>
      <c r="I1343" s="141"/>
      <c r="J1343" s="141"/>
      <c r="K1343" s="141"/>
      <c r="L1343" s="141"/>
      <c r="M1343" s="141"/>
      <c r="N1343" s="141"/>
      <c r="O1343" s="141"/>
      <c r="P1343" s="141"/>
      <c r="Q1343" s="141"/>
      <c r="R1343" s="138"/>
      <c r="S1343" s="138"/>
      <c r="T1343" s="138"/>
      <c r="U1343" s="138"/>
      <c r="AA1343">
        <f>IF(COUNTIF('Call Queue'!$H$6:$H$20,V1343)&gt;0,0,IF(AND(ISNUMBER(N1343),N1343&gt;0),10000000+N1343,IF(ISNUMBER(N1343*1),IF(N1343*1&gt;0,10000000+N1343*1,0),0))+IF(ISNUMBER(SEARCH("(",L1343)),1000000+IFERROR(VALUE(SUBSTITUTE(SUBSTITUTE(SUBSTITUTE(MID(L1343,SEARCH("(",L1343)+1,SEARCH(")",L1343)-SEARCH("(",L1343)-1),"$",""),",","")," ","")),0),0))</f>
        <v>0</v>
      </c>
    </row>
    <row r="1344" spans="1:27">
      <c r="A1344" s="142">
        <v>45944</v>
      </c>
      <c r="B1344" s="143" t="s">
        <v>1116</v>
      </c>
      <c r="C1344" s="143" t="s">
        <v>3600</v>
      </c>
      <c r="D1344" s="143" t="s">
        <v>3538</v>
      </c>
      <c r="E1344" s="143" t="s">
        <v>30</v>
      </c>
      <c r="F1344" s="143" t="s">
        <v>3531</v>
      </c>
      <c r="G1344" s="143" t="s">
        <v>3598</v>
      </c>
      <c r="H1344" s="145" t="s">
        <v>27</v>
      </c>
      <c r="I1344" s="146"/>
      <c r="J1344" s="146"/>
      <c r="K1344" s="146"/>
      <c r="L1344" s="146"/>
      <c r="M1344" s="146"/>
      <c r="N1344" s="146"/>
      <c r="O1344" s="146"/>
      <c r="P1344" s="146"/>
      <c r="Q1344" s="146"/>
      <c r="R1344" s="143"/>
      <c r="S1344" s="143"/>
      <c r="T1344" s="143"/>
      <c r="U1344" s="143"/>
      <c r="AA1344">
        <f>IF(COUNTIF('Call Queue'!$H$6:$H$20,V1344)&gt;0,0,IF(AND(ISNUMBER(N1344),N1344&gt;0),10000000+N1344,IF(ISNUMBER(N1344*1),IF(N1344*1&gt;0,10000000+N1344*1,0),0))+IF(ISNUMBER(SEARCH("(",L1344)),1000000+IFERROR(VALUE(SUBSTITUTE(SUBSTITUTE(SUBSTITUTE(MID(L1344,SEARCH("(",L1344)+1,SEARCH(")",L1344)-SEARCH("(",L1344)-1),"$",""),",","")," ","")),0),0))</f>
        <v>0</v>
      </c>
    </row>
    <row r="1345" spans="1:27">
      <c r="A1345" s="137">
        <v>45945</v>
      </c>
      <c r="B1345" s="138" t="s">
        <v>2594</v>
      </c>
      <c r="C1345" s="138" t="s">
        <v>3040</v>
      </c>
      <c r="D1345" s="138" t="s">
        <v>63</v>
      </c>
      <c r="E1345" s="138">
        <v>85041</v>
      </c>
      <c r="F1345" s="138" t="s">
        <v>3531</v>
      </c>
      <c r="G1345" s="138" t="s">
        <v>3604</v>
      </c>
      <c r="H1345" s="140" t="s">
        <v>27</v>
      </c>
      <c r="I1345" s="141"/>
      <c r="J1345" s="141"/>
      <c r="K1345" s="141"/>
      <c r="L1345" s="141"/>
      <c r="M1345" s="141"/>
      <c r="N1345" s="141"/>
      <c r="O1345" s="141"/>
      <c r="P1345" s="141"/>
      <c r="Q1345" s="141"/>
      <c r="R1345" s="138"/>
      <c r="S1345" s="138"/>
      <c r="T1345" s="138"/>
      <c r="U1345" s="138"/>
      <c r="AA1345">
        <f>IF(COUNTIF('Call Queue'!$H$6:$H$20,V1345)&gt;0,0,IF(AND(ISNUMBER(N1345),N1345&gt;0),10000000+N1345,IF(ISNUMBER(N1345*1),IF(N1345*1&gt;0,10000000+N1345*1,0),0))+IF(ISNUMBER(SEARCH("(",L1345)),1000000+IFERROR(VALUE(SUBSTITUTE(SUBSTITUTE(SUBSTITUTE(MID(L1345,SEARCH("(",L1345)+1,SEARCH(")",L1345)-SEARCH("(",L1345)-1),"$",""),",","")," ","")),0),0))</f>
        <v>0</v>
      </c>
    </row>
    <row r="1346" spans="1:27">
      <c r="A1346" s="142">
        <v>45945</v>
      </c>
      <c r="B1346" s="143" t="s">
        <v>281</v>
      </c>
      <c r="C1346" s="143" t="s">
        <v>153</v>
      </c>
      <c r="D1346" s="143" t="s">
        <v>24</v>
      </c>
      <c r="E1346" s="143" t="s">
        <v>30</v>
      </c>
      <c r="F1346" s="143" t="s">
        <v>3610</v>
      </c>
      <c r="G1346" s="143" t="s">
        <v>3611</v>
      </c>
      <c r="H1346" s="145" t="s">
        <v>27</v>
      </c>
      <c r="I1346" s="146"/>
      <c r="J1346" s="146"/>
      <c r="K1346" s="146"/>
      <c r="L1346" s="146"/>
      <c r="M1346" s="146"/>
      <c r="N1346" s="146"/>
      <c r="O1346" s="146"/>
      <c r="P1346" s="146"/>
      <c r="Q1346" s="146"/>
      <c r="R1346" s="143"/>
      <c r="S1346" s="143"/>
      <c r="T1346" s="143"/>
      <c r="U1346" s="143"/>
      <c r="AA1346">
        <f>IF(COUNTIF('Call Queue'!$H$6:$H$20,V1346)&gt;0,0,IF(AND(ISNUMBER(N1346),N1346&gt;0),10000000+N1346,IF(ISNUMBER(N1346*1),IF(N1346*1&gt;0,10000000+N1346*1,0),0))+IF(ISNUMBER(SEARCH("(",L1346)),1000000+IFERROR(VALUE(SUBSTITUTE(SUBSTITUTE(SUBSTITUTE(MID(L1346,SEARCH("(",L1346)+1,SEARCH(")",L1346)-SEARCH("(",L1346)-1),"$",""),",","")," ","")),0),0))</f>
        <v>0</v>
      </c>
    </row>
    <row r="1347" spans="1:27">
      <c r="A1347" s="137">
        <v>45946</v>
      </c>
      <c r="B1347" s="138" t="s">
        <v>3630</v>
      </c>
      <c r="C1347" s="138" t="s">
        <v>3631</v>
      </c>
      <c r="D1347" s="138" t="s">
        <v>635</v>
      </c>
      <c r="E1347" s="138">
        <v>85281</v>
      </c>
      <c r="F1347" s="138" t="s">
        <v>310</v>
      </c>
      <c r="G1347" s="138" t="s">
        <v>3623</v>
      </c>
      <c r="H1347" s="140" t="s">
        <v>90</v>
      </c>
      <c r="I1347" s="141"/>
      <c r="J1347" s="141"/>
      <c r="K1347" s="141"/>
      <c r="L1347" s="141"/>
      <c r="M1347" s="141"/>
      <c r="N1347" s="141"/>
      <c r="O1347" s="141"/>
      <c r="P1347" s="141"/>
      <c r="Q1347" s="141"/>
      <c r="R1347" s="138"/>
      <c r="S1347" s="138"/>
      <c r="T1347" s="138"/>
      <c r="U1347" s="138"/>
      <c r="AA1347">
        <f>IF(COUNTIF('Call Queue'!$H$6:$H$20,V1347)&gt;0,0,IF(AND(ISNUMBER(N1347),N1347&gt;0),10000000+N1347,IF(ISNUMBER(N1347*1),IF(N1347*1&gt;0,10000000+N1347*1,0),0))+IF(ISNUMBER(SEARCH("(",L1347)),1000000+IFERROR(VALUE(SUBSTITUTE(SUBSTITUTE(SUBSTITUTE(MID(L1347,SEARCH("(",L1347)+1,SEARCH(")",L1347)-SEARCH("(",L1347)-1),"$",""),",","")," ","")),0),0))</f>
        <v>0</v>
      </c>
    </row>
    <row r="1348" spans="1:27">
      <c r="A1348" s="142">
        <v>45947</v>
      </c>
      <c r="B1348" s="143" t="s">
        <v>3644</v>
      </c>
      <c r="C1348" s="143" t="s">
        <v>707</v>
      </c>
      <c r="D1348" s="143" t="s">
        <v>30</v>
      </c>
      <c r="E1348" s="143" t="s">
        <v>30</v>
      </c>
      <c r="F1348" s="143" t="s">
        <v>3645</v>
      </c>
      <c r="G1348" s="143" t="s">
        <v>3643</v>
      </c>
      <c r="H1348" s="145" t="s">
        <v>90</v>
      </c>
      <c r="I1348" s="146"/>
      <c r="J1348" s="146"/>
      <c r="K1348" s="146"/>
      <c r="L1348" s="146"/>
      <c r="M1348" s="146"/>
      <c r="N1348" s="146"/>
      <c r="O1348" s="146"/>
      <c r="P1348" s="146"/>
      <c r="Q1348" s="146"/>
      <c r="R1348" s="143"/>
      <c r="S1348" s="143"/>
      <c r="T1348" s="143"/>
      <c r="U1348" s="143"/>
      <c r="AA1348">
        <f>IF(COUNTIF('Call Queue'!$H$6:$H$20,V1348)&gt;0,0,IF(AND(ISNUMBER(N1348),N1348&gt;0),10000000+N1348,IF(ISNUMBER(N1348*1),IF(N1348*1&gt;0,10000000+N1348*1,0),0))+IF(ISNUMBER(SEARCH("(",L1348)),1000000+IFERROR(VALUE(SUBSTITUTE(SUBSTITUTE(SUBSTITUTE(MID(L1348,SEARCH("(",L1348)+1,SEARCH(")",L1348)-SEARCH("(",L1348)-1),"$",""),",","")," ","")),0),0))</f>
        <v>0</v>
      </c>
    </row>
    <row r="1349" spans="1:27">
      <c r="A1349" s="142">
        <v>45947</v>
      </c>
      <c r="B1349" s="143" t="s">
        <v>3649</v>
      </c>
      <c r="C1349" s="143" t="s">
        <v>575</v>
      </c>
      <c r="D1349" s="143" t="s">
        <v>3650</v>
      </c>
      <c r="E1349" s="143"/>
      <c r="F1349" s="143" t="s">
        <v>3651</v>
      </c>
      <c r="G1349" s="143" t="s">
        <v>3652</v>
      </c>
      <c r="H1349" s="145" t="s">
        <v>27</v>
      </c>
      <c r="I1349" s="146"/>
      <c r="J1349" s="146"/>
      <c r="K1349" s="146"/>
      <c r="L1349" s="146"/>
      <c r="M1349" s="146"/>
      <c r="N1349" s="146"/>
      <c r="O1349" s="146"/>
      <c r="P1349" s="146"/>
      <c r="Q1349" s="146"/>
      <c r="R1349" s="143"/>
      <c r="S1349" s="143"/>
      <c r="T1349" s="143"/>
      <c r="U1349" s="143"/>
      <c r="AA1349">
        <f>IF(COUNTIF('Call Queue'!$H$6:$H$20,V1349)&gt;0,0,IF(AND(ISNUMBER(N1349),N1349&gt;0),10000000+N1349,IF(ISNUMBER(N1349*1),IF(N1349*1&gt;0,10000000+N1349*1,0),0))+IF(ISNUMBER(SEARCH("(",L1349)),1000000+IFERROR(VALUE(SUBSTITUTE(SUBSTITUTE(SUBSTITUTE(MID(L1349,SEARCH("(",L1349)+1,SEARCH(")",L1349)-SEARCH("(",L1349)-1),"$",""),",","")," ","")),0),0))</f>
        <v>0</v>
      </c>
    </row>
    <row r="1350" spans="1:27">
      <c r="A1350" s="137">
        <v>45947</v>
      </c>
      <c r="B1350" s="138" t="s">
        <v>3653</v>
      </c>
      <c r="C1350" s="138" t="s">
        <v>1475</v>
      </c>
      <c r="D1350" s="138" t="s">
        <v>30</v>
      </c>
      <c r="E1350" s="138" t="s">
        <v>30</v>
      </c>
      <c r="F1350" s="138" t="s">
        <v>3651</v>
      </c>
      <c r="G1350" s="138" t="s">
        <v>3652</v>
      </c>
      <c r="H1350" s="140" t="s">
        <v>27</v>
      </c>
      <c r="I1350" s="141"/>
      <c r="J1350" s="141"/>
      <c r="K1350" s="141"/>
      <c r="L1350" s="141"/>
      <c r="M1350" s="141"/>
      <c r="N1350" s="141"/>
      <c r="O1350" s="141"/>
      <c r="P1350" s="141"/>
      <c r="Q1350" s="141"/>
      <c r="R1350" s="138"/>
      <c r="S1350" s="138"/>
      <c r="T1350" s="138"/>
      <c r="U1350" s="138"/>
      <c r="AA1350">
        <f>IF(COUNTIF('Call Queue'!$H$6:$H$20,V1350)&gt;0,0,IF(AND(ISNUMBER(N1350),N1350&gt;0),10000000+N1350,IF(ISNUMBER(N1350*1),IF(N1350*1&gt;0,10000000+N1350*1,0),0))+IF(ISNUMBER(SEARCH("(",L1350)),1000000+IFERROR(VALUE(SUBSTITUTE(SUBSTITUTE(SUBSTITUTE(MID(L1350,SEARCH("(",L1350)+1,SEARCH(")",L1350)-SEARCH("(",L1350)-1),"$",""),",","")," ","")),0),0))</f>
        <v>0</v>
      </c>
    </row>
    <row r="1351" spans="1:27">
      <c r="A1351" s="137">
        <v>45951</v>
      </c>
      <c r="B1351" s="138" t="s">
        <v>3666</v>
      </c>
      <c r="C1351" s="138" t="s">
        <v>680</v>
      </c>
      <c r="D1351" s="138" t="s">
        <v>63</v>
      </c>
      <c r="E1351" s="138">
        <v>85014</v>
      </c>
      <c r="F1351" s="138" t="s">
        <v>3667</v>
      </c>
      <c r="G1351" s="138" t="s">
        <v>3668</v>
      </c>
      <c r="H1351" s="140" t="s">
        <v>90</v>
      </c>
      <c r="I1351" s="141"/>
      <c r="J1351" s="141"/>
      <c r="K1351" s="141"/>
      <c r="L1351" s="141"/>
      <c r="M1351" s="141"/>
      <c r="N1351" s="141"/>
      <c r="O1351" s="141"/>
      <c r="P1351" s="141"/>
      <c r="Q1351" s="141"/>
      <c r="R1351" s="138"/>
      <c r="S1351" s="138"/>
      <c r="T1351" s="138"/>
      <c r="U1351" s="138"/>
      <c r="AA1351">
        <f>IF(COUNTIF('Call Queue'!$H$6:$H$20,V1351)&gt;0,0,IF(AND(ISNUMBER(N1351),N1351&gt;0),10000000+N1351,IF(ISNUMBER(N1351*1),IF(N1351*1&gt;0,10000000+N1351*1,0),0))+IF(ISNUMBER(SEARCH("(",L1351)),1000000+IFERROR(VALUE(SUBSTITUTE(SUBSTITUTE(SUBSTITUTE(MID(L1351,SEARCH("(",L1351)+1,SEARCH(")",L1351)-SEARCH("(",L1351)-1),"$",""),",","")," ","")),0),0))</f>
        <v>0</v>
      </c>
    </row>
    <row r="1352" spans="1:27">
      <c r="A1352" s="142">
        <v>45952</v>
      </c>
      <c r="B1352" s="143" t="s">
        <v>2566</v>
      </c>
      <c r="C1352" s="143" t="s">
        <v>1905</v>
      </c>
      <c r="D1352" s="143" t="s">
        <v>635</v>
      </c>
      <c r="E1352" s="143">
        <v>85282</v>
      </c>
      <c r="F1352" s="143" t="s">
        <v>3669</v>
      </c>
      <c r="G1352" s="143" t="s">
        <v>3668</v>
      </c>
      <c r="H1352" s="145" t="s">
        <v>27</v>
      </c>
      <c r="I1352" s="146"/>
      <c r="J1352" s="146"/>
      <c r="K1352" s="146"/>
      <c r="L1352" s="146"/>
      <c r="M1352" s="146"/>
      <c r="N1352" s="146"/>
      <c r="O1352" s="146"/>
      <c r="P1352" s="146"/>
      <c r="Q1352" s="146"/>
      <c r="R1352" s="143"/>
      <c r="S1352" s="143"/>
      <c r="T1352" s="143"/>
      <c r="U1352" s="143"/>
      <c r="AA1352">
        <f>IF(COUNTIF('Call Queue'!$H$6:$H$20,V1352)&gt;0,0,IF(AND(ISNUMBER(N1352),N1352&gt;0),10000000+N1352,IF(ISNUMBER(N1352*1),IF(N1352*1&gt;0,10000000+N1352*1,0),0))+IF(ISNUMBER(SEARCH("(",L1352)),1000000+IFERROR(VALUE(SUBSTITUTE(SUBSTITUTE(SUBSTITUTE(MID(L1352,SEARCH("(",L1352)+1,SEARCH(")",L1352)-SEARCH("(",L1352)-1),"$",""),",","")," ","")),0),0))</f>
        <v>0</v>
      </c>
    </row>
    <row r="1353" spans="1:27">
      <c r="A1353" s="142">
        <v>45952</v>
      </c>
      <c r="B1353" s="143" t="s">
        <v>3675</v>
      </c>
      <c r="C1353" s="143" t="s">
        <v>228</v>
      </c>
      <c r="D1353" s="143" t="s">
        <v>174</v>
      </c>
      <c r="E1353" s="143">
        <v>85326</v>
      </c>
      <c r="F1353" s="143" t="s">
        <v>3676</v>
      </c>
      <c r="G1353" s="143" t="s">
        <v>3677</v>
      </c>
      <c r="H1353" s="145" t="s">
        <v>27</v>
      </c>
      <c r="I1353" s="146"/>
      <c r="J1353" s="146"/>
      <c r="K1353" s="146"/>
      <c r="L1353" s="146"/>
      <c r="M1353" s="146"/>
      <c r="N1353" s="146"/>
      <c r="O1353" s="146"/>
      <c r="P1353" s="146"/>
      <c r="Q1353" s="157"/>
      <c r="R1353" s="143"/>
      <c r="S1353" s="143"/>
      <c r="T1353" s="143"/>
      <c r="U1353" s="143"/>
      <c r="AA1353">
        <f>IF(COUNTIF('Call Queue'!$H$6:$H$20,V1353)&gt;0,0,IF(AND(ISNUMBER(N1353),N1353&gt;0),10000000+N1353,IF(ISNUMBER(N1353*1),IF(N1353*1&gt;0,10000000+N1353*1,0),0))+IF(ISNUMBER(SEARCH("(",L1353)),1000000+IFERROR(VALUE(SUBSTITUTE(SUBSTITUTE(SUBSTITUTE(MID(L1353,SEARCH("(",L1353)+1,SEARCH(")",L1353)-SEARCH("(",L1353)-1),"$",""),",","")," ","")),0),0))</f>
        <v>0</v>
      </c>
    </row>
    <row r="1354" spans="1:27">
      <c r="A1354" s="137">
        <v>45953</v>
      </c>
      <c r="B1354" s="138" t="s">
        <v>2601</v>
      </c>
      <c r="C1354" s="138" t="s">
        <v>1824</v>
      </c>
      <c r="D1354" s="138" t="s">
        <v>63</v>
      </c>
      <c r="E1354" s="138">
        <v>85019</v>
      </c>
      <c r="F1354" s="138" t="s">
        <v>3531</v>
      </c>
      <c r="G1354" s="138" t="s">
        <v>3677</v>
      </c>
      <c r="H1354" s="140" t="s">
        <v>90</v>
      </c>
      <c r="I1354" s="141"/>
      <c r="J1354" s="141"/>
      <c r="K1354" s="141"/>
      <c r="L1354" s="141"/>
      <c r="M1354" s="141"/>
      <c r="N1354" s="141"/>
      <c r="O1354" s="141"/>
      <c r="P1354" s="141"/>
      <c r="Q1354" s="141"/>
      <c r="R1354" s="138"/>
      <c r="S1354" s="138"/>
      <c r="T1354" s="138"/>
      <c r="U1354" s="138"/>
      <c r="AA1354">
        <f>IF(COUNTIF('Call Queue'!$H$6:$H$20,V1354)&gt;0,0,IF(AND(ISNUMBER(N1354),N1354&gt;0),10000000+N1354,IF(ISNUMBER(N1354*1),IF(N1354*1&gt;0,10000000+N1354*1,0),0))+IF(ISNUMBER(SEARCH("(",L1354)),1000000+IFERROR(VALUE(SUBSTITUTE(SUBSTITUTE(SUBSTITUTE(MID(L1354,SEARCH("(",L1354)+1,SEARCH(")",L1354)-SEARCH("(",L1354)-1),"$",""),",","")," ","")),0),0))</f>
        <v>0</v>
      </c>
    </row>
    <row r="1355" spans="1:27">
      <c r="A1355" s="137">
        <v>45953</v>
      </c>
      <c r="B1355" s="138" t="s">
        <v>3689</v>
      </c>
      <c r="C1355" s="138" t="s">
        <v>879</v>
      </c>
      <c r="D1355" s="138" t="s">
        <v>30</v>
      </c>
      <c r="E1355" s="138" t="s">
        <v>30</v>
      </c>
      <c r="F1355" s="138" t="s">
        <v>3690</v>
      </c>
      <c r="G1355" s="138"/>
      <c r="H1355" s="140" t="s">
        <v>27</v>
      </c>
      <c r="I1355" s="141"/>
      <c r="J1355" s="141"/>
      <c r="K1355" s="141"/>
      <c r="L1355" s="141"/>
      <c r="M1355" s="141"/>
      <c r="N1355" s="141"/>
      <c r="O1355" s="141"/>
      <c r="P1355" s="141"/>
      <c r="Q1355" s="141"/>
      <c r="R1355" s="138"/>
      <c r="S1355" s="138"/>
      <c r="T1355" s="138"/>
      <c r="U1355" s="138"/>
      <c r="AA1355">
        <f>IF(COUNTIF('Call Queue'!$H$6:$H$20,V1355)&gt;0,0,IF(AND(ISNUMBER(N1355),N1355&gt;0),10000000+N1355,IF(ISNUMBER(N1355*1),IF(N1355*1&gt;0,10000000+N1355*1,0),0))+IF(ISNUMBER(SEARCH("(",L1355)),1000000+IFERROR(VALUE(SUBSTITUTE(SUBSTITUTE(SUBSTITUTE(MID(L1355,SEARCH("(",L1355)+1,SEARCH(")",L1355)-SEARCH("(",L1355)-1),"$",""),",","")," ","")),0),0))</f>
        <v>0</v>
      </c>
    </row>
    <row r="1356" spans="1:27">
      <c r="A1356" s="142">
        <v>45953</v>
      </c>
      <c r="B1356" s="143" t="s">
        <v>3691</v>
      </c>
      <c r="C1356" s="143" t="s">
        <v>320</v>
      </c>
      <c r="D1356" s="143" t="s">
        <v>30</v>
      </c>
      <c r="E1356" s="143" t="s">
        <v>30</v>
      </c>
      <c r="F1356" s="143" t="s">
        <v>3692</v>
      </c>
      <c r="G1356" s="143" t="s">
        <v>3693</v>
      </c>
      <c r="H1356" s="145" t="s">
        <v>27</v>
      </c>
      <c r="I1356" s="146"/>
      <c r="J1356" s="146"/>
      <c r="K1356" s="146"/>
      <c r="L1356" s="146"/>
      <c r="M1356" s="146"/>
      <c r="N1356" s="146"/>
      <c r="O1356" s="146"/>
      <c r="P1356" s="146"/>
      <c r="Q1356" s="146"/>
      <c r="R1356" s="143"/>
      <c r="S1356" s="143"/>
      <c r="T1356" s="143"/>
      <c r="U1356" s="143"/>
      <c r="AA1356">
        <f>IF(COUNTIF('Call Queue'!$H$6:$H$20,V1356)&gt;0,0,IF(AND(ISNUMBER(N1356),N1356&gt;0),10000000+N1356,IF(ISNUMBER(N1356*1),IF(N1356*1&gt;0,10000000+N1356*1,0),0))+IF(ISNUMBER(SEARCH("(",L1356)),1000000+IFERROR(VALUE(SUBSTITUTE(SUBSTITUTE(SUBSTITUTE(MID(L1356,SEARCH("(",L1356)+1,SEARCH(")",L1356)-SEARCH("(",L1356)-1),"$",""),",","")," ","")),0),0))</f>
        <v>0</v>
      </c>
    </row>
    <row r="1357" spans="1:27">
      <c r="A1357" s="137">
        <v>45956</v>
      </c>
      <c r="B1357" s="138" t="s">
        <v>3709</v>
      </c>
      <c r="C1357" s="138" t="s">
        <v>690</v>
      </c>
      <c r="D1357" s="138" t="s">
        <v>63</v>
      </c>
      <c r="E1357" s="138">
        <v>85050</v>
      </c>
      <c r="F1357" s="138" t="s">
        <v>3710</v>
      </c>
      <c r="G1357" s="138" t="s">
        <v>3706</v>
      </c>
      <c r="H1357" s="140" t="s">
        <v>27</v>
      </c>
      <c r="I1357" s="141"/>
      <c r="J1357" s="141"/>
      <c r="K1357" s="141"/>
      <c r="L1357" s="141"/>
      <c r="M1357" s="141"/>
      <c r="N1357" s="141"/>
      <c r="O1357" s="141"/>
      <c r="P1357" s="141"/>
      <c r="Q1357" s="141"/>
      <c r="R1357" s="138"/>
      <c r="S1357" s="138"/>
      <c r="T1357" s="138"/>
      <c r="U1357" s="138"/>
      <c r="AA1357">
        <f>IF(COUNTIF('Call Queue'!$H$6:$H$20,V1357)&gt;0,0,IF(AND(ISNUMBER(N1357),N1357&gt;0),10000000+N1357,IF(ISNUMBER(N1357*1),IF(N1357*1&gt;0,10000000+N1357*1,0),0))+IF(ISNUMBER(SEARCH("(",L1357)),1000000+IFERROR(VALUE(SUBSTITUTE(SUBSTITUTE(SUBSTITUTE(MID(L1357,SEARCH("(",L1357)+1,SEARCH(")",L1357)-SEARCH("(",L1357)-1),"$",""),",","")," ","")),0),0))</f>
        <v>0</v>
      </c>
    </row>
    <row r="1358" spans="1:27">
      <c r="A1358" s="142">
        <v>45959</v>
      </c>
      <c r="B1358" s="143" t="s">
        <v>3717</v>
      </c>
      <c r="C1358" s="143" t="s">
        <v>3718</v>
      </c>
      <c r="D1358" s="143" t="s">
        <v>1204</v>
      </c>
      <c r="E1358" s="143">
        <v>85355</v>
      </c>
      <c r="F1358" s="143" t="s">
        <v>3531</v>
      </c>
      <c r="G1358" s="143" t="s">
        <v>3712</v>
      </c>
      <c r="H1358" s="145" t="s">
        <v>27</v>
      </c>
      <c r="I1358" s="146"/>
      <c r="J1358" s="146"/>
      <c r="K1358" s="146"/>
      <c r="L1358" s="146"/>
      <c r="M1358" s="146"/>
      <c r="N1358" s="146"/>
      <c r="O1358" s="146"/>
      <c r="P1358" s="146"/>
      <c r="Q1358" s="157"/>
      <c r="R1358" s="143" t="s">
        <v>3497</v>
      </c>
      <c r="S1358" s="143"/>
      <c r="T1358" s="143"/>
      <c r="U1358" s="143"/>
      <c r="AA1358">
        <f>IF(COUNTIF('Call Queue'!$H$6:$H$20,V1358)&gt;0,0,IF(AND(ISNUMBER(N1358),N1358&gt;0),10000000+N1358,IF(ISNUMBER(N1358*1),IF(N1358*1&gt;0,10000000+N1358*1,0),0))+IF(ISNUMBER(SEARCH("(",L1358)),1000000+IFERROR(VALUE(SUBSTITUTE(SUBSTITUTE(SUBSTITUTE(MID(L1358,SEARCH("(",L1358)+1,SEARCH(")",L1358)-SEARCH("(",L1358)-1),"$",""),",","")," ","")),0),0))</f>
        <v>0</v>
      </c>
    </row>
    <row r="1359" spans="1:27">
      <c r="A1359" s="137">
        <v>45959</v>
      </c>
      <c r="B1359" s="138" t="s">
        <v>3719</v>
      </c>
      <c r="C1359" s="138" t="s">
        <v>1714</v>
      </c>
      <c r="D1359" s="138" t="s">
        <v>169</v>
      </c>
      <c r="E1359" s="138">
        <v>85395</v>
      </c>
      <c r="F1359" s="138" t="s">
        <v>3531</v>
      </c>
      <c r="G1359" s="138" t="s">
        <v>3712</v>
      </c>
      <c r="H1359" s="140" t="s">
        <v>27</v>
      </c>
      <c r="I1359" s="141"/>
      <c r="J1359" s="141"/>
      <c r="K1359" s="141"/>
      <c r="L1359" s="141"/>
      <c r="M1359" s="141"/>
      <c r="N1359" s="141"/>
      <c r="O1359" s="141"/>
      <c r="P1359" s="141"/>
      <c r="Q1359" s="158"/>
      <c r="R1359" s="138" t="s">
        <v>3497</v>
      </c>
      <c r="S1359" s="138"/>
      <c r="T1359" s="138"/>
      <c r="U1359" s="138"/>
      <c r="AA1359">
        <f>IF(COUNTIF('Call Queue'!$H$6:$H$20,V1359)&gt;0,0,IF(AND(ISNUMBER(N1359),N1359&gt;0),10000000+N1359,IF(ISNUMBER(N1359*1),IF(N1359*1&gt;0,10000000+N1359*1,0),0))+IF(ISNUMBER(SEARCH("(",L1359)),1000000+IFERROR(VALUE(SUBSTITUTE(SUBSTITUTE(SUBSTITUTE(MID(L1359,SEARCH("(",L1359)+1,SEARCH(")",L1359)-SEARCH("(",L1359)-1),"$",""),",","")," ","")),0),0))</f>
        <v>0</v>
      </c>
    </row>
    <row r="1360" spans="1:27">
      <c r="A1360" s="142">
        <v>45959</v>
      </c>
      <c r="B1360" s="143" t="s">
        <v>3727</v>
      </c>
      <c r="C1360" s="143" t="s">
        <v>3728</v>
      </c>
      <c r="D1360" s="143" t="s">
        <v>174</v>
      </c>
      <c r="E1360" s="143">
        <v>85326</v>
      </c>
      <c r="F1360" s="143" t="s">
        <v>3531</v>
      </c>
      <c r="G1360" s="143" t="s">
        <v>3712</v>
      </c>
      <c r="H1360" s="145" t="s">
        <v>27</v>
      </c>
      <c r="I1360" s="146"/>
      <c r="J1360" s="146"/>
      <c r="K1360" s="146"/>
      <c r="L1360" s="146"/>
      <c r="M1360" s="146"/>
      <c r="N1360" s="146"/>
      <c r="O1360" s="146"/>
      <c r="P1360" s="146"/>
      <c r="Q1360" s="157"/>
      <c r="R1360" s="143" t="s">
        <v>3497</v>
      </c>
      <c r="S1360" s="143"/>
      <c r="T1360" s="143"/>
      <c r="U1360" s="143"/>
      <c r="AA1360">
        <f>IF(COUNTIF('Call Queue'!$H$6:$H$20,V1360)&gt;0,0,IF(AND(ISNUMBER(N1360),N1360&gt;0),10000000+N1360,IF(ISNUMBER(N1360*1),IF(N1360*1&gt;0,10000000+N1360*1,0),0))+IF(ISNUMBER(SEARCH("(",L1360)),1000000+IFERROR(VALUE(SUBSTITUTE(SUBSTITUTE(SUBSTITUTE(MID(L1360,SEARCH("(",L1360)+1,SEARCH(")",L1360)-SEARCH("(",L1360)-1),"$",""),",","")," ","")),0),0))</f>
        <v>0</v>
      </c>
    </row>
    <row r="1361" spans="1:27">
      <c r="A1361" s="142">
        <v>45959</v>
      </c>
      <c r="B1361" s="143" t="s">
        <v>3732</v>
      </c>
      <c r="C1361" s="143" t="s">
        <v>3733</v>
      </c>
      <c r="D1361" s="143" t="s">
        <v>240</v>
      </c>
      <c r="E1361" s="143">
        <v>85340</v>
      </c>
      <c r="F1361" s="143" t="s">
        <v>3531</v>
      </c>
      <c r="G1361" s="143" t="s">
        <v>3712</v>
      </c>
      <c r="H1361" s="145" t="s">
        <v>27</v>
      </c>
      <c r="I1361" s="146"/>
      <c r="J1361" s="146"/>
      <c r="K1361" s="146"/>
      <c r="L1361" s="146"/>
      <c r="M1361" s="146"/>
      <c r="N1361" s="146"/>
      <c r="O1361" s="146"/>
      <c r="P1361" s="146"/>
      <c r="Q1361" s="157"/>
      <c r="R1361" s="143" t="s">
        <v>3497</v>
      </c>
      <c r="S1361" s="143"/>
      <c r="T1361" s="143"/>
      <c r="U1361" s="143"/>
      <c r="AA1361">
        <f>IF(COUNTIF('Call Queue'!$H$6:$H$20,V1361)&gt;0,0,IF(AND(ISNUMBER(N1361),N1361&gt;0),10000000+N1361,IF(ISNUMBER(N1361*1),IF(N1361*1&gt;0,10000000+N1361*1,0),0))+IF(ISNUMBER(SEARCH("(",L1361)),1000000+IFERROR(VALUE(SUBSTITUTE(SUBSTITUTE(SUBSTITUTE(MID(L1361,SEARCH("(",L1361)+1,SEARCH(")",L1361)-SEARCH("(",L1361)-1),"$",""),",","")," ","")),0),0))</f>
        <v>0</v>
      </c>
    </row>
    <row r="1362" spans="1:27">
      <c r="A1362" s="137">
        <v>45961</v>
      </c>
      <c r="B1362" s="138" t="s">
        <v>3741</v>
      </c>
      <c r="C1362" s="138" t="s">
        <v>184</v>
      </c>
      <c r="D1362" s="138" t="s">
        <v>174</v>
      </c>
      <c r="E1362" s="138">
        <v>85396</v>
      </c>
      <c r="F1362" s="138" t="s">
        <v>3531</v>
      </c>
      <c r="G1362" s="138" t="s">
        <v>3742</v>
      </c>
      <c r="H1362" s="140" t="s">
        <v>27</v>
      </c>
      <c r="I1362" s="141"/>
      <c r="J1362" s="141"/>
      <c r="K1362" s="141"/>
      <c r="L1362" s="141"/>
      <c r="M1362" s="141"/>
      <c r="N1362" s="141"/>
      <c r="O1362" s="141"/>
      <c r="P1362" s="141"/>
      <c r="Q1362" s="158"/>
      <c r="R1362" s="138" t="s">
        <v>3497</v>
      </c>
      <c r="S1362" s="138"/>
      <c r="T1362" s="138"/>
      <c r="U1362" s="138"/>
      <c r="AA1362">
        <f>IF(COUNTIF('Call Queue'!$H$6:$H$20,V1362)&gt;0,0,IF(AND(ISNUMBER(N1362),N1362&gt;0),10000000+N1362,IF(ISNUMBER(N1362*1),IF(N1362*1&gt;0,10000000+N1362*1,0),0))+IF(ISNUMBER(SEARCH("(",L1362)),1000000+IFERROR(VALUE(SUBSTITUTE(SUBSTITUTE(SUBSTITUTE(MID(L1362,SEARCH("(",L1362)+1,SEARCH(")",L1362)-SEARCH("(",L1362)-1),"$",""),",","")," ","")),0),0))</f>
        <v>0</v>
      </c>
    </row>
    <row r="1363" spans="1:27">
      <c r="A1363" s="142">
        <v>45961</v>
      </c>
      <c r="B1363" s="143" t="s">
        <v>3743</v>
      </c>
      <c r="C1363" s="143" t="s">
        <v>3744</v>
      </c>
      <c r="D1363" s="143" t="s">
        <v>174</v>
      </c>
      <c r="E1363" s="143">
        <v>85326</v>
      </c>
      <c r="F1363" s="143" t="s">
        <v>3531</v>
      </c>
      <c r="G1363" s="143" t="s">
        <v>3742</v>
      </c>
      <c r="H1363" s="145" t="s">
        <v>27</v>
      </c>
      <c r="I1363" s="146"/>
      <c r="J1363" s="146"/>
      <c r="K1363" s="146"/>
      <c r="L1363" s="146"/>
      <c r="M1363" s="146"/>
      <c r="N1363" s="146"/>
      <c r="O1363" s="146"/>
      <c r="P1363" s="146"/>
      <c r="Q1363" s="157"/>
      <c r="R1363" s="143" t="s">
        <v>3497</v>
      </c>
      <c r="S1363" s="143"/>
      <c r="T1363" s="143"/>
      <c r="U1363" s="143"/>
      <c r="AA1363">
        <f>IF(COUNTIF('Call Queue'!$H$6:$H$20,V1363)&gt;0,0,IF(AND(ISNUMBER(N1363),N1363&gt;0),10000000+N1363,IF(ISNUMBER(N1363*1),IF(N1363*1&gt;0,10000000+N1363*1,0),0))+IF(ISNUMBER(SEARCH("(",L1363)),1000000+IFERROR(VALUE(SUBSTITUTE(SUBSTITUTE(SUBSTITUTE(MID(L1363,SEARCH("(",L1363)+1,SEARCH(")",L1363)-SEARCH("(",L1363)-1),"$",""),",","")," ","")),0),0))</f>
        <v>0</v>
      </c>
    </row>
    <row r="1364" spans="1:27">
      <c r="A1364" s="142">
        <v>45961</v>
      </c>
      <c r="B1364" s="143" t="s">
        <v>3749</v>
      </c>
      <c r="C1364" s="143" t="s">
        <v>2019</v>
      </c>
      <c r="D1364" s="143" t="s">
        <v>174</v>
      </c>
      <c r="E1364" s="143">
        <v>85396</v>
      </c>
      <c r="F1364" s="143" t="s">
        <v>3531</v>
      </c>
      <c r="G1364" s="143" t="s">
        <v>3742</v>
      </c>
      <c r="H1364" s="145" t="s">
        <v>27</v>
      </c>
      <c r="I1364" s="146"/>
      <c r="J1364" s="146"/>
      <c r="K1364" s="146"/>
      <c r="L1364" s="146"/>
      <c r="M1364" s="146"/>
      <c r="N1364" s="146"/>
      <c r="O1364" s="146"/>
      <c r="P1364" s="146"/>
      <c r="Q1364" s="157"/>
      <c r="R1364" s="143" t="s">
        <v>3497</v>
      </c>
      <c r="S1364" s="143"/>
      <c r="T1364" s="143"/>
      <c r="U1364" s="143"/>
      <c r="AA1364">
        <f>IF(COUNTIF('Call Queue'!$H$6:$H$20,V1364)&gt;0,0,IF(AND(ISNUMBER(N1364),N1364&gt;0),10000000+N1364,IF(ISNUMBER(N1364*1),IF(N1364*1&gt;0,10000000+N1364*1,0),0))+IF(ISNUMBER(SEARCH("(",L1364)),1000000+IFERROR(VALUE(SUBSTITUTE(SUBSTITUTE(SUBSTITUTE(MID(L1364,SEARCH("(",L1364)+1,SEARCH(")",L1364)-SEARCH("(",L1364)-1),"$",""),",","")," ","")),0),0))</f>
        <v>0</v>
      </c>
    </row>
    <row r="1365" spans="1:27">
      <c r="A1365" s="142">
        <v>45961</v>
      </c>
      <c r="B1365" s="143" t="s">
        <v>3763</v>
      </c>
      <c r="C1365" s="143" t="s">
        <v>1941</v>
      </c>
      <c r="D1365" s="143" t="s">
        <v>1919</v>
      </c>
      <c r="E1365" s="143">
        <v>85208</v>
      </c>
      <c r="F1365" s="143" t="s">
        <v>3531</v>
      </c>
      <c r="G1365" s="143" t="s">
        <v>3757</v>
      </c>
      <c r="H1365" s="145" t="s">
        <v>27</v>
      </c>
      <c r="I1365" s="146"/>
      <c r="J1365" s="146"/>
      <c r="K1365" s="146"/>
      <c r="L1365" s="146"/>
      <c r="M1365" s="146"/>
      <c r="N1365" s="146"/>
      <c r="O1365" s="146"/>
      <c r="P1365" s="146"/>
      <c r="Q1365" s="146"/>
      <c r="R1365" s="143"/>
      <c r="S1365" s="143"/>
      <c r="T1365" s="143"/>
      <c r="U1365" s="143"/>
      <c r="AA1365">
        <f>IF(COUNTIF('Call Queue'!$H$6:$H$20,V1365)&gt;0,0,IF(AND(ISNUMBER(N1365),N1365&gt;0),10000000+N1365,IF(ISNUMBER(N1365*1),IF(N1365*1&gt;0,10000000+N1365*1,0),0))+IF(ISNUMBER(SEARCH("(",L1365)),1000000+IFERROR(VALUE(SUBSTITUTE(SUBSTITUTE(SUBSTITUTE(MID(L1365,SEARCH("(",L1365)+1,SEARCH(")",L1365)-SEARCH("(",L1365)-1),"$",""),",","")," ","")),0),0))</f>
        <v>0</v>
      </c>
    </row>
    <row r="1366" spans="1:27">
      <c r="A1366" s="137">
        <v>45961</v>
      </c>
      <c r="B1366" s="138" t="s">
        <v>3769</v>
      </c>
      <c r="C1366" s="138" t="s">
        <v>1674</v>
      </c>
      <c r="D1366" s="138" t="s">
        <v>3538</v>
      </c>
      <c r="E1366" s="138">
        <v>85730</v>
      </c>
      <c r="F1366" s="138" t="s">
        <v>3531</v>
      </c>
      <c r="G1366" s="138" t="s">
        <v>3757</v>
      </c>
      <c r="H1366" s="140" t="s">
        <v>27</v>
      </c>
      <c r="I1366" s="141"/>
      <c r="J1366" s="141"/>
      <c r="K1366" s="141"/>
      <c r="L1366" s="141"/>
      <c r="M1366" s="141"/>
      <c r="N1366" s="141"/>
      <c r="O1366" s="141"/>
      <c r="P1366" s="141"/>
      <c r="Q1366" s="141"/>
      <c r="R1366" s="138"/>
      <c r="S1366" s="138"/>
      <c r="T1366" s="138"/>
      <c r="U1366" s="138"/>
      <c r="AA1366">
        <f>IF(COUNTIF('Call Queue'!$H$6:$H$20,V1366)&gt;0,0,IF(AND(ISNUMBER(N1366),N1366&gt;0),10000000+N1366,IF(ISNUMBER(N1366*1),IF(N1366*1&gt;0,10000000+N1366*1,0),0))+IF(ISNUMBER(SEARCH("(",L1366)),1000000+IFERROR(VALUE(SUBSTITUTE(SUBSTITUTE(SUBSTITUTE(MID(L1366,SEARCH("(",L1366)+1,SEARCH(")",L1366)-SEARCH("(",L1366)-1),"$",""),",","")," ","")),0),0))</f>
        <v>0</v>
      </c>
    </row>
    <row r="1367" spans="1:27">
      <c r="A1367" s="142">
        <v>45961</v>
      </c>
      <c r="B1367" s="143" t="s">
        <v>3770</v>
      </c>
      <c r="C1367" s="143" t="s">
        <v>3771</v>
      </c>
      <c r="D1367" s="143" t="s">
        <v>30</v>
      </c>
      <c r="E1367" s="143"/>
      <c r="F1367" s="143" t="s">
        <v>3772</v>
      </c>
      <c r="G1367" s="143" t="s">
        <v>3757</v>
      </c>
      <c r="H1367" s="145" t="s">
        <v>27</v>
      </c>
      <c r="I1367" s="146"/>
      <c r="J1367" s="146"/>
      <c r="K1367" s="146"/>
      <c r="L1367" s="146"/>
      <c r="M1367" s="146"/>
      <c r="N1367" s="146"/>
      <c r="O1367" s="146"/>
      <c r="P1367" s="146"/>
      <c r="Q1367" s="146"/>
      <c r="R1367" s="143"/>
      <c r="S1367" s="143"/>
      <c r="T1367" s="143"/>
      <c r="U1367" s="143"/>
      <c r="AA1367">
        <f>IF(COUNTIF('Call Queue'!$H$6:$H$20,V1367)&gt;0,0,IF(AND(ISNUMBER(N1367),N1367&gt;0),10000000+N1367,IF(ISNUMBER(N1367*1),IF(N1367*1&gt;0,10000000+N1367*1,0),0))+IF(ISNUMBER(SEARCH("(",L1367)),1000000+IFERROR(VALUE(SUBSTITUTE(SUBSTITUTE(SUBSTITUTE(MID(L1367,SEARCH("(",L1367)+1,SEARCH(")",L1367)-SEARCH("(",L1367)-1),"$",""),",","")," ","")),0),0))</f>
        <v>0</v>
      </c>
    </row>
    <row r="1368" spans="1:27">
      <c r="A1368" s="142">
        <v>45961</v>
      </c>
      <c r="B1368" s="143" t="s">
        <v>3774</v>
      </c>
      <c r="C1368" s="143" t="s">
        <v>79</v>
      </c>
      <c r="D1368" s="143" t="s">
        <v>3538</v>
      </c>
      <c r="E1368" s="143">
        <v>85745</v>
      </c>
      <c r="F1368" s="143" t="s">
        <v>3531</v>
      </c>
      <c r="G1368" s="143" t="s">
        <v>3757</v>
      </c>
      <c r="H1368" s="145" t="s">
        <v>27</v>
      </c>
      <c r="I1368" s="146"/>
      <c r="J1368" s="146"/>
      <c r="K1368" s="146"/>
      <c r="L1368" s="146"/>
      <c r="M1368" s="146"/>
      <c r="N1368" s="146"/>
      <c r="O1368" s="146"/>
      <c r="P1368" s="146"/>
      <c r="Q1368" s="146"/>
      <c r="R1368" s="143"/>
      <c r="S1368" s="143"/>
      <c r="T1368" s="143"/>
      <c r="U1368" s="143"/>
      <c r="AA1368">
        <f>IF(COUNTIF('Call Queue'!$H$6:$H$20,V1368)&gt;0,0,IF(AND(ISNUMBER(N1368),N1368&gt;0),10000000+N1368,IF(ISNUMBER(N1368*1),IF(N1368*1&gt;0,10000000+N1368*1,0),0))+IF(ISNUMBER(SEARCH("(",L1368)),1000000+IFERROR(VALUE(SUBSTITUTE(SUBSTITUTE(SUBSTITUTE(MID(L1368,SEARCH("(",L1368)+1,SEARCH(")",L1368)-SEARCH("(",L1368)-1),"$",""),",","")," ","")),0),0))</f>
        <v>0</v>
      </c>
    </row>
    <row r="1369" spans="1:27">
      <c r="A1369" s="142">
        <v>45961</v>
      </c>
      <c r="B1369" s="143" t="s">
        <v>1078</v>
      </c>
      <c r="C1369" s="143" t="s">
        <v>733</v>
      </c>
      <c r="D1369" s="143" t="s">
        <v>24</v>
      </c>
      <c r="E1369" s="143">
        <v>85308</v>
      </c>
      <c r="F1369" s="143" t="s">
        <v>3780</v>
      </c>
      <c r="G1369" s="143" t="s">
        <v>3781</v>
      </c>
      <c r="H1369" s="145" t="s">
        <v>27</v>
      </c>
      <c r="I1369" s="146"/>
      <c r="J1369" s="146"/>
      <c r="K1369" s="146"/>
      <c r="L1369" s="146"/>
      <c r="M1369" s="146"/>
      <c r="N1369" s="146"/>
      <c r="O1369" s="146"/>
      <c r="P1369" s="146"/>
      <c r="Q1369" s="146"/>
      <c r="R1369" s="143"/>
      <c r="S1369" s="143"/>
      <c r="T1369" s="143"/>
      <c r="U1369" s="143"/>
      <c r="AA1369">
        <f>IF(COUNTIF('Call Queue'!$H$6:$H$20,V1369)&gt;0,0,IF(AND(ISNUMBER(N1369),N1369&gt;0),10000000+N1369,IF(ISNUMBER(N1369*1),IF(N1369*1&gt;0,10000000+N1369*1,0),0))+IF(ISNUMBER(SEARCH("(",L1369)),1000000+IFERROR(VALUE(SUBSTITUTE(SUBSTITUTE(SUBSTITUTE(MID(L1369,SEARCH("(",L1369)+1,SEARCH(")",L1369)-SEARCH("(",L1369)-1),"$",""),",","")," ","")),0),0))</f>
        <v>0</v>
      </c>
    </row>
    <row r="1370" spans="1:27">
      <c r="A1370" s="137">
        <v>45961</v>
      </c>
      <c r="B1370" s="138" t="s">
        <v>3782</v>
      </c>
      <c r="C1370" s="138" t="s">
        <v>3783</v>
      </c>
      <c r="D1370" s="138" t="s">
        <v>63</v>
      </c>
      <c r="E1370" s="138">
        <v>85086</v>
      </c>
      <c r="F1370" s="138" t="s">
        <v>3531</v>
      </c>
      <c r="G1370" s="138" t="s">
        <v>3784</v>
      </c>
      <c r="H1370" s="140" t="s">
        <v>27</v>
      </c>
      <c r="I1370" s="141"/>
      <c r="J1370" s="141"/>
      <c r="K1370" s="141"/>
      <c r="L1370" s="141"/>
      <c r="M1370" s="141"/>
      <c r="N1370" s="141"/>
      <c r="O1370" s="141"/>
      <c r="P1370" s="141"/>
      <c r="Q1370" s="141"/>
      <c r="R1370" s="138"/>
      <c r="S1370" s="138"/>
      <c r="T1370" s="138"/>
      <c r="U1370" s="138"/>
      <c r="AA1370">
        <f>IF(COUNTIF('Call Queue'!$H$6:$H$20,V1370)&gt;0,0,IF(AND(ISNUMBER(N1370),N1370&gt;0),10000000+N1370,IF(ISNUMBER(N1370*1),IF(N1370*1&gt;0,10000000+N1370*1,0),0))+IF(ISNUMBER(SEARCH("(",L1370)),1000000+IFERROR(VALUE(SUBSTITUTE(SUBSTITUTE(SUBSTITUTE(MID(L1370,SEARCH("(",L1370)+1,SEARCH(")",L1370)-SEARCH("(",L1370)-1),"$",""),",","")," ","")),0),0))</f>
        <v>0</v>
      </c>
    </row>
    <row r="1371" spans="1:27">
      <c r="A1371" s="142">
        <v>45961</v>
      </c>
      <c r="B1371" s="143" t="s">
        <v>1765</v>
      </c>
      <c r="C1371" s="143" t="s">
        <v>3789</v>
      </c>
      <c r="D1371" s="143" t="s">
        <v>125</v>
      </c>
      <c r="E1371" s="143">
        <v>85266</v>
      </c>
      <c r="F1371" s="143" t="s">
        <v>3790</v>
      </c>
      <c r="G1371" s="143" t="s">
        <v>3784</v>
      </c>
      <c r="H1371" s="145" t="s">
        <v>27</v>
      </c>
      <c r="I1371" s="146"/>
      <c r="J1371" s="146"/>
      <c r="K1371" s="146"/>
      <c r="L1371" s="146"/>
      <c r="M1371" s="146"/>
      <c r="N1371" s="146"/>
      <c r="O1371" s="146"/>
      <c r="P1371" s="146"/>
      <c r="Q1371" s="146"/>
      <c r="R1371" s="143"/>
      <c r="S1371" s="143"/>
      <c r="T1371" s="143"/>
      <c r="U1371" s="143"/>
      <c r="AA1371">
        <f>IF(COUNTIF('Call Queue'!$H$6:$H$20,V1371)&gt;0,0,IF(AND(ISNUMBER(N1371),N1371&gt;0),10000000+N1371,IF(ISNUMBER(N1371*1),IF(N1371*1&gt;0,10000000+N1371*1,0),0))+IF(ISNUMBER(SEARCH("(",L1371)),1000000+IFERROR(VALUE(SUBSTITUTE(SUBSTITUTE(SUBSTITUTE(MID(L1371,SEARCH("(",L1371)+1,SEARCH(")",L1371)-SEARCH("(",L1371)-1),"$",""),",","")," ","")),0),0))</f>
        <v>0</v>
      </c>
    </row>
    <row r="1372" spans="1:27">
      <c r="A1372" s="137">
        <v>45966</v>
      </c>
      <c r="B1372" s="138" t="s">
        <v>3827</v>
      </c>
      <c r="C1372" s="138" t="s">
        <v>135</v>
      </c>
      <c r="D1372" s="138" t="s">
        <v>63</v>
      </c>
      <c r="E1372" s="138">
        <v>85255</v>
      </c>
      <c r="F1372" s="138" t="s">
        <v>3828</v>
      </c>
      <c r="G1372" s="138" t="s">
        <v>3823</v>
      </c>
      <c r="H1372" s="140" t="s">
        <v>27</v>
      </c>
      <c r="I1372" s="141"/>
      <c r="J1372" s="141"/>
      <c r="K1372" s="141"/>
      <c r="L1372" s="141"/>
      <c r="M1372" s="141"/>
      <c r="N1372" s="141"/>
      <c r="O1372" s="141"/>
      <c r="P1372" s="141"/>
      <c r="Q1372" s="141"/>
      <c r="R1372" s="138"/>
      <c r="S1372" s="138"/>
      <c r="T1372" s="138"/>
      <c r="U1372" s="138"/>
      <c r="AA1372">
        <f>IF(COUNTIF('Call Queue'!$H$6:$H$20,V1372)&gt;0,0,IF(AND(ISNUMBER(N1372),N1372&gt;0),10000000+N1372,IF(ISNUMBER(N1372*1),IF(N1372*1&gt;0,10000000+N1372*1,0),0))+IF(ISNUMBER(SEARCH("(",L1372)),1000000+IFERROR(VALUE(SUBSTITUTE(SUBSTITUTE(SUBSTITUTE(MID(L1372,SEARCH("(",L1372)+1,SEARCH(")",L1372)-SEARCH("(",L1372)-1),"$",""),",","")," ","")),0),0))</f>
        <v>0</v>
      </c>
    </row>
    <row r="1373" spans="1:27">
      <c r="A1373" s="137">
        <v>45951</v>
      </c>
      <c r="B1373" s="138" t="s">
        <v>3833</v>
      </c>
      <c r="C1373" s="138" t="s">
        <v>179</v>
      </c>
      <c r="D1373" s="138" t="s">
        <v>698</v>
      </c>
      <c r="E1373" s="138">
        <v>85375</v>
      </c>
      <c r="F1373" s="138" t="s">
        <v>3834</v>
      </c>
      <c r="G1373" s="138" t="s">
        <v>3835</v>
      </c>
      <c r="H1373" s="140" t="s">
        <v>90</v>
      </c>
      <c r="I1373" s="141"/>
      <c r="J1373" s="141"/>
      <c r="K1373" s="141"/>
      <c r="L1373" s="141"/>
      <c r="M1373" s="141"/>
      <c r="N1373" s="141"/>
      <c r="O1373" s="141"/>
      <c r="P1373" s="141"/>
      <c r="Q1373" s="141"/>
      <c r="R1373" s="138"/>
      <c r="S1373" s="138"/>
      <c r="T1373" s="138"/>
      <c r="U1373" s="138"/>
      <c r="AA1373">
        <f>IF(COUNTIF('Call Queue'!$H$6:$H$20,V1373)&gt;0,0,IF(AND(ISNUMBER(N1373),N1373&gt;0),10000000+N1373,IF(ISNUMBER(N1373*1),IF(N1373*1&gt;0,10000000+N1373*1,0),0))+IF(ISNUMBER(SEARCH("(",L1373)),1000000+IFERROR(VALUE(SUBSTITUTE(SUBSTITUTE(SUBSTITUTE(MID(L1373,SEARCH("(",L1373)+1,SEARCH(")",L1373)-SEARCH("(",L1373)-1),"$",""),",","")," ","")),0),0))</f>
        <v>0</v>
      </c>
    </row>
    <row r="1374" spans="1:27">
      <c r="A1374" s="137">
        <v>45967</v>
      </c>
      <c r="B1374" s="138" t="s">
        <v>3849</v>
      </c>
      <c r="C1374" s="138" t="s">
        <v>3850</v>
      </c>
      <c r="D1374" s="138" t="s">
        <v>30</v>
      </c>
      <c r="E1374" s="138" t="s">
        <v>30</v>
      </c>
      <c r="F1374" s="138" t="s">
        <v>3531</v>
      </c>
      <c r="G1374" s="138" t="s">
        <v>3851</v>
      </c>
      <c r="H1374" s="140" t="s">
        <v>27</v>
      </c>
      <c r="I1374" s="141"/>
      <c r="J1374" s="141"/>
      <c r="K1374" s="141"/>
      <c r="L1374" s="141"/>
      <c r="M1374" s="141"/>
      <c r="N1374" s="141"/>
      <c r="O1374" s="141"/>
      <c r="P1374" s="141"/>
      <c r="Q1374" s="141"/>
      <c r="R1374" s="138" t="s">
        <v>3497</v>
      </c>
      <c r="S1374" s="138"/>
      <c r="T1374" s="138"/>
      <c r="U1374" s="138"/>
      <c r="AA1374">
        <f>IF(COUNTIF('Call Queue'!$H$6:$H$20,V1374)&gt;0,0,IF(AND(ISNUMBER(N1374),N1374&gt;0),10000000+N1374,IF(ISNUMBER(N1374*1),IF(N1374*1&gt;0,10000000+N1374*1,0),0))+IF(ISNUMBER(SEARCH("(",L1374)),1000000+IFERROR(VALUE(SUBSTITUTE(SUBSTITUTE(SUBSTITUTE(MID(L1374,SEARCH("(",L1374)+1,SEARCH(")",L1374)-SEARCH("(",L1374)-1),"$",""),",","")," ","")),0),0))</f>
        <v>0</v>
      </c>
    </row>
    <row r="1375" spans="1:27">
      <c r="A1375" s="142">
        <v>45967</v>
      </c>
      <c r="B1375" s="143" t="s">
        <v>3852</v>
      </c>
      <c r="C1375" s="143" t="s">
        <v>373</v>
      </c>
      <c r="D1375" s="143" t="s">
        <v>30</v>
      </c>
      <c r="E1375" s="143" t="s">
        <v>30</v>
      </c>
      <c r="F1375" s="143" t="s">
        <v>3853</v>
      </c>
      <c r="G1375" s="143" t="s">
        <v>3851</v>
      </c>
      <c r="H1375" s="145" t="s">
        <v>27</v>
      </c>
      <c r="I1375" s="146"/>
      <c r="J1375" s="146"/>
      <c r="K1375" s="146"/>
      <c r="L1375" s="146"/>
      <c r="M1375" s="146"/>
      <c r="N1375" s="146"/>
      <c r="O1375" s="146"/>
      <c r="P1375" s="146"/>
      <c r="Q1375" s="146"/>
      <c r="R1375" s="143" t="s">
        <v>3497</v>
      </c>
      <c r="S1375" s="143"/>
      <c r="T1375" s="143"/>
      <c r="U1375" s="143"/>
      <c r="AA1375">
        <f>IF(COUNTIF('Call Queue'!$H$6:$H$20,V1375)&gt;0,0,IF(AND(ISNUMBER(N1375),N1375&gt;0),10000000+N1375,IF(ISNUMBER(N1375*1),IF(N1375*1&gt;0,10000000+N1375*1,0),0))+IF(ISNUMBER(SEARCH("(",L1375)),1000000+IFERROR(VALUE(SUBSTITUTE(SUBSTITUTE(SUBSTITUTE(MID(L1375,SEARCH("(",L1375)+1,SEARCH(")",L1375)-SEARCH("(",L1375)-1),"$",""),",","")," ","")),0),0))</f>
        <v>0</v>
      </c>
    </row>
    <row r="1376" spans="1:27">
      <c r="A1376" s="142">
        <v>45967</v>
      </c>
      <c r="B1376" s="143" t="s">
        <v>3858</v>
      </c>
      <c r="C1376" s="143" t="s">
        <v>3859</v>
      </c>
      <c r="D1376" s="143" t="s">
        <v>30</v>
      </c>
      <c r="E1376" s="143" t="s">
        <v>30</v>
      </c>
      <c r="F1376" s="143" t="s">
        <v>3860</v>
      </c>
      <c r="G1376" s="143" t="s">
        <v>3851</v>
      </c>
      <c r="H1376" s="145" t="s">
        <v>27</v>
      </c>
      <c r="I1376" s="146"/>
      <c r="J1376" s="146"/>
      <c r="K1376" s="146"/>
      <c r="L1376" s="146"/>
      <c r="M1376" s="146"/>
      <c r="N1376" s="146"/>
      <c r="O1376" s="146"/>
      <c r="P1376" s="146"/>
      <c r="Q1376" s="146"/>
      <c r="R1376" s="143" t="s">
        <v>3497</v>
      </c>
      <c r="S1376" s="143"/>
      <c r="T1376" s="143"/>
      <c r="U1376" s="143"/>
      <c r="AA1376">
        <f>IF(COUNTIF('Call Queue'!$H$6:$H$20,V1376)&gt;0,0,IF(AND(ISNUMBER(N1376),N1376&gt;0),10000000+N1376,IF(ISNUMBER(N1376*1),IF(N1376*1&gt;0,10000000+N1376*1,0),0))+IF(ISNUMBER(SEARCH("(",L1376)),1000000+IFERROR(VALUE(SUBSTITUTE(SUBSTITUTE(SUBSTITUTE(MID(L1376,SEARCH("(",L1376)+1,SEARCH(")",L1376)-SEARCH("(",L1376)-1),"$",""),",","")," ","")),0),0))</f>
        <v>0</v>
      </c>
    </row>
    <row r="1377" spans="1:27">
      <c r="A1377" s="137">
        <v>45967</v>
      </c>
      <c r="B1377" s="138" t="s">
        <v>3861</v>
      </c>
      <c r="C1377" s="138" t="s">
        <v>1149</v>
      </c>
      <c r="D1377" s="138" t="s">
        <v>30</v>
      </c>
      <c r="E1377" s="138" t="s">
        <v>30</v>
      </c>
      <c r="F1377" s="138" t="s">
        <v>3862</v>
      </c>
      <c r="G1377" s="138" t="s">
        <v>3851</v>
      </c>
      <c r="H1377" s="140" t="s">
        <v>90</v>
      </c>
      <c r="I1377" s="141"/>
      <c r="J1377" s="141"/>
      <c r="K1377" s="141"/>
      <c r="L1377" s="141"/>
      <c r="M1377" s="141"/>
      <c r="N1377" s="141"/>
      <c r="O1377" s="141"/>
      <c r="P1377" s="141"/>
      <c r="Q1377" s="141"/>
      <c r="R1377" s="138" t="s">
        <v>3497</v>
      </c>
      <c r="S1377" s="138"/>
      <c r="T1377" s="138"/>
      <c r="U1377" s="138"/>
      <c r="AA1377">
        <f>IF(COUNTIF('Call Queue'!$H$6:$H$20,V1377)&gt;0,0,IF(AND(ISNUMBER(N1377),N1377&gt;0),10000000+N1377,IF(ISNUMBER(N1377*1),IF(N1377*1&gt;0,10000000+N1377*1,0),0))+IF(ISNUMBER(SEARCH("(",L1377)),1000000+IFERROR(VALUE(SUBSTITUTE(SUBSTITUTE(SUBSTITUTE(MID(L1377,SEARCH("(",L1377)+1,SEARCH(")",L1377)-SEARCH("(",L1377)-1),"$",""),",","")," ","")),0),0))</f>
        <v>0</v>
      </c>
    </row>
    <row r="1378" spans="1:27">
      <c r="A1378" s="142">
        <v>45967</v>
      </c>
      <c r="B1378" s="143" t="s">
        <v>3863</v>
      </c>
      <c r="C1378" s="143" t="s">
        <v>3687</v>
      </c>
      <c r="D1378" s="143" t="s">
        <v>30</v>
      </c>
      <c r="E1378" s="143" t="s">
        <v>30</v>
      </c>
      <c r="F1378" s="143" t="s">
        <v>3862</v>
      </c>
      <c r="G1378" s="143" t="s">
        <v>3851</v>
      </c>
      <c r="H1378" s="145" t="s">
        <v>90</v>
      </c>
      <c r="I1378" s="146"/>
      <c r="J1378" s="146"/>
      <c r="K1378" s="146"/>
      <c r="L1378" s="146"/>
      <c r="M1378" s="146"/>
      <c r="N1378" s="146"/>
      <c r="O1378" s="146"/>
      <c r="P1378" s="146"/>
      <c r="Q1378" s="146"/>
      <c r="R1378" s="143" t="s">
        <v>3497</v>
      </c>
      <c r="S1378" s="143"/>
      <c r="T1378" s="143"/>
      <c r="U1378" s="143"/>
      <c r="AA1378">
        <f>IF(COUNTIF('Call Queue'!$H$6:$H$20,V1378)&gt;0,0,IF(AND(ISNUMBER(N1378),N1378&gt;0),10000000+N1378,IF(ISNUMBER(N1378*1),IF(N1378*1&gt;0,10000000+N1378*1,0),0))+IF(ISNUMBER(SEARCH("(",L1378)),1000000+IFERROR(VALUE(SUBSTITUTE(SUBSTITUTE(SUBSTITUTE(MID(L1378,SEARCH("(",L1378)+1,SEARCH(")",L1378)-SEARCH("(",L1378)-1),"$",""),",","")," ","")),0),0))</f>
        <v>0</v>
      </c>
    </row>
    <row r="1379" spans="1:27">
      <c r="A1379" s="159">
        <v>45985</v>
      </c>
      <c r="B1379" s="160" t="s">
        <v>3893</v>
      </c>
      <c r="C1379" s="160" t="s">
        <v>3894</v>
      </c>
      <c r="D1379" s="160" t="s">
        <v>174</v>
      </c>
      <c r="E1379" s="160">
        <v>85326</v>
      </c>
      <c r="F1379" s="160" t="s">
        <v>3895</v>
      </c>
      <c r="G1379" s="160" t="s">
        <v>3896</v>
      </c>
      <c r="H1379" s="161" t="s">
        <v>27</v>
      </c>
      <c r="I1379" s="161"/>
      <c r="J1379" s="161"/>
      <c r="K1379" s="161"/>
      <c r="L1379" s="161"/>
      <c r="M1379" s="161"/>
      <c r="N1379" s="161"/>
      <c r="O1379" s="161"/>
      <c r="P1379" s="161"/>
      <c r="Q1379" s="161"/>
      <c r="R1379" s="162"/>
      <c r="S1379" s="162"/>
      <c r="T1379" s="162"/>
      <c r="U1379" s="162"/>
      <c r="AA1379">
        <f>IF(COUNTIF('Call Queue'!$H$6:$H$20,V1379)&gt;0,0,IF(AND(ISNUMBER(N1379),N1379&gt;0),10000000+N1379,IF(ISNUMBER(N1379*1),IF(N1379*1&gt;0,10000000+N1379*1,0),0))+IF(ISNUMBER(SEARCH("(",L1379)),1000000+IFERROR(VALUE(SUBSTITUTE(SUBSTITUTE(SUBSTITUTE(MID(L1379,SEARCH("(",L1379)+1,SEARCH(")",L1379)-SEARCH("(",L1379)-1),"$",""),",","")," ","")),0),0))</f>
        <v>0</v>
      </c>
    </row>
    <row r="1380" spans="1:27">
      <c r="A1380" s="159">
        <v>45987</v>
      </c>
      <c r="B1380" s="160" t="s">
        <v>3907</v>
      </c>
      <c r="C1380" s="160" t="s">
        <v>3907</v>
      </c>
      <c r="D1380" s="160"/>
      <c r="E1380" s="160">
        <v>85285</v>
      </c>
      <c r="F1380" s="160" t="s">
        <v>3908</v>
      </c>
      <c r="G1380" s="160" t="s">
        <v>3909</v>
      </c>
      <c r="H1380" s="161" t="s">
        <v>27</v>
      </c>
      <c r="I1380" s="161"/>
      <c r="J1380" s="161"/>
      <c r="K1380" s="161"/>
      <c r="L1380" s="161"/>
      <c r="M1380" s="161"/>
      <c r="N1380" s="161"/>
      <c r="O1380" s="161"/>
      <c r="P1380" s="161"/>
      <c r="Q1380" s="161"/>
      <c r="R1380" s="162"/>
      <c r="S1380" s="162"/>
      <c r="T1380" s="162"/>
      <c r="U1380" s="162"/>
      <c r="AA1380">
        <f>IF(COUNTIF('Call Queue'!$H$6:$H$20,V1380)&gt;0,0,IF(AND(ISNUMBER(N1380),N1380&gt;0),10000000+N1380,IF(ISNUMBER(N1380*1),IF(N1380*1&gt;0,10000000+N1380*1,0),0))+IF(ISNUMBER(SEARCH("(",L1380)),1000000+IFERROR(VALUE(SUBSTITUTE(SUBSTITUTE(SUBSTITUTE(MID(L1380,SEARCH("(",L1380)+1,SEARCH(")",L1380)-SEARCH("(",L1380)-1),"$",""),",","")," ","")),0),0))</f>
        <v>0</v>
      </c>
    </row>
    <row r="1381" spans="1:27">
      <c r="A1381" s="159">
        <v>45987</v>
      </c>
      <c r="B1381" s="160" t="s">
        <v>431</v>
      </c>
      <c r="C1381" s="160" t="s">
        <v>3910</v>
      </c>
      <c r="D1381" s="160" t="s">
        <v>112</v>
      </c>
      <c r="E1381" s="160">
        <v>85388</v>
      </c>
      <c r="F1381" s="160" t="s">
        <v>3911</v>
      </c>
      <c r="G1381" s="160" t="s">
        <v>3909</v>
      </c>
      <c r="H1381" s="161" t="s">
        <v>90</v>
      </c>
      <c r="I1381" s="161"/>
      <c r="J1381" s="161"/>
      <c r="K1381" s="161"/>
      <c r="L1381" s="161"/>
      <c r="M1381" s="161"/>
      <c r="N1381" s="161"/>
      <c r="O1381" s="161"/>
      <c r="P1381" s="161"/>
      <c r="Q1381" s="161"/>
      <c r="R1381" s="163"/>
      <c r="S1381" s="163"/>
      <c r="T1381" s="163"/>
      <c r="U1381" s="163"/>
      <c r="AA1381">
        <f>IF(COUNTIF('Call Queue'!$H$6:$H$20,V1381)&gt;0,0,IF(AND(ISNUMBER(N1381),N1381&gt;0),10000000+N1381,IF(ISNUMBER(N1381*1),IF(N1381*1&gt;0,10000000+N1381*1,0),0))+IF(ISNUMBER(SEARCH("(",L1381)),1000000+IFERROR(VALUE(SUBSTITUTE(SUBSTITUTE(SUBSTITUTE(MID(L1381,SEARCH("(",L1381)+1,SEARCH(")",L1381)-SEARCH("(",L1381)-1),"$",""),",","")," ","")),0),0))</f>
        <v>0</v>
      </c>
    </row>
    <row r="1382" spans="1:27">
      <c r="A1382" s="159">
        <v>45993</v>
      </c>
      <c r="B1382" s="160" t="s">
        <v>3932</v>
      </c>
      <c r="C1382" s="160" t="s">
        <v>3933</v>
      </c>
      <c r="D1382" s="160" t="s">
        <v>428</v>
      </c>
      <c r="E1382" s="160">
        <v>85335</v>
      </c>
      <c r="F1382" s="160" t="s">
        <v>3756</v>
      </c>
      <c r="G1382" s="160" t="s">
        <v>3930</v>
      </c>
      <c r="H1382" s="161" t="s">
        <v>27</v>
      </c>
      <c r="I1382" s="161"/>
      <c r="J1382" s="161"/>
      <c r="K1382" s="161"/>
      <c r="L1382" s="161"/>
      <c r="M1382" s="161"/>
      <c r="N1382" s="161"/>
      <c r="O1382" s="161"/>
      <c r="P1382" s="161"/>
      <c r="Q1382" s="161"/>
      <c r="R1382" s="163"/>
      <c r="S1382" s="163"/>
      <c r="T1382" s="163"/>
      <c r="U1382" s="163"/>
      <c r="AA1382">
        <f>IF(COUNTIF('Call Queue'!$H$6:$H$20,V1382)&gt;0,0,IF(AND(ISNUMBER(N1382),N1382&gt;0),10000000+N1382,IF(ISNUMBER(N1382*1),IF(N1382*1&gt;0,10000000+N1382*1,0),0))+IF(ISNUMBER(SEARCH("(",L1382)),1000000+IFERROR(VALUE(SUBSTITUTE(SUBSTITUTE(SUBSTITUTE(MID(L1382,SEARCH("(",L1382)+1,SEARCH(")",L1382)-SEARCH("(",L1382)-1),"$",""),",","")," ","")),0),0))</f>
        <v>0</v>
      </c>
    </row>
    <row r="1383" spans="1:27">
      <c r="A1383" s="159">
        <v>45993</v>
      </c>
      <c r="B1383" s="160" t="s">
        <v>3950</v>
      </c>
      <c r="C1383" s="160" t="s">
        <v>3951</v>
      </c>
      <c r="D1383" s="160" t="s">
        <v>112</v>
      </c>
      <c r="E1383" s="160">
        <v>85374</v>
      </c>
      <c r="F1383" s="160" t="s">
        <v>3756</v>
      </c>
      <c r="G1383" s="160" t="s">
        <v>3930</v>
      </c>
      <c r="H1383" s="161" t="s">
        <v>27</v>
      </c>
      <c r="I1383" s="161"/>
      <c r="J1383" s="161"/>
      <c r="K1383" s="161"/>
      <c r="L1383" s="161"/>
      <c r="M1383" s="161"/>
      <c r="N1383" s="161"/>
      <c r="O1383" s="161"/>
      <c r="P1383" s="161"/>
      <c r="Q1383" s="161"/>
      <c r="R1383" s="162"/>
      <c r="S1383" s="162"/>
      <c r="T1383" s="162"/>
      <c r="U1383" s="162"/>
      <c r="AA1383">
        <f>IF(COUNTIF('Call Queue'!$H$6:$H$20,V1383)&gt;0,0,IF(AND(ISNUMBER(N1383),N1383&gt;0),10000000+N1383,IF(ISNUMBER(N1383*1),IF(N1383*1&gt;0,10000000+N1383*1,0),0))+IF(ISNUMBER(SEARCH("(",L1383)),1000000+IFERROR(VALUE(SUBSTITUTE(SUBSTITUTE(SUBSTITUTE(MID(L1383,SEARCH("(",L1383)+1,SEARCH(")",L1383)-SEARCH("(",L1383)-1),"$",""),",","")," ","")),0),0))</f>
        <v>0</v>
      </c>
    </row>
    <row r="1384" spans="1:27">
      <c r="A1384" s="159">
        <v>45993</v>
      </c>
      <c r="B1384" s="160" t="s">
        <v>127</v>
      </c>
      <c r="C1384" s="160" t="s">
        <v>2144</v>
      </c>
      <c r="D1384" s="160" t="s">
        <v>112</v>
      </c>
      <c r="E1384" s="160">
        <v>85388</v>
      </c>
      <c r="F1384" s="160" t="s">
        <v>3756</v>
      </c>
      <c r="G1384" s="160" t="s">
        <v>3930</v>
      </c>
      <c r="H1384" s="161" t="s">
        <v>27</v>
      </c>
      <c r="I1384" s="161"/>
      <c r="J1384" s="161"/>
      <c r="K1384" s="161"/>
      <c r="L1384" s="161"/>
      <c r="M1384" s="161"/>
      <c r="N1384" s="161"/>
      <c r="O1384" s="161"/>
      <c r="P1384" s="161"/>
      <c r="Q1384" s="161"/>
      <c r="R1384" s="163"/>
      <c r="S1384" s="163"/>
      <c r="T1384" s="163"/>
      <c r="U1384" s="163"/>
      <c r="AA1384">
        <f>IF(COUNTIF('Call Queue'!$H$6:$H$20,V1384)&gt;0,0,IF(AND(ISNUMBER(N1384),N1384&gt;0),10000000+N1384,IF(ISNUMBER(N1384*1),IF(N1384*1&gt;0,10000000+N1384*1,0),0))+IF(ISNUMBER(SEARCH("(",L1384)),1000000+IFERROR(VALUE(SUBSTITUTE(SUBSTITUTE(SUBSTITUTE(MID(L1384,SEARCH("(",L1384)+1,SEARCH(")",L1384)-SEARCH("(",L1384)-1),"$",""),",","")," ","")),0),0))</f>
        <v>0</v>
      </c>
    </row>
    <row r="1385" spans="1:27">
      <c r="A1385" s="137">
        <v>45994</v>
      </c>
      <c r="B1385" s="138" t="s">
        <v>3954</v>
      </c>
      <c r="C1385" s="138" t="s">
        <v>1143</v>
      </c>
      <c r="D1385" s="138" t="s">
        <v>30</v>
      </c>
      <c r="E1385" s="138" t="s">
        <v>30</v>
      </c>
      <c r="F1385" s="138" t="s">
        <v>31</v>
      </c>
      <c r="G1385" s="164" t="s">
        <v>3955</v>
      </c>
      <c r="H1385" s="140" t="s">
        <v>27</v>
      </c>
      <c r="I1385" s="141"/>
      <c r="J1385" s="141"/>
      <c r="K1385" s="141"/>
      <c r="L1385" s="141"/>
      <c r="M1385" s="141"/>
      <c r="N1385" s="141"/>
      <c r="O1385" s="141"/>
      <c r="P1385" s="141"/>
      <c r="Q1385" s="141"/>
      <c r="R1385" s="138"/>
      <c r="S1385" s="138"/>
      <c r="T1385" s="138"/>
      <c r="U1385" s="138"/>
      <c r="AA1385">
        <f>IF(COUNTIF('Call Queue'!$H$6:$H$20,V1385)&gt;0,0,IF(AND(ISNUMBER(N1385),N1385&gt;0),10000000+N1385,IF(ISNUMBER(N1385*1),IF(N1385*1&gt;0,10000000+N1385*1,0),0))+IF(ISNUMBER(SEARCH("(",L1385)),1000000+IFERROR(VALUE(SUBSTITUTE(SUBSTITUTE(SUBSTITUTE(MID(L1385,SEARCH("(",L1385)+1,SEARCH(")",L1385)-SEARCH("(",L1385)-1),"$",""),",","")," ","")),0),0))</f>
        <v>0</v>
      </c>
    </row>
    <row r="1386" spans="1:27">
      <c r="A1386" s="137">
        <v>45994</v>
      </c>
      <c r="B1386" s="138" t="s">
        <v>3961</v>
      </c>
      <c r="C1386" s="138" t="s">
        <v>3962</v>
      </c>
      <c r="D1386" s="138" t="s">
        <v>63</v>
      </c>
      <c r="E1386" s="138">
        <v>85017</v>
      </c>
      <c r="F1386" s="138" t="s">
        <v>3963</v>
      </c>
      <c r="G1386" s="165" t="s">
        <v>3964</v>
      </c>
      <c r="H1386" s="140" t="s">
        <v>90</v>
      </c>
      <c r="I1386" s="141"/>
      <c r="J1386" s="141"/>
      <c r="K1386" s="141"/>
      <c r="L1386" s="141"/>
      <c r="M1386" s="141"/>
      <c r="N1386" s="141"/>
      <c r="O1386" s="141"/>
      <c r="P1386" s="141"/>
      <c r="Q1386" s="141"/>
      <c r="R1386" s="138" t="s">
        <v>3965</v>
      </c>
      <c r="S1386" s="138"/>
      <c r="T1386" s="138"/>
      <c r="U1386" s="138"/>
      <c r="AA1386">
        <f>IF(COUNTIF('Call Queue'!$H$6:$H$20,V1386)&gt;0,0,IF(AND(ISNUMBER(N1386),N1386&gt;0),10000000+N1386,IF(ISNUMBER(N1386*1),IF(N1386*1&gt;0,10000000+N1386*1,0),0))+IF(ISNUMBER(SEARCH("(",L1386)),1000000+IFERROR(VALUE(SUBSTITUTE(SUBSTITUTE(SUBSTITUTE(MID(L1386,SEARCH("(",L1386)+1,SEARCH(")",L1386)-SEARCH("(",L1386)-1),"$",""),",","")," ","")),0),0))</f>
        <v>0</v>
      </c>
    </row>
    <row r="1387" spans="1:27">
      <c r="A1387" s="142">
        <v>45994</v>
      </c>
      <c r="B1387" s="143" t="s">
        <v>3966</v>
      </c>
      <c r="C1387" s="143" t="s">
        <v>3967</v>
      </c>
      <c r="D1387" s="143" t="s">
        <v>63</v>
      </c>
      <c r="E1387" s="143">
        <v>85019</v>
      </c>
      <c r="F1387" s="143" t="s">
        <v>3968</v>
      </c>
      <c r="G1387" s="143" t="s">
        <v>3964</v>
      </c>
      <c r="H1387" s="145" t="s">
        <v>27</v>
      </c>
      <c r="I1387" s="146"/>
      <c r="J1387" s="146"/>
      <c r="K1387" s="146"/>
      <c r="L1387" s="146"/>
      <c r="M1387" s="146"/>
      <c r="N1387" s="146"/>
      <c r="O1387" s="146"/>
      <c r="P1387" s="146"/>
      <c r="Q1387" s="146"/>
      <c r="R1387" s="143" t="s">
        <v>3965</v>
      </c>
      <c r="S1387" s="143"/>
      <c r="T1387" s="143"/>
      <c r="U1387" s="143"/>
      <c r="AA1387">
        <f>IF(COUNTIF('Call Queue'!$H$6:$H$20,V1387)&gt;0,0,IF(AND(ISNUMBER(N1387),N1387&gt;0),10000000+N1387,IF(ISNUMBER(N1387*1),IF(N1387*1&gt;0,10000000+N1387*1,0),0))+IF(ISNUMBER(SEARCH("(",L1387)),1000000+IFERROR(VALUE(SUBSTITUTE(SUBSTITUTE(SUBSTITUTE(MID(L1387,SEARCH("(",L1387)+1,SEARCH(")",L1387)-SEARCH("(",L1387)-1),"$",""),",","")," ","")),0),0))</f>
        <v>0</v>
      </c>
    </row>
    <row r="1388" spans="1:27">
      <c r="A1388" s="137">
        <v>45994</v>
      </c>
      <c r="B1388" s="138" t="s">
        <v>3969</v>
      </c>
      <c r="C1388" s="138" t="s">
        <v>3970</v>
      </c>
      <c r="D1388" s="138" t="s">
        <v>24</v>
      </c>
      <c r="E1388" s="138">
        <v>85301</v>
      </c>
      <c r="F1388" s="138" t="s">
        <v>3971</v>
      </c>
      <c r="G1388" s="138" t="s">
        <v>3964</v>
      </c>
      <c r="H1388" s="140" t="s">
        <v>27</v>
      </c>
      <c r="I1388" s="141"/>
      <c r="J1388" s="141"/>
      <c r="K1388" s="141"/>
      <c r="L1388" s="141"/>
      <c r="M1388" s="141"/>
      <c r="N1388" s="141"/>
      <c r="O1388" s="141"/>
      <c r="P1388" s="141"/>
      <c r="Q1388" s="141"/>
      <c r="R1388" s="138" t="s">
        <v>3965</v>
      </c>
      <c r="S1388" s="138"/>
      <c r="T1388" s="138"/>
      <c r="U1388" s="138"/>
      <c r="AA1388">
        <f>IF(COUNTIF('Call Queue'!$H$6:$H$20,V1388)&gt;0,0,IF(AND(ISNUMBER(N1388),N1388&gt;0),10000000+N1388,IF(ISNUMBER(N1388*1),IF(N1388*1&gt;0,10000000+N1388*1,0),0))+IF(ISNUMBER(SEARCH("(",L1388)),1000000+IFERROR(VALUE(SUBSTITUTE(SUBSTITUTE(SUBSTITUTE(MID(L1388,SEARCH("(",L1388)+1,SEARCH(")",L1388)-SEARCH("(",L1388)-1),"$",""),",","")," ","")),0),0))</f>
        <v>0</v>
      </c>
    </row>
    <row r="1389" spans="1:27">
      <c r="A1389" s="142">
        <v>45994</v>
      </c>
      <c r="B1389" s="143" t="s">
        <v>657</v>
      </c>
      <c r="C1389" s="143" t="s">
        <v>3972</v>
      </c>
      <c r="D1389" s="143" t="s">
        <v>635</v>
      </c>
      <c r="E1389" s="143">
        <v>85281</v>
      </c>
      <c r="F1389" s="143" t="s">
        <v>3973</v>
      </c>
      <c r="G1389" s="143" t="s">
        <v>3964</v>
      </c>
      <c r="H1389" s="145" t="s">
        <v>27</v>
      </c>
      <c r="I1389" s="146"/>
      <c r="J1389" s="146"/>
      <c r="K1389" s="146"/>
      <c r="L1389" s="146"/>
      <c r="M1389" s="146"/>
      <c r="N1389" s="146"/>
      <c r="O1389" s="146"/>
      <c r="P1389" s="146"/>
      <c r="Q1389" s="146"/>
      <c r="R1389" s="143" t="s">
        <v>3965</v>
      </c>
      <c r="S1389" s="143"/>
      <c r="T1389" s="143"/>
      <c r="U1389" s="143"/>
      <c r="AA1389">
        <f>IF(COUNTIF('Call Queue'!$H$6:$H$20,V1389)&gt;0,0,IF(AND(ISNUMBER(N1389),N1389&gt;0),10000000+N1389,IF(ISNUMBER(N1389*1),IF(N1389*1&gt;0,10000000+N1389*1,0),0))+IF(ISNUMBER(SEARCH("(",L1389)),1000000+IFERROR(VALUE(SUBSTITUTE(SUBSTITUTE(SUBSTITUTE(MID(L1389,SEARCH("(",L1389)+1,SEARCH(")",L1389)-SEARCH("(",L1389)-1),"$",""),",","")," ","")),0),0))</f>
        <v>0</v>
      </c>
    </row>
    <row r="1390" spans="1:27">
      <c r="A1390" s="137">
        <v>45994</v>
      </c>
      <c r="B1390" s="138" t="s">
        <v>3907</v>
      </c>
      <c r="C1390" s="138" t="s">
        <v>3907</v>
      </c>
      <c r="D1390" s="138" t="s">
        <v>63</v>
      </c>
      <c r="E1390" s="138">
        <v>85008</v>
      </c>
      <c r="F1390" s="138" t="s">
        <v>3974</v>
      </c>
      <c r="G1390" s="138" t="s">
        <v>3964</v>
      </c>
      <c r="H1390" s="140" t="s">
        <v>27</v>
      </c>
      <c r="I1390" s="141"/>
      <c r="J1390" s="141"/>
      <c r="K1390" s="141"/>
      <c r="L1390" s="141"/>
      <c r="M1390" s="141"/>
      <c r="N1390" s="141"/>
      <c r="O1390" s="141"/>
      <c r="P1390" s="141"/>
      <c r="Q1390" s="141"/>
      <c r="R1390" s="138" t="s">
        <v>3965</v>
      </c>
      <c r="S1390" s="138"/>
      <c r="T1390" s="138"/>
      <c r="U1390" s="138"/>
      <c r="AA1390">
        <f>IF(COUNTIF('Call Queue'!$H$6:$H$20,V1390)&gt;0,0,IF(AND(ISNUMBER(N1390),N1390&gt;0),10000000+N1390,IF(ISNUMBER(N1390*1),IF(N1390*1&gt;0,10000000+N1390*1,0),0))+IF(ISNUMBER(SEARCH("(",L1390)),1000000+IFERROR(VALUE(SUBSTITUTE(SUBSTITUTE(SUBSTITUTE(MID(L1390,SEARCH("(",L1390)+1,SEARCH(")",L1390)-SEARCH("(",L1390)-1),"$",""),",","")," ","")),0),0))</f>
        <v>0</v>
      </c>
    </row>
    <row r="1391" spans="1:27">
      <c r="A1391" s="137">
        <v>45994</v>
      </c>
      <c r="B1391" s="138" t="s">
        <v>2571</v>
      </c>
      <c r="C1391" s="138" t="s">
        <v>3946</v>
      </c>
      <c r="D1391" s="138" t="s">
        <v>63</v>
      </c>
      <c r="E1391" s="138">
        <v>85017</v>
      </c>
      <c r="F1391" s="138" t="s">
        <v>3981</v>
      </c>
      <c r="G1391" s="138" t="s">
        <v>3964</v>
      </c>
      <c r="H1391" s="140" t="s">
        <v>27</v>
      </c>
      <c r="I1391" s="141"/>
      <c r="J1391" s="141"/>
      <c r="K1391" s="141"/>
      <c r="L1391" s="141"/>
      <c r="M1391" s="141"/>
      <c r="N1391" s="141"/>
      <c r="O1391" s="141"/>
      <c r="P1391" s="141"/>
      <c r="Q1391" s="141"/>
      <c r="R1391" s="138" t="s">
        <v>3965</v>
      </c>
      <c r="S1391" s="138"/>
      <c r="T1391" s="138"/>
      <c r="U1391" s="138"/>
      <c r="AA1391">
        <f>IF(COUNTIF('Call Queue'!$H$6:$H$20,V1391)&gt;0,0,IF(AND(ISNUMBER(N1391),N1391&gt;0),10000000+N1391,IF(ISNUMBER(N1391*1),IF(N1391*1&gt;0,10000000+N1391*1,0),0))+IF(ISNUMBER(SEARCH("(",L1391)),1000000+IFERROR(VALUE(SUBSTITUTE(SUBSTITUTE(SUBSTITUTE(MID(L1391,SEARCH("(",L1391)+1,SEARCH(")",L1391)-SEARCH("(",L1391)-1),"$",""),",","")," ","")),0),0))</f>
        <v>0</v>
      </c>
    </row>
    <row r="1392" spans="1:27">
      <c r="A1392" s="137">
        <v>45994</v>
      </c>
      <c r="B1392" s="138" t="s">
        <v>3984</v>
      </c>
      <c r="C1392" s="138" t="s">
        <v>3985</v>
      </c>
      <c r="D1392" s="138" t="s">
        <v>63</v>
      </c>
      <c r="E1392" s="138">
        <v>85008</v>
      </c>
      <c r="F1392" s="138" t="s">
        <v>3986</v>
      </c>
      <c r="G1392" s="138" t="s">
        <v>3964</v>
      </c>
      <c r="H1392" s="140" t="s">
        <v>27</v>
      </c>
      <c r="I1392" s="141"/>
      <c r="J1392" s="141"/>
      <c r="K1392" s="141"/>
      <c r="L1392" s="141"/>
      <c r="M1392" s="141"/>
      <c r="N1392" s="141"/>
      <c r="O1392" s="141"/>
      <c r="P1392" s="141"/>
      <c r="Q1392" s="141"/>
      <c r="R1392" s="138" t="s">
        <v>3965</v>
      </c>
      <c r="S1392" s="138"/>
      <c r="T1392" s="138"/>
      <c r="U1392" s="138"/>
      <c r="AA1392">
        <f>IF(COUNTIF('Call Queue'!$H$6:$H$20,V1392)&gt;0,0,IF(AND(ISNUMBER(N1392),N1392&gt;0),10000000+N1392,IF(ISNUMBER(N1392*1),IF(N1392*1&gt;0,10000000+N1392*1,0),0))+IF(ISNUMBER(SEARCH("(",L1392)),1000000+IFERROR(VALUE(SUBSTITUTE(SUBSTITUTE(SUBSTITUTE(MID(L1392,SEARCH("(",L1392)+1,SEARCH(")",L1392)-SEARCH("(",L1392)-1),"$",""),",","")," ","")),0),0))</f>
        <v>0</v>
      </c>
    </row>
    <row r="1393" spans="1:27">
      <c r="A1393" s="142">
        <v>45994</v>
      </c>
      <c r="B1393" s="143"/>
      <c r="C1393" s="143" t="s">
        <v>3987</v>
      </c>
      <c r="D1393" s="143" t="s">
        <v>63</v>
      </c>
      <c r="E1393" s="143">
        <v>85017</v>
      </c>
      <c r="F1393" s="143" t="s">
        <v>3988</v>
      </c>
      <c r="G1393" s="143" t="s">
        <v>3964</v>
      </c>
      <c r="H1393" s="145" t="s">
        <v>27</v>
      </c>
      <c r="I1393" s="146"/>
      <c r="J1393" s="146"/>
      <c r="K1393" s="146"/>
      <c r="L1393" s="146"/>
      <c r="M1393" s="146"/>
      <c r="N1393" s="146"/>
      <c r="O1393" s="146"/>
      <c r="P1393" s="146"/>
      <c r="Q1393" s="146"/>
      <c r="R1393" s="143" t="s">
        <v>3965</v>
      </c>
      <c r="S1393" s="143"/>
      <c r="T1393" s="143"/>
      <c r="U1393" s="143"/>
      <c r="AA1393">
        <f>IF(COUNTIF('Call Queue'!$H$6:$H$20,V1393)&gt;0,0,IF(AND(ISNUMBER(N1393),N1393&gt;0),10000000+N1393,IF(ISNUMBER(N1393*1),IF(N1393*1&gt;0,10000000+N1393*1,0),0))+IF(ISNUMBER(SEARCH("(",L1393)),1000000+IFERROR(VALUE(SUBSTITUTE(SUBSTITUTE(SUBSTITUTE(MID(L1393,SEARCH("(",L1393)+1,SEARCH(")",L1393)-SEARCH("(",L1393)-1),"$",""),",","")," ","")),0),0))</f>
        <v>0</v>
      </c>
    </row>
    <row r="1394" spans="1:27">
      <c r="A1394" s="137">
        <v>45994</v>
      </c>
      <c r="B1394" s="138" t="s">
        <v>3989</v>
      </c>
      <c r="C1394" s="138" t="s">
        <v>3990</v>
      </c>
      <c r="D1394" s="138" t="s">
        <v>63</v>
      </c>
      <c r="E1394" s="138">
        <v>85037</v>
      </c>
      <c r="F1394" s="138" t="s">
        <v>3991</v>
      </c>
      <c r="G1394" s="138" t="s">
        <v>3964</v>
      </c>
      <c r="H1394" s="140" t="s">
        <v>27</v>
      </c>
      <c r="I1394" s="141"/>
      <c r="J1394" s="141"/>
      <c r="K1394" s="141"/>
      <c r="L1394" s="141"/>
      <c r="M1394" s="141"/>
      <c r="N1394" s="141"/>
      <c r="O1394" s="141"/>
      <c r="P1394" s="141"/>
      <c r="Q1394" s="141"/>
      <c r="R1394" s="138"/>
      <c r="S1394" s="138"/>
      <c r="T1394" s="138"/>
      <c r="U1394" s="138"/>
      <c r="AA1394">
        <f>IF(COUNTIF('Call Queue'!$H$6:$H$20,V1394)&gt;0,0,IF(AND(ISNUMBER(N1394),N1394&gt;0),10000000+N1394,IF(ISNUMBER(N1394*1),IF(N1394*1&gt;0,10000000+N1394*1,0),0))+IF(ISNUMBER(SEARCH("(",L1394)),1000000+IFERROR(VALUE(SUBSTITUTE(SUBSTITUTE(SUBSTITUTE(MID(L1394,SEARCH("(",L1394)+1,SEARCH(")",L1394)-SEARCH("(",L1394)-1),"$",""),",","")," ","")),0),0))</f>
        <v>0</v>
      </c>
    </row>
    <row r="1395" spans="1:27">
      <c r="A1395" s="142">
        <v>45994</v>
      </c>
      <c r="B1395" s="143" t="s">
        <v>3992</v>
      </c>
      <c r="C1395" s="143" t="s">
        <v>3993</v>
      </c>
      <c r="D1395" s="143" t="s">
        <v>63</v>
      </c>
      <c r="E1395" s="143">
        <v>85031</v>
      </c>
      <c r="F1395" s="143" t="s">
        <v>3994</v>
      </c>
      <c r="G1395" s="143" t="s">
        <v>3964</v>
      </c>
      <c r="H1395" s="145" t="s">
        <v>27</v>
      </c>
      <c r="I1395" s="146"/>
      <c r="J1395" s="146"/>
      <c r="K1395" s="146"/>
      <c r="L1395" s="146"/>
      <c r="M1395" s="146"/>
      <c r="N1395" s="146"/>
      <c r="O1395" s="146"/>
      <c r="P1395" s="146"/>
      <c r="Q1395" s="146"/>
      <c r="R1395" s="143"/>
      <c r="S1395" s="143"/>
      <c r="T1395" s="143"/>
      <c r="U1395" s="143"/>
      <c r="AA1395">
        <f>IF(COUNTIF('Call Queue'!$H$6:$H$20,V1395)&gt;0,0,IF(AND(ISNUMBER(N1395),N1395&gt;0),10000000+N1395,IF(ISNUMBER(N1395*1),IF(N1395*1&gt;0,10000000+N1395*1,0),0))+IF(ISNUMBER(SEARCH("(",L1395)),1000000+IFERROR(VALUE(SUBSTITUTE(SUBSTITUTE(SUBSTITUTE(MID(L1395,SEARCH("(",L1395)+1,SEARCH(")",L1395)-SEARCH("(",L1395)-1),"$",""),",","")," ","")),0),0))</f>
        <v>0</v>
      </c>
    </row>
    <row r="1396" spans="1:27">
      <c r="A1396" s="142">
        <v>45994</v>
      </c>
      <c r="B1396" s="143" t="s">
        <v>1779</v>
      </c>
      <c r="C1396" s="143" t="s">
        <v>4005</v>
      </c>
      <c r="D1396" s="143" t="s">
        <v>63</v>
      </c>
      <c r="E1396" s="143">
        <v>85086</v>
      </c>
      <c r="F1396" s="143" t="s">
        <v>4006</v>
      </c>
      <c r="G1396" s="143" t="s">
        <v>3964</v>
      </c>
      <c r="H1396" s="145" t="s">
        <v>90</v>
      </c>
      <c r="I1396" s="146"/>
      <c r="J1396" s="146"/>
      <c r="K1396" s="146"/>
      <c r="L1396" s="146"/>
      <c r="M1396" s="146"/>
      <c r="N1396" s="146"/>
      <c r="O1396" s="146"/>
      <c r="P1396" s="146"/>
      <c r="Q1396" s="146"/>
      <c r="R1396" s="143"/>
      <c r="S1396" s="143"/>
      <c r="T1396" s="143"/>
      <c r="U1396" s="143"/>
      <c r="AA1396">
        <f>IF(COUNTIF('Call Queue'!$H$6:$H$20,V1396)&gt;0,0,IF(AND(ISNUMBER(N1396),N1396&gt;0),10000000+N1396,IF(ISNUMBER(N1396*1),IF(N1396*1&gt;0,10000000+N1396*1,0),0))+IF(ISNUMBER(SEARCH("(",L1396)),1000000+IFERROR(VALUE(SUBSTITUTE(SUBSTITUTE(SUBSTITUTE(MID(L1396,SEARCH("(",L1396)+1,SEARCH(")",L1396)-SEARCH("(",L1396)-1),"$",""),",","")," ","")),0),0))</f>
        <v>0</v>
      </c>
    </row>
    <row r="1397" spans="1:27">
      <c r="A1397" s="137">
        <v>45994</v>
      </c>
      <c r="B1397" s="138" t="s">
        <v>4007</v>
      </c>
      <c r="C1397" s="138" t="s">
        <v>4008</v>
      </c>
      <c r="D1397" s="138" t="s">
        <v>63</v>
      </c>
      <c r="E1397" s="138">
        <v>85033</v>
      </c>
      <c r="F1397" s="138" t="s">
        <v>4009</v>
      </c>
      <c r="G1397" s="138" t="s">
        <v>3964</v>
      </c>
      <c r="H1397" s="140" t="s">
        <v>27</v>
      </c>
      <c r="I1397" s="141"/>
      <c r="J1397" s="141"/>
      <c r="K1397" s="141"/>
      <c r="L1397" s="141"/>
      <c r="M1397" s="141"/>
      <c r="N1397" s="141"/>
      <c r="O1397" s="141"/>
      <c r="P1397" s="141"/>
      <c r="Q1397" s="141"/>
      <c r="R1397" s="138"/>
      <c r="S1397" s="138"/>
      <c r="T1397" s="138"/>
      <c r="U1397" s="138"/>
      <c r="AA1397">
        <f>IF(COUNTIF('Call Queue'!$H$6:$H$20,V1397)&gt;0,0,IF(AND(ISNUMBER(N1397),N1397&gt;0),10000000+N1397,IF(ISNUMBER(N1397*1),IF(N1397*1&gt;0,10000000+N1397*1,0),0))+IF(ISNUMBER(SEARCH("(",L1397)),1000000+IFERROR(VALUE(SUBSTITUTE(SUBSTITUTE(SUBSTITUTE(MID(L1397,SEARCH("(",L1397)+1,SEARCH(")",L1397)-SEARCH("(",L1397)-1),"$",""),",","")," ","")),0),0))</f>
        <v>0</v>
      </c>
    </row>
    <row r="1398" spans="1:27">
      <c r="A1398" s="142">
        <v>45994</v>
      </c>
      <c r="B1398" s="143" t="s">
        <v>4010</v>
      </c>
      <c r="C1398" s="143" t="s">
        <v>1647</v>
      </c>
      <c r="D1398" s="143" t="s">
        <v>737</v>
      </c>
      <c r="E1398" s="143">
        <v>86326</v>
      </c>
      <c r="F1398" s="143" t="s">
        <v>4011</v>
      </c>
      <c r="G1398" s="143" t="s">
        <v>3964</v>
      </c>
      <c r="H1398" s="145" t="s">
        <v>90</v>
      </c>
      <c r="I1398" s="146"/>
      <c r="J1398" s="146"/>
      <c r="K1398" s="146"/>
      <c r="L1398" s="146"/>
      <c r="M1398" s="146"/>
      <c r="N1398" s="146"/>
      <c r="O1398" s="146"/>
      <c r="P1398" s="146"/>
      <c r="Q1398" s="146"/>
      <c r="R1398" s="143"/>
      <c r="S1398" s="143"/>
      <c r="T1398" s="143"/>
      <c r="U1398" s="143"/>
      <c r="AA1398">
        <f>IF(COUNTIF('Call Queue'!$H$6:$H$20,V1398)&gt;0,0,IF(AND(ISNUMBER(N1398),N1398&gt;0),10000000+N1398,IF(ISNUMBER(N1398*1),IF(N1398*1&gt;0,10000000+N1398*1,0),0))+IF(ISNUMBER(SEARCH("(",L1398)),1000000+IFERROR(VALUE(SUBSTITUTE(SUBSTITUTE(SUBSTITUTE(MID(L1398,SEARCH("(",L1398)+1,SEARCH(")",L1398)-SEARCH("(",L1398)-1),"$",""),",","")," ","")),0),0))</f>
        <v>0</v>
      </c>
    </row>
    <row r="1399" spans="1:27">
      <c r="A1399" s="137">
        <v>45994</v>
      </c>
      <c r="B1399" s="138" t="s">
        <v>4012</v>
      </c>
      <c r="C1399" s="138" t="s">
        <v>4013</v>
      </c>
      <c r="D1399" s="138" t="s">
        <v>24</v>
      </c>
      <c r="E1399" s="138">
        <v>85308</v>
      </c>
      <c r="F1399" s="138" t="s">
        <v>4014</v>
      </c>
      <c r="G1399" s="138" t="s">
        <v>3964</v>
      </c>
      <c r="H1399" s="140" t="s">
        <v>27</v>
      </c>
      <c r="I1399" s="141"/>
      <c r="J1399" s="141"/>
      <c r="K1399" s="141"/>
      <c r="L1399" s="141"/>
      <c r="M1399" s="141"/>
      <c r="N1399" s="141"/>
      <c r="O1399" s="141"/>
      <c r="P1399" s="141"/>
      <c r="Q1399" s="141"/>
      <c r="R1399" s="138"/>
      <c r="S1399" s="138"/>
      <c r="T1399" s="138"/>
      <c r="U1399" s="138"/>
      <c r="AA1399">
        <f>IF(COUNTIF('Call Queue'!$H$6:$H$20,V1399)&gt;0,0,IF(AND(ISNUMBER(N1399),N1399&gt;0),10000000+N1399,IF(ISNUMBER(N1399*1),IF(N1399*1&gt;0,10000000+N1399*1,0),0))+IF(ISNUMBER(SEARCH("(",L1399)),1000000+IFERROR(VALUE(SUBSTITUTE(SUBSTITUTE(SUBSTITUTE(MID(L1399,SEARCH("(",L1399)+1,SEARCH(")",L1399)-SEARCH("(",L1399)-1),"$",""),",","")," ","")),0),0))</f>
        <v>0</v>
      </c>
    </row>
    <row r="1400" spans="1:27">
      <c r="A1400" s="137">
        <v>45994</v>
      </c>
      <c r="B1400" s="138" t="s">
        <v>4019</v>
      </c>
      <c r="C1400" s="138" t="s">
        <v>4020</v>
      </c>
      <c r="D1400" s="138" t="s">
        <v>63</v>
      </c>
      <c r="E1400" s="138">
        <v>85003</v>
      </c>
      <c r="F1400" s="138" t="s">
        <v>4021</v>
      </c>
      <c r="G1400" s="138" t="s">
        <v>3964</v>
      </c>
      <c r="H1400" s="140" t="s">
        <v>27</v>
      </c>
      <c r="I1400" s="141"/>
      <c r="J1400" s="141"/>
      <c r="K1400" s="141"/>
      <c r="L1400" s="141"/>
      <c r="M1400" s="141"/>
      <c r="N1400" s="141"/>
      <c r="O1400" s="141"/>
      <c r="P1400" s="141"/>
      <c r="Q1400" s="141"/>
      <c r="R1400" s="138" t="s">
        <v>3965</v>
      </c>
      <c r="S1400" s="138"/>
      <c r="T1400" s="138"/>
      <c r="U1400" s="138"/>
      <c r="AA1400">
        <f>IF(COUNTIF('Call Queue'!$H$6:$H$20,V1400)&gt;0,0,IF(AND(ISNUMBER(N1400),N1400&gt;0),10000000+N1400,IF(ISNUMBER(N1400*1),IF(N1400*1&gt;0,10000000+N1400*1,0),0))+IF(ISNUMBER(SEARCH("(",L1400)),1000000+IFERROR(VALUE(SUBSTITUTE(SUBSTITUTE(SUBSTITUTE(MID(L1400,SEARCH("(",L1400)+1,SEARCH(")",L1400)-SEARCH("(",L1400)-1),"$",""),",","")," ","")),0),0))</f>
        <v>0</v>
      </c>
    </row>
    <row r="1401" spans="1:27">
      <c r="A1401" s="142">
        <v>45994</v>
      </c>
      <c r="B1401" s="143" t="s">
        <v>4022</v>
      </c>
      <c r="C1401" s="143" t="s">
        <v>4023</v>
      </c>
      <c r="D1401" s="143" t="s">
        <v>523</v>
      </c>
      <c r="E1401" s="143">
        <v>85323</v>
      </c>
      <c r="F1401" s="143" t="s">
        <v>4024</v>
      </c>
      <c r="G1401" s="143" t="s">
        <v>3964</v>
      </c>
      <c r="H1401" s="145" t="s">
        <v>27</v>
      </c>
      <c r="I1401" s="146"/>
      <c r="J1401" s="146"/>
      <c r="K1401" s="146"/>
      <c r="L1401" s="146"/>
      <c r="M1401" s="146"/>
      <c r="N1401" s="146"/>
      <c r="O1401" s="146"/>
      <c r="P1401" s="146"/>
      <c r="Q1401" s="146"/>
      <c r="R1401" s="143" t="s">
        <v>3965</v>
      </c>
      <c r="S1401" s="143"/>
      <c r="T1401" s="143"/>
      <c r="U1401" s="143"/>
      <c r="AA1401">
        <f>IF(COUNTIF('Call Queue'!$H$6:$H$20,V1401)&gt;0,0,IF(AND(ISNUMBER(N1401),N1401&gt;0),10000000+N1401,IF(ISNUMBER(N1401*1),IF(N1401*1&gt;0,10000000+N1401*1,0),0))+IF(ISNUMBER(SEARCH("(",L1401)),1000000+IFERROR(VALUE(SUBSTITUTE(SUBSTITUTE(SUBSTITUTE(MID(L1401,SEARCH("(",L1401)+1,SEARCH(")",L1401)-SEARCH("(",L1401)-1),"$",""),",","")," ","")),0),0))</f>
        <v>0</v>
      </c>
    </row>
    <row r="1402" spans="1:27">
      <c r="A1402" s="137">
        <v>45994</v>
      </c>
      <c r="B1402" s="138" t="s">
        <v>4025</v>
      </c>
      <c r="C1402" s="138" t="s">
        <v>4026</v>
      </c>
      <c r="D1402" s="138" t="s">
        <v>2542</v>
      </c>
      <c r="E1402" s="138">
        <v>86325</v>
      </c>
      <c r="F1402" s="138" t="s">
        <v>4027</v>
      </c>
      <c r="G1402" s="138" t="s">
        <v>3964</v>
      </c>
      <c r="H1402" s="140" t="s">
        <v>27</v>
      </c>
      <c r="I1402" s="141"/>
      <c r="J1402" s="141"/>
      <c r="K1402" s="141"/>
      <c r="L1402" s="141"/>
      <c r="M1402" s="141"/>
      <c r="N1402" s="141"/>
      <c r="O1402" s="141"/>
      <c r="P1402" s="141"/>
      <c r="Q1402" s="141"/>
      <c r="R1402" s="138"/>
      <c r="S1402" s="138"/>
      <c r="T1402" s="138"/>
      <c r="U1402" s="138"/>
      <c r="AA1402">
        <f>IF(COUNTIF('Call Queue'!$H$6:$H$20,V1402)&gt;0,0,IF(AND(ISNUMBER(N1402),N1402&gt;0),10000000+N1402,IF(ISNUMBER(N1402*1),IF(N1402*1&gt;0,10000000+N1402*1,0),0))+IF(ISNUMBER(SEARCH("(",L1402)),1000000+IFERROR(VALUE(SUBSTITUTE(SUBSTITUTE(SUBSTITUTE(MID(L1402,SEARCH("(",L1402)+1,SEARCH(")",L1402)-SEARCH("(",L1402)-1),"$",""),",","")," ","")),0),0))</f>
        <v>0</v>
      </c>
    </row>
    <row r="1403" spans="1:27">
      <c r="A1403" s="142">
        <v>45994</v>
      </c>
      <c r="B1403" s="143" t="s">
        <v>4028</v>
      </c>
      <c r="C1403" s="143" t="s">
        <v>4029</v>
      </c>
      <c r="D1403" s="143" t="s">
        <v>112</v>
      </c>
      <c r="E1403" s="143">
        <v>85379</v>
      </c>
      <c r="F1403" s="143" t="s">
        <v>4030</v>
      </c>
      <c r="G1403" s="143" t="s">
        <v>3964</v>
      </c>
      <c r="H1403" s="145" t="s">
        <v>27</v>
      </c>
      <c r="I1403" s="146"/>
      <c r="J1403" s="146"/>
      <c r="K1403" s="146"/>
      <c r="L1403" s="146"/>
      <c r="M1403" s="146"/>
      <c r="N1403" s="146"/>
      <c r="O1403" s="146"/>
      <c r="P1403" s="146"/>
      <c r="Q1403" s="146"/>
      <c r="R1403" s="143"/>
      <c r="S1403" s="143"/>
      <c r="T1403" s="143"/>
      <c r="U1403" s="143"/>
      <c r="AA1403">
        <f>IF(COUNTIF('Call Queue'!$H$6:$H$20,V1403)&gt;0,0,IF(AND(ISNUMBER(N1403),N1403&gt;0),10000000+N1403,IF(ISNUMBER(N1403*1),IF(N1403*1&gt;0,10000000+N1403*1,0),0))+IF(ISNUMBER(SEARCH("(",L1403)),1000000+IFERROR(VALUE(SUBSTITUTE(SUBSTITUTE(SUBSTITUTE(MID(L1403,SEARCH("(",L1403)+1,SEARCH(")",L1403)-SEARCH("(",L1403)-1),"$",""),",","")," ","")),0),0))</f>
        <v>0</v>
      </c>
    </row>
    <row r="1404" spans="1:27">
      <c r="A1404" s="137">
        <v>45994</v>
      </c>
      <c r="B1404" s="138" t="s">
        <v>4037</v>
      </c>
      <c r="C1404" s="138" t="s">
        <v>4038</v>
      </c>
      <c r="D1404" s="138" t="s">
        <v>63</v>
      </c>
      <c r="E1404" s="138">
        <v>85037</v>
      </c>
      <c r="F1404" s="138" t="s">
        <v>4039</v>
      </c>
      <c r="G1404" s="138" t="s">
        <v>3964</v>
      </c>
      <c r="H1404" s="140" t="s">
        <v>27</v>
      </c>
      <c r="I1404" s="141"/>
      <c r="J1404" s="141"/>
      <c r="K1404" s="141"/>
      <c r="L1404" s="141"/>
      <c r="M1404" s="141"/>
      <c r="N1404" s="141"/>
      <c r="O1404" s="141"/>
      <c r="P1404" s="141"/>
      <c r="Q1404" s="141"/>
      <c r="R1404" s="138" t="s">
        <v>3965</v>
      </c>
      <c r="S1404" s="138"/>
      <c r="T1404" s="138"/>
      <c r="U1404" s="138"/>
      <c r="AA1404">
        <f>IF(COUNTIF('Call Queue'!$H$6:$H$20,V1404)&gt;0,0,IF(AND(ISNUMBER(N1404),N1404&gt;0),10000000+N1404,IF(ISNUMBER(N1404*1),IF(N1404*1&gt;0,10000000+N1404*1,0),0))+IF(ISNUMBER(SEARCH("(",L1404)),1000000+IFERROR(VALUE(SUBSTITUTE(SUBSTITUTE(SUBSTITUTE(MID(L1404,SEARCH("(",L1404)+1,SEARCH(")",L1404)-SEARCH("(",L1404)-1),"$",""),",","")," ","")),0),0))</f>
        <v>0</v>
      </c>
    </row>
    <row r="1405" spans="1:27">
      <c r="A1405" s="142">
        <v>45994</v>
      </c>
      <c r="B1405" s="143" t="s">
        <v>219</v>
      </c>
      <c r="C1405" s="143" t="s">
        <v>4040</v>
      </c>
      <c r="D1405" s="143" t="s">
        <v>63</v>
      </c>
      <c r="E1405" s="143">
        <v>85017</v>
      </c>
      <c r="F1405" s="143" t="s">
        <v>4041</v>
      </c>
      <c r="G1405" s="143" t="s">
        <v>3964</v>
      </c>
      <c r="H1405" s="145" t="s">
        <v>27</v>
      </c>
      <c r="I1405" s="146"/>
      <c r="J1405" s="146"/>
      <c r="K1405" s="146"/>
      <c r="L1405" s="146"/>
      <c r="M1405" s="146"/>
      <c r="N1405" s="146"/>
      <c r="O1405" s="146"/>
      <c r="P1405" s="146"/>
      <c r="Q1405" s="146"/>
      <c r="R1405" s="143" t="s">
        <v>3965</v>
      </c>
      <c r="S1405" s="143"/>
      <c r="T1405" s="143"/>
      <c r="U1405" s="143"/>
      <c r="AA1405">
        <f>IF(COUNTIF('Call Queue'!$H$6:$H$20,V1405)&gt;0,0,IF(AND(ISNUMBER(N1405),N1405&gt;0),10000000+N1405,IF(ISNUMBER(N1405*1),IF(N1405*1&gt;0,10000000+N1405*1,0),0))+IF(ISNUMBER(SEARCH("(",L1405)),1000000+IFERROR(VALUE(SUBSTITUTE(SUBSTITUTE(SUBSTITUTE(MID(L1405,SEARCH("(",L1405)+1,SEARCH(")",L1405)-SEARCH("(",L1405)-1),"$",""),",","")," ","")),0),0))</f>
        <v>0</v>
      </c>
    </row>
    <row r="1406" spans="1:27">
      <c r="A1406" s="142">
        <v>45994</v>
      </c>
      <c r="B1406" s="143" t="s">
        <v>4044</v>
      </c>
      <c r="C1406" s="143" t="s">
        <v>4045</v>
      </c>
      <c r="D1406" s="143" t="s">
        <v>63</v>
      </c>
      <c r="E1406" s="143">
        <v>85042</v>
      </c>
      <c r="F1406" s="143" t="s">
        <v>4046</v>
      </c>
      <c r="G1406" s="143" t="s">
        <v>3964</v>
      </c>
      <c r="H1406" s="145" t="s">
        <v>27</v>
      </c>
      <c r="I1406" s="146"/>
      <c r="J1406" s="146"/>
      <c r="K1406" s="146"/>
      <c r="L1406" s="146"/>
      <c r="M1406" s="146"/>
      <c r="N1406" s="146"/>
      <c r="O1406" s="146"/>
      <c r="P1406" s="146"/>
      <c r="Q1406" s="146"/>
      <c r="R1406" s="143"/>
      <c r="S1406" s="143"/>
      <c r="T1406" s="143"/>
      <c r="U1406" s="143"/>
      <c r="AA1406">
        <f>IF(COUNTIF('Call Queue'!$H$6:$H$20,V1406)&gt;0,0,IF(AND(ISNUMBER(N1406),N1406&gt;0),10000000+N1406,IF(ISNUMBER(N1406*1),IF(N1406*1&gt;0,10000000+N1406*1,0),0))+IF(ISNUMBER(SEARCH("(",L1406)),1000000+IFERROR(VALUE(SUBSTITUTE(SUBSTITUTE(SUBSTITUTE(MID(L1406,SEARCH("(",L1406)+1,SEARCH(")",L1406)-SEARCH("(",L1406)-1),"$",""),",","")," ","")),0),0))</f>
        <v>0</v>
      </c>
    </row>
    <row r="1407" spans="1:27">
      <c r="A1407" s="137">
        <v>45994</v>
      </c>
      <c r="B1407" s="138" t="s">
        <v>4047</v>
      </c>
      <c r="C1407" s="138" t="s">
        <v>4048</v>
      </c>
      <c r="D1407" s="138" t="s">
        <v>4049</v>
      </c>
      <c r="E1407" s="138">
        <v>85040</v>
      </c>
      <c r="F1407" s="138" t="s">
        <v>4050</v>
      </c>
      <c r="G1407" s="138" t="s">
        <v>3964</v>
      </c>
      <c r="H1407" s="140" t="s">
        <v>27</v>
      </c>
      <c r="I1407" s="141"/>
      <c r="J1407" s="141"/>
      <c r="K1407" s="141"/>
      <c r="L1407" s="141"/>
      <c r="M1407" s="141"/>
      <c r="N1407" s="141"/>
      <c r="O1407" s="141"/>
      <c r="P1407" s="141"/>
      <c r="Q1407" s="141"/>
      <c r="R1407" s="138" t="s">
        <v>3965</v>
      </c>
      <c r="S1407" s="138"/>
      <c r="T1407" s="138"/>
      <c r="U1407" s="138"/>
      <c r="AA1407">
        <f>IF(COUNTIF('Call Queue'!$H$6:$H$20,V1407)&gt;0,0,IF(AND(ISNUMBER(N1407),N1407&gt;0),10000000+N1407,IF(ISNUMBER(N1407*1),IF(N1407*1&gt;0,10000000+N1407*1,0),0))+IF(ISNUMBER(SEARCH("(",L1407)),1000000+IFERROR(VALUE(SUBSTITUTE(SUBSTITUTE(SUBSTITUTE(MID(L1407,SEARCH("(",L1407)+1,SEARCH(")",L1407)-SEARCH("(",L1407)-1),"$",""),",","")," ","")),0),0))</f>
        <v>0</v>
      </c>
    </row>
    <row r="1408" spans="1:27">
      <c r="A1408" s="137">
        <v>46003</v>
      </c>
      <c r="B1408" s="138" t="s">
        <v>4063</v>
      </c>
      <c r="C1408" s="138" t="s">
        <v>784</v>
      </c>
      <c r="D1408" s="138" t="s">
        <v>112</v>
      </c>
      <c r="E1408" s="138">
        <v>85378</v>
      </c>
      <c r="F1408" s="138" t="s">
        <v>4064</v>
      </c>
      <c r="G1408" s="138" t="s">
        <v>4065</v>
      </c>
      <c r="H1408" s="140" t="s">
        <v>27</v>
      </c>
      <c r="I1408" s="141"/>
      <c r="J1408" s="141"/>
      <c r="K1408" s="141"/>
      <c r="L1408" s="141"/>
      <c r="M1408" s="141"/>
      <c r="N1408" s="141"/>
      <c r="O1408" s="141"/>
      <c r="P1408" s="141"/>
      <c r="Q1408" s="141"/>
      <c r="R1408" s="138"/>
      <c r="S1408" s="138"/>
      <c r="T1408" s="138"/>
      <c r="U1408" s="138"/>
      <c r="AA1408">
        <f>IF(COUNTIF('Call Queue'!$H$6:$H$20,V1408)&gt;0,0,IF(AND(ISNUMBER(N1408),N1408&gt;0),10000000+N1408,IF(ISNUMBER(N1408*1),IF(N1408*1&gt;0,10000000+N1408*1,0),0))+IF(ISNUMBER(SEARCH("(",L1408)),1000000+IFERROR(VALUE(SUBSTITUTE(SUBSTITUTE(SUBSTITUTE(MID(L1408,SEARCH("(",L1408)+1,SEARCH(")",L1408)-SEARCH("(",L1408)-1),"$",""),",","")," ","")),0),0))</f>
        <v>0</v>
      </c>
    </row>
    <row r="1409" spans="1:27">
      <c r="A1409" s="137">
        <v>46006</v>
      </c>
      <c r="B1409" s="138" t="s">
        <v>214</v>
      </c>
      <c r="C1409" s="138" t="s">
        <v>199</v>
      </c>
      <c r="D1409" s="138" t="s">
        <v>3538</v>
      </c>
      <c r="E1409" s="138" t="s">
        <v>30</v>
      </c>
      <c r="F1409" s="138" t="s">
        <v>3865</v>
      </c>
      <c r="G1409" s="138" t="s">
        <v>4080</v>
      </c>
      <c r="H1409" s="140" t="s">
        <v>27</v>
      </c>
      <c r="I1409" s="141"/>
      <c r="J1409" s="141"/>
      <c r="K1409" s="141"/>
      <c r="L1409" s="141"/>
      <c r="M1409" s="141"/>
      <c r="N1409" s="141"/>
      <c r="O1409" s="141"/>
      <c r="P1409" s="141"/>
      <c r="Q1409" s="141"/>
      <c r="R1409" s="138"/>
      <c r="S1409" s="138"/>
      <c r="T1409" s="138"/>
      <c r="U1409" s="138"/>
      <c r="AA1409">
        <f>IF(COUNTIF('Call Queue'!$H$6:$H$20,V1409)&gt;0,0,IF(AND(ISNUMBER(N1409),N1409&gt;0),10000000+N1409,IF(ISNUMBER(N1409*1),IF(N1409*1&gt;0,10000000+N1409*1,0),0))+IF(ISNUMBER(SEARCH("(",L1409)),1000000+IFERROR(VALUE(SUBSTITUTE(SUBSTITUTE(SUBSTITUTE(MID(L1409,SEARCH("(",L1409)+1,SEARCH(")",L1409)-SEARCH("(",L1409)-1),"$",""),",","")," ","")),0),0))</f>
        <v>0</v>
      </c>
    </row>
    <row r="1410" spans="1:27">
      <c r="A1410" s="137">
        <v>46006</v>
      </c>
      <c r="B1410" s="138" t="s">
        <v>4084</v>
      </c>
      <c r="C1410" s="138" t="s">
        <v>4085</v>
      </c>
      <c r="D1410" s="138" t="s">
        <v>293</v>
      </c>
      <c r="E1410" s="138">
        <v>85138</v>
      </c>
      <c r="F1410" s="138" t="s">
        <v>4086</v>
      </c>
      <c r="G1410" s="138" t="s">
        <v>4087</v>
      </c>
      <c r="H1410" s="140" t="s">
        <v>27</v>
      </c>
      <c r="I1410" s="141"/>
      <c r="J1410" s="141"/>
      <c r="K1410" s="141"/>
      <c r="L1410" s="141"/>
      <c r="M1410" s="141"/>
      <c r="N1410" s="141"/>
      <c r="O1410" s="141"/>
      <c r="P1410" s="141"/>
      <c r="Q1410" s="141"/>
      <c r="R1410" s="138"/>
      <c r="S1410" s="138"/>
      <c r="T1410" s="138"/>
      <c r="U1410" s="138"/>
      <c r="AA1410">
        <f>IF(COUNTIF('Call Queue'!$H$6:$H$20,V1410)&gt;0,0,IF(AND(ISNUMBER(N1410),N1410&gt;0),10000000+N1410,IF(ISNUMBER(N1410*1),IF(N1410*1&gt;0,10000000+N1410*1,0),0))+IF(ISNUMBER(SEARCH("(",L1410)),1000000+IFERROR(VALUE(SUBSTITUTE(SUBSTITUTE(SUBSTITUTE(MID(L1410,SEARCH("(",L1410)+1,SEARCH(")",L1410)-SEARCH("(",L1410)-1),"$",""),",","")," ","")),0),0))</f>
        <v>0</v>
      </c>
    </row>
    <row r="1411" spans="1:27">
      <c r="A1411" s="142">
        <v>46006</v>
      </c>
      <c r="B1411" s="143" t="s">
        <v>4088</v>
      </c>
      <c r="C1411" s="143" t="s">
        <v>662</v>
      </c>
      <c r="D1411" s="143" t="s">
        <v>4089</v>
      </c>
      <c r="E1411" s="143">
        <v>89145</v>
      </c>
      <c r="F1411" s="143" t="s">
        <v>4090</v>
      </c>
      <c r="G1411" s="143" t="s">
        <v>4091</v>
      </c>
      <c r="H1411" s="145" t="s">
        <v>27</v>
      </c>
      <c r="I1411" s="146"/>
      <c r="J1411" s="146"/>
      <c r="K1411" s="146"/>
      <c r="L1411" s="146"/>
      <c r="M1411" s="146"/>
      <c r="N1411" s="146"/>
      <c r="O1411" s="146"/>
      <c r="P1411" s="146"/>
      <c r="Q1411" s="146"/>
      <c r="R1411" s="143"/>
      <c r="S1411" s="143"/>
      <c r="T1411" s="143"/>
      <c r="U1411" s="143"/>
      <c r="AA1411">
        <f>IF(COUNTIF('Call Queue'!$H$6:$H$20,V1411)&gt;0,0,IF(AND(ISNUMBER(N1411),N1411&gt;0),10000000+N1411,IF(ISNUMBER(N1411*1),IF(N1411*1&gt;0,10000000+N1411*1,0),0))+IF(ISNUMBER(SEARCH("(",L1411)),1000000+IFERROR(VALUE(SUBSTITUTE(SUBSTITUTE(SUBSTITUTE(MID(L1411,SEARCH("(",L1411)+1,SEARCH(")",L1411)-SEARCH("(",L1411)-1),"$",""),",","")," ","")),0),0))</f>
        <v>0</v>
      </c>
    </row>
    <row r="1412" spans="1:27">
      <c r="A1412" s="137">
        <v>46008</v>
      </c>
      <c r="B1412" s="138" t="s">
        <v>1713</v>
      </c>
      <c r="C1412" s="138" t="s">
        <v>1714</v>
      </c>
      <c r="D1412" s="138" t="s">
        <v>30</v>
      </c>
      <c r="E1412" s="138" t="s">
        <v>30</v>
      </c>
      <c r="F1412" s="138" t="s">
        <v>4092</v>
      </c>
      <c r="G1412" s="138" t="s">
        <v>4093</v>
      </c>
      <c r="H1412" s="140" t="s">
        <v>27</v>
      </c>
      <c r="I1412" s="141"/>
      <c r="J1412" s="141"/>
      <c r="K1412" s="141"/>
      <c r="L1412" s="141"/>
      <c r="M1412" s="141"/>
      <c r="N1412" s="141"/>
      <c r="O1412" s="141"/>
      <c r="P1412" s="141"/>
      <c r="Q1412" s="141"/>
      <c r="R1412" s="138"/>
      <c r="S1412" s="138"/>
      <c r="T1412" s="138"/>
      <c r="U1412" s="138"/>
      <c r="AA1412">
        <f>IF(COUNTIF('Call Queue'!$H$6:$H$20,V1412)&gt;0,0,IF(AND(ISNUMBER(N1412),N1412&gt;0),10000000+N1412,IF(ISNUMBER(N1412*1),IF(N1412*1&gt;0,10000000+N1412*1,0),0))+IF(ISNUMBER(SEARCH("(",L1412)),1000000+IFERROR(VALUE(SUBSTITUTE(SUBSTITUTE(SUBSTITUTE(MID(L1412,SEARCH("(",L1412)+1,SEARCH(")",L1412)-SEARCH("(",L1412)-1),"$",""),",","")," ","")),0),0))</f>
        <v>0</v>
      </c>
    </row>
    <row r="1413" spans="1:27">
      <c r="A1413" s="137">
        <v>46009</v>
      </c>
      <c r="B1413" s="138" t="s">
        <v>2348</v>
      </c>
      <c r="C1413" s="138" t="s">
        <v>4099</v>
      </c>
      <c r="D1413" s="138" t="s">
        <v>112</v>
      </c>
      <c r="E1413" s="138">
        <v>85387</v>
      </c>
      <c r="F1413" s="138" t="s">
        <v>3865</v>
      </c>
      <c r="G1413" s="164" t="s">
        <v>4096</v>
      </c>
      <c r="H1413" s="140" t="s">
        <v>27</v>
      </c>
      <c r="I1413" s="141"/>
      <c r="J1413" s="141"/>
      <c r="K1413" s="141"/>
      <c r="L1413" s="141"/>
      <c r="M1413" s="141"/>
      <c r="N1413" s="141"/>
      <c r="O1413" s="141"/>
      <c r="P1413" s="141"/>
      <c r="Q1413" s="141"/>
      <c r="R1413" s="138"/>
      <c r="S1413" s="138"/>
      <c r="T1413" s="138"/>
      <c r="U1413" s="138"/>
      <c r="AA1413">
        <f>IF(COUNTIF('Call Queue'!$H$6:$H$20,V1413)&gt;0,0,IF(AND(ISNUMBER(N1413),N1413&gt;0),10000000+N1413,IF(ISNUMBER(N1413*1),IF(N1413*1&gt;0,10000000+N1413*1,0),0))+IF(ISNUMBER(SEARCH("(",L1413)),1000000+IFERROR(VALUE(SUBSTITUTE(SUBSTITUTE(SUBSTITUTE(MID(L1413,SEARCH("(",L1413)+1,SEARCH(")",L1413)-SEARCH("(",L1413)-1),"$",""),",","")," ","")),0),0))</f>
        <v>0</v>
      </c>
    </row>
    <row r="1414" spans="1:27">
      <c r="A1414" s="142">
        <v>46010</v>
      </c>
      <c r="B1414" s="143" t="s">
        <v>4100</v>
      </c>
      <c r="C1414" s="143" t="s">
        <v>4101</v>
      </c>
      <c r="D1414" s="143" t="s">
        <v>635</v>
      </c>
      <c r="E1414" s="143"/>
      <c r="F1414" s="143" t="s">
        <v>3865</v>
      </c>
      <c r="G1414" s="166" t="s">
        <v>4102</v>
      </c>
      <c r="H1414" s="145" t="s">
        <v>27</v>
      </c>
      <c r="I1414" s="146"/>
      <c r="J1414" s="146"/>
      <c r="K1414" s="146"/>
      <c r="L1414" s="146"/>
      <c r="M1414" s="146"/>
      <c r="N1414" s="146"/>
      <c r="O1414" s="146"/>
      <c r="P1414" s="146"/>
      <c r="Q1414" s="146"/>
      <c r="R1414" s="143"/>
      <c r="S1414" s="143"/>
      <c r="T1414" s="143"/>
      <c r="U1414" s="143"/>
      <c r="AA1414">
        <f>IF(COUNTIF('Call Queue'!$H$6:$H$20,V1414)&gt;0,0,IF(AND(ISNUMBER(N1414),N1414&gt;0),10000000+N1414,IF(ISNUMBER(N1414*1),IF(N1414*1&gt;0,10000000+N1414*1,0),0))+IF(ISNUMBER(SEARCH("(",L1414)),1000000+IFERROR(VALUE(SUBSTITUTE(SUBSTITUTE(SUBSTITUTE(MID(L1414,SEARCH("(",L1414)+1,SEARCH(")",L1414)-SEARCH("(",L1414)-1),"$",""),",","")," ","")),0),0))</f>
        <v>0</v>
      </c>
    </row>
    <row r="1415" spans="1:27">
      <c r="A1415" s="137">
        <v>46010</v>
      </c>
      <c r="B1415" s="138" t="s">
        <v>1195</v>
      </c>
      <c r="C1415" s="138" t="s">
        <v>4103</v>
      </c>
      <c r="D1415" s="138" t="s">
        <v>112</v>
      </c>
      <c r="E1415" s="138">
        <v>85387</v>
      </c>
      <c r="F1415" s="138" t="s">
        <v>3865</v>
      </c>
      <c r="G1415" s="164" t="s">
        <v>4102</v>
      </c>
      <c r="H1415" s="140" t="s">
        <v>27</v>
      </c>
      <c r="I1415" s="141"/>
      <c r="J1415" s="141"/>
      <c r="K1415" s="141"/>
      <c r="L1415" s="141"/>
      <c r="M1415" s="141"/>
      <c r="N1415" s="141"/>
      <c r="O1415" s="141"/>
      <c r="P1415" s="141"/>
      <c r="Q1415" s="141"/>
      <c r="R1415" s="138"/>
      <c r="S1415" s="138"/>
      <c r="T1415" s="138"/>
      <c r="U1415" s="138"/>
      <c r="AA1415">
        <f>IF(COUNTIF('Call Queue'!$H$6:$H$20,V1415)&gt;0,0,IF(AND(ISNUMBER(N1415),N1415&gt;0),10000000+N1415,IF(ISNUMBER(N1415*1),IF(N1415*1&gt;0,10000000+N1415*1,0),0))+IF(ISNUMBER(SEARCH("(",L1415)),1000000+IFERROR(VALUE(SUBSTITUTE(SUBSTITUTE(SUBSTITUTE(MID(L1415,SEARCH("(",L1415)+1,SEARCH(")",L1415)-SEARCH("(",L1415)-1),"$",""),",","")," ","")),0),0))</f>
        <v>0</v>
      </c>
    </row>
    <row r="1416" spans="1:27">
      <c r="A1416" s="137">
        <v>46010</v>
      </c>
      <c r="B1416" s="138" t="s">
        <v>4108</v>
      </c>
      <c r="C1416" s="138" t="s">
        <v>702</v>
      </c>
      <c r="D1416" s="138" t="s">
        <v>63</v>
      </c>
      <c r="E1416" s="138">
        <v>85016</v>
      </c>
      <c r="F1416" s="138" t="s">
        <v>3865</v>
      </c>
      <c r="G1416" s="164" t="s">
        <v>4102</v>
      </c>
      <c r="H1416" s="140" t="s">
        <v>90</v>
      </c>
      <c r="I1416" s="141"/>
      <c r="J1416" s="141"/>
      <c r="K1416" s="141"/>
      <c r="L1416" s="141"/>
      <c r="M1416" s="141"/>
      <c r="N1416" s="141"/>
      <c r="O1416" s="141"/>
      <c r="P1416" s="141"/>
      <c r="Q1416" s="141"/>
      <c r="R1416" s="138"/>
      <c r="S1416" s="138"/>
      <c r="T1416" s="138"/>
      <c r="U1416" s="138"/>
      <c r="AA1416">
        <f>IF(COUNTIF('Call Queue'!$H$6:$H$20,V1416)&gt;0,0,IF(AND(ISNUMBER(N1416),N1416&gt;0),10000000+N1416,IF(ISNUMBER(N1416*1),IF(N1416*1&gt;0,10000000+N1416*1,0),0))+IF(ISNUMBER(SEARCH("(",L1416)),1000000+IFERROR(VALUE(SUBSTITUTE(SUBSTITUTE(SUBSTITUTE(MID(L1416,SEARCH("(",L1416)+1,SEARCH(")",L1416)-SEARCH("(",L1416)-1),"$",""),",","")," ","")),0),0))</f>
        <v>0</v>
      </c>
    </row>
    <row r="1417" spans="1:27">
      <c r="A1417" s="137">
        <v>46010</v>
      </c>
      <c r="B1417" s="138" t="s">
        <v>526</v>
      </c>
      <c r="C1417" s="138" t="s">
        <v>427</v>
      </c>
      <c r="D1417" s="138" t="s">
        <v>169</v>
      </c>
      <c r="E1417" s="138">
        <v>85338</v>
      </c>
      <c r="F1417" s="138" t="s">
        <v>3865</v>
      </c>
      <c r="G1417" s="164" t="s">
        <v>4102</v>
      </c>
      <c r="H1417" s="140" t="s">
        <v>27</v>
      </c>
      <c r="I1417" s="141"/>
      <c r="J1417" s="141"/>
      <c r="K1417" s="141"/>
      <c r="L1417" s="141"/>
      <c r="M1417" s="141"/>
      <c r="N1417" s="141"/>
      <c r="O1417" s="141"/>
      <c r="P1417" s="141"/>
      <c r="Q1417" s="141"/>
      <c r="R1417" s="138"/>
      <c r="S1417" s="138"/>
      <c r="T1417" s="138"/>
      <c r="U1417" s="138"/>
      <c r="AA1417">
        <f>IF(COUNTIF('Call Queue'!$H$6:$H$20,V1417)&gt;0,0,IF(AND(ISNUMBER(N1417),N1417&gt;0),10000000+N1417,IF(ISNUMBER(N1417*1),IF(N1417*1&gt;0,10000000+N1417*1,0),0))+IF(ISNUMBER(SEARCH("(",L1417)),1000000+IFERROR(VALUE(SUBSTITUTE(SUBSTITUTE(SUBSTITUTE(MID(L1417,SEARCH("(",L1417)+1,SEARCH(")",L1417)-SEARCH("(",L1417)-1),"$",""),",","")," ","")),0),0))</f>
        <v>0</v>
      </c>
    </row>
    <row r="1418" spans="1:27">
      <c r="A1418" s="142">
        <v>46010</v>
      </c>
      <c r="B1418" s="143" t="s">
        <v>4110</v>
      </c>
      <c r="C1418" s="143" t="s">
        <v>1323</v>
      </c>
      <c r="D1418" s="143" t="s">
        <v>370</v>
      </c>
      <c r="E1418" s="143">
        <v>85286</v>
      </c>
      <c r="F1418" s="143" t="s">
        <v>3865</v>
      </c>
      <c r="G1418" s="166" t="s">
        <v>4102</v>
      </c>
      <c r="H1418" s="145" t="s">
        <v>27</v>
      </c>
      <c r="I1418" s="146"/>
      <c r="J1418" s="146"/>
      <c r="K1418" s="146"/>
      <c r="L1418" s="146"/>
      <c r="M1418" s="146"/>
      <c r="N1418" s="146"/>
      <c r="O1418" s="146"/>
      <c r="P1418" s="146"/>
      <c r="Q1418" s="146"/>
      <c r="R1418" s="143"/>
      <c r="S1418" s="143"/>
      <c r="T1418" s="143"/>
      <c r="U1418" s="143"/>
      <c r="AA1418">
        <f>IF(COUNTIF('Call Queue'!$H$6:$H$20,V1418)&gt;0,0,IF(AND(ISNUMBER(N1418),N1418&gt;0),10000000+N1418,IF(ISNUMBER(N1418*1),IF(N1418*1&gt;0,10000000+N1418*1,0),0))+IF(ISNUMBER(SEARCH("(",L1418)),1000000+IFERROR(VALUE(SUBSTITUTE(SUBSTITUTE(SUBSTITUTE(MID(L1418,SEARCH("(",L1418)+1,SEARCH(")",L1418)-SEARCH("(",L1418)-1),"$",""),",","")," ","")),0),0))</f>
        <v>0</v>
      </c>
    </row>
  </sheetData>
  <dataValidations count="1">
    <dataValidation allowBlank="1" showInputMessage="1" showErrorMessage="1" sqref="X2:Y1062 V2:V1062" xr:uid="{D22D4946-0682-46A9-A97A-D1B280836859}"/>
  </dataValidations>
  <hyperlinks>
    <hyperlink ref="G1386" r:id="rId1" xr:uid="{6A695CE2-AA09-4F22-921C-E1CE710C25D3}"/>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D9706-F5B6-4756-97E5-474D798D6DEB}">
  <sheetPr codeName="Sheet3">
    <tabColor rgb="FF0078D4"/>
  </sheetPr>
  <dimension ref="B1:H35"/>
  <sheetViews>
    <sheetView workbookViewId="0">
      <selection activeCell="F21" sqref="F21"/>
    </sheetView>
  </sheetViews>
  <sheetFormatPr defaultRowHeight="15"/>
  <cols>
    <col min="1" max="1" width="2.85546875" customWidth="1"/>
    <col min="2" max="2" width="28.5703125" customWidth="1"/>
    <col min="3" max="3" width="66.7109375" customWidth="1"/>
    <col min="4" max="5" width="2.85546875" customWidth="1"/>
    <col min="6" max="6" width="24.7109375" customWidth="1"/>
    <col min="7" max="7" width="15.28515625" customWidth="1"/>
  </cols>
  <sheetData>
    <row r="1" spans="2:8">
      <c r="H1" s="86">
        <v>998</v>
      </c>
    </row>
    <row r="2" spans="2:8" ht="28.5">
      <c r="B2" s="84" t="s">
        <v>5485</v>
      </c>
      <c r="F2" s="85" t="s">
        <v>5486</v>
      </c>
      <c r="G2" s="87" cm="1">
        <f t="array" ref="G2">H4-1-SUMPRODUCT((COUNTIF($H$6:$H$20,'Call Log'!V2:V2000)&gt;0)*1)</f>
        <v>932</v>
      </c>
      <c r="H2" s="86">
        <f>IF(H1=0,0,H1+1)</f>
        <v>999</v>
      </c>
    </row>
    <row r="3" spans="2:8" ht="15.75">
      <c r="B3" s="134" t="s">
        <v>5635</v>
      </c>
      <c r="H3" s="136" t="s">
        <v>5431</v>
      </c>
    </row>
    <row r="4" spans="2:8">
      <c r="H4" s="86">
        <f>COUNTA('Call Log'!A:A)</f>
        <v>1418</v>
      </c>
    </row>
    <row r="5" spans="2:8">
      <c r="B5" s="92"/>
      <c r="C5" s="93"/>
      <c r="H5" s="86" t="s">
        <v>5638</v>
      </c>
    </row>
    <row r="6" spans="2:8" ht="18.75">
      <c r="B6" s="88" t="s">
        <v>5487</v>
      </c>
      <c r="C6" s="90"/>
      <c r="H6" s="86" t="s">
        <v>5432</v>
      </c>
    </row>
    <row r="7" spans="2:8">
      <c r="B7" s="89"/>
      <c r="C7" s="90"/>
      <c r="H7" s="86" t="s">
        <v>117</v>
      </c>
    </row>
    <row r="8" spans="2:8" ht="18.75">
      <c r="B8" s="89" t="s">
        <v>5488</v>
      </c>
      <c r="C8" s="102" t="str" cm="1">
        <f t="array" ref="C8">IF($H$1=0,"No customers remaining",INDEX('Call Log'!C:C,$H$1+1)&amp;" "&amp;INDEX('Call Log'!B:B,$H$1+1))</f>
        <v>Lisa Hobson</v>
      </c>
    </row>
    <row r="9" spans="2:8">
      <c r="B9" s="89" t="s">
        <v>5489</v>
      </c>
      <c r="C9" s="128" cm="1">
        <f t="array" ref="C9">IF($H$1=0,"",INDEX('Call Log'!H:H,$H$1+1))</f>
        <v>9549931000</v>
      </c>
    </row>
    <row r="10" spans="2:8">
      <c r="B10" s="89" t="s">
        <v>5490</v>
      </c>
      <c r="C10" s="90" t="str" cm="1">
        <f t="array" ref="C10">IF($H$1=0,"",INDEX('Call Log'!I:I,$H$1+1)&amp;IF(OR(ISNUMBER(SEARCH("EPR",INDEX('Call Log'!I:I,$H$1+1))),ISNUMBER(SEARCH("RCP",INDEX('Call Log'!I:I,$H$1+1)))),"  ☀️ SOLAR",""))</f>
        <v>R-BASICL</v>
      </c>
    </row>
    <row r="11" spans="2:8">
      <c r="B11" s="89" t="s">
        <v>5491</v>
      </c>
      <c r="C11" s="90" t="str" cm="1">
        <f t="array" ref="C11">IF($H$1=0,"",INDEX('Call Log'!D:D,$H$1+1)&amp;" / "&amp;INDEX('Call Log'!E:E,$H$1+1))</f>
        <v>Sedona / 86351</v>
      </c>
    </row>
    <row r="12" spans="2:8">
      <c r="B12" s="89"/>
      <c r="C12" s="90"/>
    </row>
    <row r="13" spans="2:8">
      <c r="B13" s="89" t="s">
        <v>5492</v>
      </c>
      <c r="C13" s="90" t="str" cm="1">
        <f t="array" ref="C13">IF($H$1=0,"",INDEX('Call Log'!F:F,$H$1+1))</f>
        <v>That is an unacceptable increase</v>
      </c>
    </row>
    <row r="14" spans="2:8">
      <c r="B14" s="89" t="s">
        <v>5493</v>
      </c>
      <c r="C14" s="129" t="str" cm="1">
        <f t="array" ref="C14">IF($H$1=0,"",HYPERLINK(INDEX('Call Log'!G:G,$H$1+1),INDEX('Call Log'!G:G,$H$1+1)))</f>
        <v>https://docket.images.azcc.gov/E000047324.pdf</v>
      </c>
    </row>
    <row r="15" spans="2:8">
      <c r="B15" s="89"/>
      <c r="C15" s="90"/>
    </row>
    <row r="16" spans="2:8" ht="15.75">
      <c r="B16" s="89" t="s">
        <v>5494</v>
      </c>
      <c r="C16" s="91" t="str" cm="1">
        <f t="array" ref="C16">IF($H$1=0,"",IF(LEFT(INDEX('Call Log'!L:L,$H$1+1),3)="Yes","✓ On MEP",IF(INDEX('Call Log'!L:L,$H$1+1)="","Unknown","✗ NOT on MEP")))</f>
        <v>✗ NOT on MEP</v>
      </c>
    </row>
    <row r="17" spans="2:4">
      <c r="B17" s="89" t="s">
        <v>5509</v>
      </c>
      <c r="C17" s="90" t="str" cm="1">
        <f t="array" ref="C17">IF($H$1=0,"",_xlfn.LET(_xlpm.val,INDEX('Call Log'!L:L,$H$1+1),IF(_xlpm.val="","Not yet reviewed",IF(LEFT(TRIM(_xlpm.val),3)="Yes","✓ Currently on MEP",IF(ISNUMBER(SEARCH("(",_xlpm.val)),IFERROR(MID(_xlpm.val,SEARCH("R",_xlpm.val,SEARCH("MEP",_xlpm.val)),SEARCH(")",_xlpm.val)-SEARCH("R",_xlpm.val,SEARCH("MEP",_xlpm.val))+1),MID(_xlpm.val,SEARCH("R",_xlpm.val),SEARCH(")",_xlpm.val)-SEARCH("R",_xlpm.val)+1)),IF(ISNUMBER(SEARCH("Frozen",_xlpm.val)),"No — Frozen Rate",_xlpm.val))))))</f>
        <v>R3-47 ($482.61)</v>
      </c>
    </row>
    <row r="18" spans="2:4">
      <c r="B18" s="89" t="s">
        <v>5495</v>
      </c>
      <c r="C18" s="90" t="str" cm="1">
        <f t="array" ref="C18">IF($H$1=0,"",INDEX('Call Log'!M:M,$H$1+1))</f>
        <v>No</v>
      </c>
    </row>
    <row r="19" spans="2:4">
      <c r="B19" s="89" t="s">
        <v>5496</v>
      </c>
      <c r="C19" s="90" t="str" cm="1">
        <f t="array" ref="C19">IF($H$1=0,"",INDEX('Call Log'!N:N,$H$1+1))</f>
        <v>No</v>
      </c>
      <c r="D19" s="167" t="str" cm="1">
        <f t="array" ref="D19">IF(AND($H$1&gt;0,ISNUMBER(INDEX('Call Log'!N:N,$H$1+1)),INDEX('Call Log'!N:N,$H$1+1)&gt;0),HYPERLINK("https://211arizona.org/","⛑️ 211 Arizona"),"")</f>
        <v/>
      </c>
    </row>
    <row r="20" spans="2:4">
      <c r="B20" s="89" t="s">
        <v>5497</v>
      </c>
      <c r="C20" s="90" t="str" cm="1">
        <f t="array" ref="C20">IF($H$1=0,"",INDEX('Call Log'!J:J,$H$1+1))</f>
        <v>No</v>
      </c>
    </row>
    <row r="21" spans="2:4">
      <c r="B21" s="89" t="s">
        <v>5498</v>
      </c>
      <c r="C21" s="90" t="str" cm="1">
        <f t="array" ref="C21">IF($H$1=0,"",INDEX('Call Log'!K:K,$H$1+1))</f>
        <v>No</v>
      </c>
    </row>
    <row r="22" spans="2:4">
      <c r="B22" s="89"/>
      <c r="C22" s="90"/>
    </row>
    <row r="23" spans="2:4">
      <c r="B23" s="89" t="s">
        <v>5499</v>
      </c>
      <c r="C23" s="90" t="str" cm="1">
        <f t="array" ref="C23">IF($H$1=0,"",INDEX('Call Log'!O:O,$H$1+1))</f>
        <v>Yes</v>
      </c>
    </row>
    <row r="24" spans="2:4">
      <c r="B24" s="89" t="s">
        <v>5500</v>
      </c>
      <c r="C24" s="90" t="str" cm="1">
        <f t="array" ref="C24">IF($H$1=0,"",TEXT(INDEX('Call Log'!Q:Q,$H$1+1),"mm/dd/yyyy"))</f>
        <v>11/03/2025</v>
      </c>
    </row>
    <row r="25" spans="2:4">
      <c r="B25" s="89" t="s">
        <v>5501</v>
      </c>
      <c r="C25" s="90" t="str" cm="1">
        <f t="array" ref="C25">IF($H$1=0,"",INDEX('Call Log'!R:R,$H$1+1))</f>
        <v>11/10 Left VM regarding MEP</v>
      </c>
    </row>
    <row r="26" spans="2:4">
      <c r="B26" s="89" t="s">
        <v>5502</v>
      </c>
      <c r="C26" s="90" cm="1">
        <f t="array" ref="C26">IF($H$1=0,"",INDEX('Call Log'!U:U,$H$1+1))</f>
        <v>0</v>
      </c>
    </row>
    <row r="27" spans="2:4">
      <c r="B27" s="169" t="s">
        <v>5639</v>
      </c>
      <c r="C27" s="168" t="str" cm="1">
        <f t="array" ref="C27">IF($H$1=0,"",IF(AND(INDEX('Call Log'!V:V,$H$1+1)&lt;&gt;"",COUNTIF($H$6:$H$20,INDEX('Call Log'!V:V,$H$1+1))=0),INDEX('Call Log'!V:V,$H$1+1)&amp;" — "&amp;INDEX('Call Log'!Z:Z,$H$1+1),""))</f>
        <v/>
      </c>
    </row>
    <row r="28" spans="2:4">
      <c r="B28" s="95"/>
      <c r="C28" s="101"/>
    </row>
    <row r="29" spans="2:4" ht="18.75">
      <c r="B29" s="94" t="s">
        <v>5503</v>
      </c>
      <c r="C29" s="97"/>
    </row>
    <row r="30" spans="2:4">
      <c r="B30" s="95"/>
      <c r="C30" s="97"/>
    </row>
    <row r="31" spans="2:4">
      <c r="B31" s="96" t="s">
        <v>5504</v>
      </c>
      <c r="C31" s="98"/>
    </row>
    <row r="32" spans="2:4">
      <c r="B32" s="96" t="s">
        <v>5505</v>
      </c>
      <c r="C32" s="99"/>
    </row>
    <row r="33" spans="2:3">
      <c r="B33" s="96" t="s">
        <v>5506</v>
      </c>
      <c r="C33" s="98"/>
    </row>
    <row r="34" spans="2:3">
      <c r="B34" s="96" t="s">
        <v>5507</v>
      </c>
      <c r="C34" s="98"/>
    </row>
    <row r="35" spans="2:3">
      <c r="B35" s="96" t="s">
        <v>5508</v>
      </c>
      <c r="C35" s="100" t="s">
        <v>5637</v>
      </c>
    </row>
  </sheetData>
  <dataValidations disablePrompts="1" count="3">
    <dataValidation allowBlank="1" showInputMessage="1" showErrorMessage="1" sqref="C31" xr:uid="{915F91CF-883B-4558-870D-E0796BEF2738}"/>
    <dataValidation type="list" allowBlank="1" showInputMessage="1" showErrorMessage="1" promptTitle="Outcome" prompt="Select the call outcome" sqref="C34" xr:uid="{D435F11A-8712-4119-97EE-7C37B90ACCF4}">
      <formula1>"General Education,Rate Change,E3/E4,Utility Assistance,Updated/New PA,Other"</formula1>
    </dataValidation>
    <dataValidation type="list" allowBlank="1" showInputMessage="1" showErrorMessage="1" promptTitle="Voicemail?" prompt="Was a voicemail left?" sqref="C33" xr:uid="{2423AA41-D70C-4926-96E7-BAE85CB4F7BC}">
      <formula1>"Yes,No"</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7121-DE56-4DED-87FA-F3E5AE0FAD2E}">
  <sheetPr codeName="Sheet4">
    <tabColor rgb="FF107C10"/>
  </sheetPr>
  <dimension ref="B1:AC47"/>
  <sheetViews>
    <sheetView showGridLines="0" tabSelected="1" workbookViewId="0">
      <selection activeCell="A47" sqref="A47"/>
    </sheetView>
  </sheetViews>
  <sheetFormatPr defaultRowHeight="15" outlineLevelRow="1"/>
  <cols>
    <col min="1" max="1" width="2.85546875" customWidth="1"/>
    <col min="2" max="2" width="19" customWidth="1"/>
    <col min="3" max="3" width="15.28515625" customWidth="1"/>
    <col min="4" max="4" width="13" customWidth="1"/>
    <col min="5" max="5" width="15.28515625" customWidth="1"/>
    <col min="6" max="6" width="19" customWidth="1"/>
    <col min="7" max="7" width="16.140625" customWidth="1"/>
    <col min="8" max="10" width="19" customWidth="1"/>
    <col min="11" max="11" width="11.42578125" customWidth="1"/>
    <col min="13" max="13" width="21" customWidth="1"/>
    <col min="14" max="14" width="11.42578125" customWidth="1"/>
    <col min="16" max="16" width="22.85546875" customWidth="1"/>
    <col min="27" max="28" width="0.140625" customWidth="1"/>
    <col min="29" max="29" width="9.140625" collapsed="1"/>
  </cols>
  <sheetData>
    <row r="1" spans="2:16" ht="15.75">
      <c r="P1" s="116" t="s">
        <v>5628</v>
      </c>
    </row>
    <row r="2" spans="2:16" ht="26.25">
      <c r="B2" s="103" t="s">
        <v>5510</v>
      </c>
      <c r="P2" s="105" t="s">
        <v>5629</v>
      </c>
    </row>
    <row r="3" spans="2:16">
      <c r="P3" s="78" t="s">
        <v>117</v>
      </c>
    </row>
    <row r="4" spans="2:16" ht="20.100000000000001" customHeight="1">
      <c r="B4" s="170" t="s">
        <v>5511</v>
      </c>
      <c r="C4" s="171" t="s">
        <v>5513</v>
      </c>
      <c r="D4" s="173" t="s">
        <v>5515</v>
      </c>
      <c r="E4" s="174" t="s">
        <v>5517</v>
      </c>
      <c r="F4" s="175" t="s">
        <v>5519</v>
      </c>
      <c r="M4" s="86" t="s">
        <v>5430</v>
      </c>
      <c r="N4" s="86" t="s">
        <v>5533</v>
      </c>
      <c r="P4" s="78" t="s">
        <v>5432</v>
      </c>
    </row>
    <row r="5" spans="2:16" ht="39.950000000000003" customHeight="1">
      <c r="B5" s="176">
        <f>COUNTA('Docketed Comments'!A5:A1952)</f>
        <v>1948</v>
      </c>
      <c r="C5" s="194">
        <f>COUNTA('Call Log'!A:A)-1</f>
        <v>1417</v>
      </c>
      <c r="D5" s="195" cm="1">
        <f t="array" ref="D5">SUMPRODUCT((COUNTIF('Call Queue'!$H$6:$H$20,'Call Log'!V2:V100000)&gt;0)*1)</f>
        <v>485</v>
      </c>
      <c r="E5" s="192">
        <f>C5-D5</f>
        <v>932</v>
      </c>
      <c r="F5" s="196">
        <f>IF(C5=0,0,D5/C5)</f>
        <v>0.34227240649259</v>
      </c>
      <c r="M5" s="86" t="s">
        <v>5442</v>
      </c>
      <c r="N5" s="86">
        <f>COUNTIF('Call Log'!Y:Y,"General Education")</f>
        <v>88</v>
      </c>
      <c r="P5" s="78"/>
    </row>
    <row r="6" spans="2:16" ht="18" customHeight="1">
      <c r="B6" s="179" t="s">
        <v>5512</v>
      </c>
      <c r="C6" s="180" t="s">
        <v>5514</v>
      </c>
      <c r="D6" s="182" t="s">
        <v>5516</v>
      </c>
      <c r="E6" s="183" t="s">
        <v>5518</v>
      </c>
      <c r="F6" s="184" t="s">
        <v>5520</v>
      </c>
      <c r="M6" s="86" t="s">
        <v>5438</v>
      </c>
      <c r="N6" s="86">
        <f>COUNTIF('Call Log'!Y:Y,"Rate Change")</f>
        <v>11</v>
      </c>
      <c r="P6" s="78"/>
    </row>
    <row r="7" spans="2:16" ht="18.75">
      <c r="B7" s="185" t="s">
        <v>5640</v>
      </c>
      <c r="M7" s="86" t="s">
        <v>5441</v>
      </c>
      <c r="N7" s="86">
        <f>COUNTIF('Call Log'!Y:Y,"E3/E4")</f>
        <v>10</v>
      </c>
      <c r="P7" s="78"/>
    </row>
    <row r="8" spans="2:16">
      <c r="B8" s="171" t="s">
        <v>5644</v>
      </c>
      <c r="C8" s="172" t="s">
        <v>5645</v>
      </c>
      <c r="D8" s="190" t="s">
        <v>5641</v>
      </c>
      <c r="E8" s="186" t="s">
        <v>5521</v>
      </c>
      <c r="F8" s="187" t="s">
        <v>5636</v>
      </c>
      <c r="M8" s="86" t="s">
        <v>5462</v>
      </c>
      <c r="N8" s="86">
        <f>COUNTIF('Call Log'!Y:Y,"Utility Assistance")</f>
        <v>3</v>
      </c>
      <c r="P8" s="78"/>
    </row>
    <row r="9" spans="2:16" ht="36">
      <c r="B9" s="177" cm="1">
        <f t="array" ref="B9">COUNTIFS('Call Log'!L:L,"No*",'Call Log'!L:L,"*$*")-SUMPRODUCT((COUNTIF('Call Queue'!$H$6:$H$20,'Call Log'!V2:V100000)&gt;0)*(LEFT('Call Log'!L2:L100000,2)="No")*(ISNUMBER(SEARCH("$",'Call Log'!L2:L100000)))*1)</f>
        <v>6</v>
      </c>
      <c r="C9" s="178" cm="1">
        <f t="array" ref="C9">SUMPRODUCT((ISNUMBER('Call Log'!N2:N100000))*('Call Log'!N2:N100000&gt;0)*1)-SUMPRODUCT((COUNTIF('Call Queue'!$H$6:$H$20,'Call Log'!V2:V100000)&gt;0)*(ISNUMBER('Call Log'!N2:N100000))*('Call Log'!N2:N100000&gt;0)*1)</f>
        <v>0</v>
      </c>
      <c r="D9" s="197">
        <f>COUNTIFS('Call Log'!L:L,"Yes*")+COUNTIF('Call Log'!L:L,"Y")</f>
        <v>585</v>
      </c>
      <c r="E9" s="193" cm="1">
        <f t="array" ref="E9">IFERROR(D5/MAX(1,ROWS(_xlfn.UNIQUE(_xlfn._xlws.FILTER('Call Log'!W2:W100000,'Call Log'!W2:W100000&lt;&gt;"")))),0)</f>
        <v>40.416666666666664</v>
      </c>
      <c r="F9" s="198">
        <f>COUNTA('Inactive-Unable to Locate'!A2:A500)</f>
        <v>375</v>
      </c>
      <c r="M9" s="86" t="s">
        <v>5457</v>
      </c>
      <c r="N9" s="86">
        <f>COUNTIF('Call Log'!Y:Y,"Updated/New PA")</f>
        <v>1</v>
      </c>
      <c r="P9" s="78"/>
    </row>
    <row r="10" spans="2:16">
      <c r="B10" s="180" t="str" cm="1">
        <f t="array" ref="B10">SUMPRODUCT((COUNTIF('Call Queue'!$H$6:$H$20,'Call Log'!V2:V100000)&gt;0)*(LEFT('Call Log'!L2:L100000,2)="No")*(ISNUMBER(SEARCH("$",'Call Log'!L2:L100000)))*1)&amp;" of "&amp;COUNTIFS('Call Log'!L:L,"No*",'Call Log'!L:L,"*$*")&amp;" contacted"</f>
        <v>206 of 212 contacted</v>
      </c>
      <c r="C10" s="181" t="str" cm="1">
        <f t="array" ref="C10">SUMPRODUCT((COUNTIF('Call Queue'!$H$6:$H$20,'Call Log'!V2:V100000)&gt;0)*(ISNUMBER('Call Log'!N2:N100000))*('Call Log'!N2:N100000&gt;0)*1)&amp;" of "&amp;SUMPRODUCT((ISNUMBER('Call Log'!N2:N100000))*('Call Log'!N2:N100000&gt;0)*1)&amp;" contacted"</f>
        <v>58 of 58 contacted</v>
      </c>
      <c r="D10" s="191" t="s">
        <v>5642</v>
      </c>
      <c r="E10" s="188" t="s">
        <v>5522</v>
      </c>
      <c r="F10" s="189" t="s">
        <v>5643</v>
      </c>
      <c r="M10" s="86" t="s">
        <v>5527</v>
      </c>
      <c r="N10" s="86">
        <f>COUNTIF('Call Log'!Y:Y,"Other")</f>
        <v>10</v>
      </c>
      <c r="P10" s="78"/>
    </row>
    <row r="11" spans="2:16" ht="18.75">
      <c r="B11" s="104" t="s">
        <v>5523</v>
      </c>
      <c r="M11" s="86"/>
      <c r="N11" s="86"/>
      <c r="P11" s="78"/>
    </row>
    <row r="12" spans="2:16" ht="30" customHeight="1" thickBot="1">
      <c r="B12" s="107" t="s">
        <v>5524</v>
      </c>
      <c r="C12" s="107" t="s">
        <v>5525</v>
      </c>
      <c r="D12" s="107" t="s">
        <v>5481</v>
      </c>
      <c r="E12" s="107" t="s">
        <v>5526</v>
      </c>
      <c r="F12" s="107" t="s">
        <v>5442</v>
      </c>
      <c r="G12" s="107" t="s">
        <v>5438</v>
      </c>
      <c r="H12" s="107" t="s">
        <v>5441</v>
      </c>
      <c r="I12" s="107" t="s">
        <v>5462</v>
      </c>
      <c r="J12" s="107" t="s">
        <v>5457</v>
      </c>
      <c r="K12" s="107" t="s">
        <v>5527</v>
      </c>
      <c r="M12" s="86" t="s">
        <v>5529</v>
      </c>
      <c r="N12" s="86" t="s">
        <v>5534</v>
      </c>
      <c r="P12" s="78"/>
    </row>
    <row r="13" spans="2:16">
      <c r="B13" s="110" cm="1">
        <f t="array" ref="B13:B24">IFERROR(_xlfn._xlws.SORT(_xlfn.UNIQUE(_xlfn._xlws.FILTER('Call Log'!W2:W100000,'Call Log'!W2:W100000&lt;&gt;""))),"No calls yet")</f>
        <v>45997</v>
      </c>
      <c r="C13" s="111">
        <f>IF(B13="","",IF(B13="No calls yet","",COUNTIFS('Call Log'!$W:$W,"&gt;="&amp;B13,'Call Log'!$W:$W,"&lt;"&amp;B13+1)))</f>
        <v>50</v>
      </c>
      <c r="D13" s="111">
        <f>IF(B13="","",IF(B13="No calls yet","",COUNTIFS('Call Log'!$W:$W,"&gt;="&amp;B13,'Call Log'!$W:$W,"&lt;"&amp;B13+1,'Call Log'!$X:$X,"Yes")))</f>
        <v>29</v>
      </c>
      <c r="E13" s="111">
        <f t="shared" ref="E13:E33" si="0">IF(C13="","",IF(C13="",0,C13-D13))</f>
        <v>21</v>
      </c>
      <c r="F13" s="111">
        <f>IF(B13="","",IF(B13="No calls yet","",COUNTIFS('Call Log'!$W:$W,"&gt;="&amp;B13,'Call Log'!$W:$W,"&lt;"&amp;B13+1,'Call Log'!$Y:$Y,"General Education")))</f>
        <v>1</v>
      </c>
      <c r="G13" s="111">
        <f>IF(B13="","",IF(B13="No calls yet","",COUNTIFS('Call Log'!$W:$W,"&gt;="&amp;B13,'Call Log'!$W:$W,"&lt;"&amp;B13+1,'Call Log'!$Y:$Y,"Rate Change")))</f>
        <v>1</v>
      </c>
      <c r="H13" s="111">
        <f>IF(B13="","",IF(B13="No calls yet","",COUNTIFS('Call Log'!$W:$W,"&gt;="&amp;B13,'Call Log'!$W:$W,"&lt;"&amp;B13+1,'Call Log'!$Y:$Y,"E3/E4")))</f>
        <v>0</v>
      </c>
      <c r="I13" s="111">
        <f>IF(B13="","",IF(B13="No calls yet","",COUNTIFS('Call Log'!$W:$W,"&gt;="&amp;B13,'Call Log'!$W:$W,"&lt;"&amp;B13+1,'Call Log'!$Y:$Y,"Utility Assistance")))</f>
        <v>0</v>
      </c>
      <c r="J13" s="111">
        <f>IF(B13="","",IF(B13="No calls yet","",COUNTIFS('Call Log'!$W:$W,"&gt;="&amp;B13,'Call Log'!$W:$W,"&lt;"&amp;B13+1,'Call Log'!$Y:$Y,"Updated/New PA")))</f>
        <v>0</v>
      </c>
      <c r="K13" s="111">
        <f>IF(B13="","",IF(B13="No calls yet","",COUNTIFS('Call Log'!$W:$W,"&gt;="&amp;B13,'Call Log'!$W:$W,"&lt;"&amp;B13+1,'Call Log'!$Y:$Y,"Other")))</f>
        <v>0</v>
      </c>
      <c r="M13" s="86" t="str">
        <f>IF(P3="","",P3)</f>
        <v>Michelle</v>
      </c>
      <c r="N13" s="86">
        <f>IF(M13="","",COUNTIF('Call Log'!V:V,M13))</f>
        <v>172</v>
      </c>
      <c r="P13" s="78"/>
    </row>
    <row r="14" spans="2:16">
      <c r="B14" s="108">
        <v>46011</v>
      </c>
      <c r="C14" s="109">
        <f>IF(B14="","",IF(B14="No calls yet","",COUNTIFS('Call Log'!$W:$W,"&gt;="&amp;B14,'Call Log'!$W:$W,"&lt;"&amp;B14+1)))</f>
        <v>26</v>
      </c>
      <c r="D14" s="109">
        <f>IF(B14="","",IF(B14="No calls yet","",COUNTIFS('Call Log'!$W:$W,"&gt;="&amp;B14,'Call Log'!$W:$W,"&lt;"&amp;B14+1,'Call Log'!$X:$X,"Yes")))</f>
        <v>19</v>
      </c>
      <c r="E14" s="109">
        <f t="shared" si="0"/>
        <v>7</v>
      </c>
      <c r="F14" s="109">
        <f>IF(B14="","",IF(B14="No calls yet","",COUNTIFS('Call Log'!$W:$W,"&gt;="&amp;B14,'Call Log'!$W:$W,"&lt;"&amp;B14+1,'Call Log'!$Y:$Y,"General Education")))</f>
        <v>1</v>
      </c>
      <c r="G14" s="109">
        <f>IF(B14="","",IF(B14="No calls yet","",COUNTIFS('Call Log'!$W:$W,"&gt;="&amp;B14,'Call Log'!$W:$W,"&lt;"&amp;B14+1,'Call Log'!$Y:$Y,"Rate Change")))</f>
        <v>2</v>
      </c>
      <c r="H14" s="109">
        <f>IF(B14="","",IF(B14="No calls yet","",COUNTIFS('Call Log'!$W:$W,"&gt;="&amp;B14,'Call Log'!$W:$W,"&lt;"&amp;B14+1,'Call Log'!$Y:$Y,"E3/E4")))</f>
        <v>1</v>
      </c>
      <c r="I14" s="109">
        <f>IF(B14="","",IF(B14="No calls yet","",COUNTIFS('Call Log'!$W:$W,"&gt;="&amp;B14,'Call Log'!$W:$W,"&lt;"&amp;B14+1,'Call Log'!$Y:$Y,"Utility Assistance")))</f>
        <v>0</v>
      </c>
      <c r="J14" s="109">
        <f>IF(B14="","",IF(B14="No calls yet","",COUNTIFS('Call Log'!$W:$W,"&gt;="&amp;B14,'Call Log'!$W:$W,"&lt;"&amp;B14+1,'Call Log'!$Y:$Y,"Updated/New PA")))</f>
        <v>0</v>
      </c>
      <c r="K14" s="109">
        <f>IF(B14="","",IF(B14="No calls yet","",COUNTIFS('Call Log'!$W:$W,"&gt;="&amp;B14,'Call Log'!$W:$W,"&lt;"&amp;B14+1,'Call Log'!$Y:$Y,"Other")))</f>
        <v>1</v>
      </c>
      <c r="M14" s="86" t="str">
        <f>IF(P4="","",P4)</f>
        <v>Joaquin</v>
      </c>
      <c r="N14" s="86">
        <f>IF(M14="","",COUNTIF('Call Log'!V:V,M14))</f>
        <v>313</v>
      </c>
      <c r="P14" s="78"/>
    </row>
    <row r="15" spans="2:16">
      <c r="B15" s="110">
        <v>46018</v>
      </c>
      <c r="C15" s="111">
        <f>IF(B15="","",IF(B15="No calls yet","",COUNTIFS('Call Log'!$W:$W,"&gt;="&amp;B15,'Call Log'!$W:$W,"&lt;"&amp;B15+1)))</f>
        <v>14</v>
      </c>
      <c r="D15" s="111">
        <f>IF(B15="","",IF(B15="No calls yet","",COUNTIFS('Call Log'!$W:$W,"&gt;="&amp;B15,'Call Log'!$W:$W,"&lt;"&amp;B15+1,'Call Log'!$X:$X,"Yes")))</f>
        <v>7</v>
      </c>
      <c r="E15" s="111">
        <f t="shared" si="0"/>
        <v>7</v>
      </c>
      <c r="F15" s="111">
        <f>IF(B15="","",IF(B15="No calls yet","",COUNTIFS('Call Log'!$W:$W,"&gt;="&amp;B15,'Call Log'!$W:$W,"&lt;"&amp;B15+1,'Call Log'!$Y:$Y,"General Education")))</f>
        <v>4</v>
      </c>
      <c r="G15" s="111">
        <f>IF(B15="","",IF(B15="No calls yet","",COUNTIFS('Call Log'!$W:$W,"&gt;="&amp;B15,'Call Log'!$W:$W,"&lt;"&amp;B15+1,'Call Log'!$Y:$Y,"Rate Change")))</f>
        <v>1</v>
      </c>
      <c r="H15" s="111">
        <f>IF(B15="","",IF(B15="No calls yet","",COUNTIFS('Call Log'!$W:$W,"&gt;="&amp;B15,'Call Log'!$W:$W,"&lt;"&amp;B15+1,'Call Log'!$Y:$Y,"E3/E4")))</f>
        <v>0</v>
      </c>
      <c r="I15" s="111">
        <f>IF(B15="","",IF(B15="No calls yet","",COUNTIFS('Call Log'!$W:$W,"&gt;="&amp;B15,'Call Log'!$W:$W,"&lt;"&amp;B15+1,'Call Log'!$Y:$Y,"Utility Assistance")))</f>
        <v>0</v>
      </c>
      <c r="J15" s="111">
        <f>IF(B15="","",IF(B15="No calls yet","",COUNTIFS('Call Log'!$W:$W,"&gt;="&amp;B15,'Call Log'!$W:$W,"&lt;"&amp;B15+1,'Call Log'!$Y:$Y,"Updated/New PA")))</f>
        <v>0</v>
      </c>
      <c r="K15" s="111">
        <f>IF(B15="","",IF(B15="No calls yet","",COUNTIFS('Call Log'!$W:$W,"&gt;="&amp;B15,'Call Log'!$W:$W,"&lt;"&amp;B15+1,'Call Log'!$Y:$Y,"Other")))</f>
        <v>1</v>
      </c>
      <c r="P15" s="78"/>
    </row>
    <row r="16" spans="2:16">
      <c r="B16" s="108">
        <v>46025</v>
      </c>
      <c r="C16" s="109">
        <f>IF(B16="","",IF(B16="No calls yet","",COUNTIFS('Call Log'!$W:$W,"&gt;="&amp;B16,'Call Log'!$W:$W,"&lt;"&amp;B16+1)))</f>
        <v>53</v>
      </c>
      <c r="D16" s="109">
        <f>IF(B16="","",IF(B16="No calls yet","",COUNTIFS('Call Log'!$W:$W,"&gt;="&amp;B16,'Call Log'!$W:$W,"&lt;"&amp;B16+1,'Call Log'!$X:$X,"Yes")))</f>
        <v>37</v>
      </c>
      <c r="E16" s="109">
        <f t="shared" si="0"/>
        <v>16</v>
      </c>
      <c r="F16" s="109">
        <f>IF(B16="","",IF(B16="No calls yet","",COUNTIFS('Call Log'!$W:$W,"&gt;="&amp;B16,'Call Log'!$W:$W,"&lt;"&amp;B16+1,'Call Log'!$Y:$Y,"General Education")))</f>
        <v>6</v>
      </c>
      <c r="G16" s="109">
        <f>IF(B16="","",IF(B16="No calls yet","",COUNTIFS('Call Log'!$W:$W,"&gt;="&amp;B16,'Call Log'!$W:$W,"&lt;"&amp;B16+1,'Call Log'!$Y:$Y,"Rate Change")))</f>
        <v>0</v>
      </c>
      <c r="H16" s="109">
        <f>IF(B16="","",IF(B16="No calls yet","",COUNTIFS('Call Log'!$W:$W,"&gt;="&amp;B16,'Call Log'!$W:$W,"&lt;"&amp;B16+1,'Call Log'!$Y:$Y,"E3/E4")))</f>
        <v>0</v>
      </c>
      <c r="I16" s="109">
        <f>IF(B16="","",IF(B16="No calls yet","",COUNTIFS('Call Log'!$W:$W,"&gt;="&amp;B16,'Call Log'!$W:$W,"&lt;"&amp;B16+1,'Call Log'!$Y:$Y,"Utility Assistance")))</f>
        <v>0</v>
      </c>
      <c r="J16" s="109">
        <f>IF(B16="","",IF(B16="No calls yet","",COUNTIFS('Call Log'!$W:$W,"&gt;="&amp;B16,'Call Log'!$W:$W,"&lt;"&amp;B16+1,'Call Log'!$Y:$Y,"Updated/New PA")))</f>
        <v>0</v>
      </c>
      <c r="K16" s="109">
        <f>IF(B16="","",IF(B16="No calls yet","",COUNTIFS('Call Log'!$W:$W,"&gt;="&amp;B16,'Call Log'!$W:$W,"&lt;"&amp;B16+1,'Call Log'!$Y:$Y,"Other")))</f>
        <v>0</v>
      </c>
      <c r="P16" s="117" t="s">
        <v>5630</v>
      </c>
    </row>
    <row r="17" spans="2:14">
      <c r="B17" s="110">
        <v>46032</v>
      </c>
      <c r="C17" s="111">
        <f>IF(B17="","",IF(B17="No calls yet","",COUNTIFS('Call Log'!$W:$W,"&gt;="&amp;B17,'Call Log'!$W:$W,"&lt;"&amp;B17+1)))</f>
        <v>31</v>
      </c>
      <c r="D17" s="111">
        <f>IF(B17="","",IF(B17="No calls yet","",COUNTIFS('Call Log'!$W:$W,"&gt;="&amp;B17,'Call Log'!$W:$W,"&lt;"&amp;B17+1,'Call Log'!$X:$X,"Yes")))</f>
        <v>22</v>
      </c>
      <c r="E17" s="111">
        <f t="shared" si="0"/>
        <v>9</v>
      </c>
      <c r="F17" s="111">
        <f>IF(B17="","",IF(B17="No calls yet","",COUNTIFS('Call Log'!$W:$W,"&gt;="&amp;B17,'Call Log'!$W:$W,"&lt;"&amp;B17+1,'Call Log'!$Y:$Y,"General Education")))</f>
        <v>3</v>
      </c>
      <c r="G17" s="111">
        <f>IF(B17="","",IF(B17="No calls yet","",COUNTIFS('Call Log'!$W:$W,"&gt;="&amp;B17,'Call Log'!$W:$W,"&lt;"&amp;B17+1,'Call Log'!$Y:$Y,"Rate Change")))</f>
        <v>1</v>
      </c>
      <c r="H17" s="111">
        <f>IF(B17="","",IF(B17="No calls yet","",COUNTIFS('Call Log'!$W:$W,"&gt;="&amp;B17,'Call Log'!$W:$W,"&lt;"&amp;B17+1,'Call Log'!$Y:$Y,"E3/E4")))</f>
        <v>0</v>
      </c>
      <c r="I17" s="111">
        <f>IF(B17="","",IF(B17="No calls yet","",COUNTIFS('Call Log'!$W:$W,"&gt;="&amp;B17,'Call Log'!$W:$W,"&lt;"&amp;B17+1,'Call Log'!$Y:$Y,"Utility Assistance")))</f>
        <v>1</v>
      </c>
      <c r="J17" s="111">
        <f>IF(B17="","",IF(B17="No calls yet","",COUNTIFS('Call Log'!$W:$W,"&gt;="&amp;B17,'Call Log'!$W:$W,"&lt;"&amp;B17+1,'Call Log'!$Y:$Y,"Updated/New PA")))</f>
        <v>0</v>
      </c>
      <c r="K17" s="111">
        <f>IF(B17="","",IF(B17="No calls yet","",COUNTIFS('Call Log'!$W:$W,"&gt;="&amp;B17,'Call Log'!$W:$W,"&lt;"&amp;B17+1,'Call Log'!$Y:$Y,"Other")))</f>
        <v>2</v>
      </c>
    </row>
    <row r="18" spans="2:14">
      <c r="B18" s="108">
        <v>46039</v>
      </c>
      <c r="C18" s="109">
        <f>IF(B18="","",IF(B18="No calls yet","",COUNTIFS('Call Log'!$W:$W,"&gt;="&amp;B18,'Call Log'!$W:$W,"&lt;"&amp;B18+1)))</f>
        <v>34</v>
      </c>
      <c r="D18" s="109">
        <f>IF(B18="","",IF(B18="No calls yet","",COUNTIFS('Call Log'!$W:$W,"&gt;="&amp;B18,'Call Log'!$W:$W,"&lt;"&amp;B18+1,'Call Log'!$X:$X,"Yes")))</f>
        <v>22</v>
      </c>
      <c r="E18" s="109">
        <f t="shared" si="0"/>
        <v>12</v>
      </c>
      <c r="F18" s="109">
        <f>IF(B18="","",IF(B18="No calls yet","",COUNTIFS('Call Log'!$W:$W,"&gt;="&amp;B18,'Call Log'!$W:$W,"&lt;"&amp;B18+1,'Call Log'!$Y:$Y,"General Education")))</f>
        <v>5</v>
      </c>
      <c r="G18" s="109">
        <f>IF(B18="","",IF(B18="No calls yet","",COUNTIFS('Call Log'!$W:$W,"&gt;="&amp;B18,'Call Log'!$W:$W,"&lt;"&amp;B18+1,'Call Log'!$Y:$Y,"Rate Change")))</f>
        <v>0</v>
      </c>
      <c r="H18" s="109">
        <f>IF(B18="","",IF(B18="No calls yet","",COUNTIFS('Call Log'!$W:$W,"&gt;="&amp;B18,'Call Log'!$W:$W,"&lt;"&amp;B18+1,'Call Log'!$Y:$Y,"E3/E4")))</f>
        <v>5</v>
      </c>
      <c r="I18" s="109">
        <f>IF(B18="","",IF(B18="No calls yet","",COUNTIFS('Call Log'!$W:$W,"&gt;="&amp;B18,'Call Log'!$W:$W,"&lt;"&amp;B18+1,'Call Log'!$Y:$Y,"Utility Assistance")))</f>
        <v>0</v>
      </c>
      <c r="J18" s="109">
        <f>IF(B18="","",IF(B18="No calls yet","",COUNTIFS('Call Log'!$W:$W,"&gt;="&amp;B18,'Call Log'!$W:$W,"&lt;"&amp;B18+1,'Call Log'!$Y:$Y,"Updated/New PA")))</f>
        <v>0</v>
      </c>
      <c r="K18" s="109">
        <f>IF(B18="","",IF(B18="No calls yet","",COUNTIFS('Call Log'!$W:$W,"&gt;="&amp;B18,'Call Log'!$W:$W,"&lt;"&amp;B18+1,'Call Log'!$Y:$Y,"Other")))</f>
        <v>0</v>
      </c>
      <c r="M18" s="86"/>
      <c r="N18" s="86"/>
    </row>
    <row r="19" spans="2:14">
      <c r="B19" s="110">
        <v>46046</v>
      </c>
      <c r="C19" s="111">
        <f>IF(B19="","",IF(B19="No calls yet","",COUNTIFS('Call Log'!$W:$W,"&gt;="&amp;B19,'Call Log'!$W:$W,"&lt;"&amp;B19+1)))</f>
        <v>50</v>
      </c>
      <c r="D19" s="111">
        <f>IF(B19="","",IF(B19="No calls yet","",COUNTIFS('Call Log'!$W:$W,"&gt;="&amp;B19,'Call Log'!$W:$W,"&lt;"&amp;B19+1,'Call Log'!$X:$X,"Yes")))</f>
        <v>30</v>
      </c>
      <c r="E19" s="111">
        <f t="shared" si="0"/>
        <v>20</v>
      </c>
      <c r="F19" s="111">
        <f>IF(B19="","",IF(B19="No calls yet","",COUNTIFS('Call Log'!$W:$W,"&gt;="&amp;B19,'Call Log'!$W:$W,"&lt;"&amp;B19+1,'Call Log'!$Y:$Y,"General Education")))</f>
        <v>10</v>
      </c>
      <c r="G19" s="111">
        <f>IF(B19="","",IF(B19="No calls yet","",COUNTIFS('Call Log'!$W:$W,"&gt;="&amp;B19,'Call Log'!$W:$W,"&lt;"&amp;B19+1,'Call Log'!$Y:$Y,"Rate Change")))</f>
        <v>4</v>
      </c>
      <c r="H19" s="111">
        <f>IF(B19="","",IF(B19="No calls yet","",COUNTIFS('Call Log'!$W:$W,"&gt;="&amp;B19,'Call Log'!$W:$W,"&lt;"&amp;B19+1,'Call Log'!$Y:$Y,"E3/E4")))</f>
        <v>1</v>
      </c>
      <c r="I19" s="111">
        <f>IF(B19="","",IF(B19="No calls yet","",COUNTIFS('Call Log'!$W:$W,"&gt;="&amp;B19,'Call Log'!$W:$W,"&lt;"&amp;B19+1,'Call Log'!$Y:$Y,"Utility Assistance")))</f>
        <v>2</v>
      </c>
      <c r="J19" s="111">
        <f>IF(B19="","",IF(B19="No calls yet","",COUNTIFS('Call Log'!$W:$W,"&gt;="&amp;B19,'Call Log'!$W:$W,"&lt;"&amp;B19+1,'Call Log'!$Y:$Y,"Updated/New PA")))</f>
        <v>0</v>
      </c>
      <c r="K19" s="111">
        <f>IF(B19="","",IF(B19="No calls yet","",COUNTIFS('Call Log'!$W:$W,"&gt;="&amp;B19,'Call Log'!$W:$W,"&lt;"&amp;B19+1,'Call Log'!$Y:$Y,"Other")))</f>
        <v>0</v>
      </c>
      <c r="M19" s="86"/>
      <c r="N19" s="86"/>
    </row>
    <row r="20" spans="2:14">
      <c r="B20" s="108">
        <v>46053</v>
      </c>
      <c r="C20" s="109">
        <f>IF(B20="","",IF(B20="No calls yet","",COUNTIFS('Call Log'!$W:$W,"&gt;="&amp;B20,'Call Log'!$W:$W,"&lt;"&amp;B20+1)))</f>
        <v>44</v>
      </c>
      <c r="D20" s="109">
        <f>IF(B20="","",IF(B20="No calls yet","",COUNTIFS('Call Log'!$W:$W,"&gt;="&amp;B20,'Call Log'!$W:$W,"&lt;"&amp;B20+1,'Call Log'!$X:$X,"Yes")))</f>
        <v>25</v>
      </c>
      <c r="E20" s="109">
        <f t="shared" si="0"/>
        <v>19</v>
      </c>
      <c r="F20" s="109">
        <f>IF(B20="","",IF(B20="No calls yet","",COUNTIFS('Call Log'!$W:$W,"&gt;="&amp;B20,'Call Log'!$W:$W,"&lt;"&amp;B20+1,'Call Log'!$Y:$Y,"General Education")))</f>
        <v>14</v>
      </c>
      <c r="G20" s="109">
        <f>IF(B20="","",IF(B20="No calls yet","",COUNTIFS('Call Log'!$W:$W,"&gt;="&amp;B20,'Call Log'!$W:$W,"&lt;"&amp;B20+1,'Call Log'!$Y:$Y,"Rate Change")))</f>
        <v>2</v>
      </c>
      <c r="H20" s="109">
        <f>IF(B20="","",IF(B20="No calls yet","",COUNTIFS('Call Log'!$W:$W,"&gt;="&amp;B20,'Call Log'!$W:$W,"&lt;"&amp;B20+1,'Call Log'!$Y:$Y,"E3/E4")))</f>
        <v>0</v>
      </c>
      <c r="I20" s="109">
        <f>IF(B20="","",IF(B20="No calls yet","",COUNTIFS('Call Log'!$W:$W,"&gt;="&amp;B20,'Call Log'!$W:$W,"&lt;"&amp;B20+1,'Call Log'!$Y:$Y,"Utility Assistance")))</f>
        <v>0</v>
      </c>
      <c r="J20" s="109">
        <f>IF(B20="","",IF(B20="No calls yet","",COUNTIFS('Call Log'!$W:$W,"&gt;="&amp;B20,'Call Log'!$W:$W,"&lt;"&amp;B20+1,'Call Log'!$Y:$Y,"Updated/New PA")))</f>
        <v>0</v>
      </c>
      <c r="K20" s="109">
        <f>IF(B20="","",IF(B20="No calls yet","",COUNTIFS('Call Log'!$W:$W,"&gt;="&amp;B20,'Call Log'!$W:$W,"&lt;"&amp;B20+1,'Call Log'!$Y:$Y,"Other")))</f>
        <v>0</v>
      </c>
      <c r="M20" s="86"/>
      <c r="N20" s="86"/>
    </row>
    <row r="21" spans="2:14">
      <c r="B21" s="110">
        <v>46060</v>
      </c>
      <c r="C21" s="111">
        <f>IF(B21="","",IF(B21="No calls yet","",COUNTIFS('Call Log'!$W:$W,"&gt;="&amp;B21,'Call Log'!$W:$W,"&lt;"&amp;B21+1)))</f>
        <v>45</v>
      </c>
      <c r="D21" s="111">
        <f>IF(B21="","",IF(B21="No calls yet","",COUNTIFS('Call Log'!$W:$W,"&gt;="&amp;B21,'Call Log'!$W:$W,"&lt;"&amp;B21+1,'Call Log'!$X:$X,"Yes")))</f>
        <v>25</v>
      </c>
      <c r="E21" s="111">
        <f t="shared" si="0"/>
        <v>20</v>
      </c>
      <c r="F21" s="111">
        <f>IF(B21="","",IF(B21="No calls yet","",COUNTIFS('Call Log'!$W:$W,"&gt;="&amp;B21,'Call Log'!$W:$W,"&lt;"&amp;B21+1,'Call Log'!$Y:$Y,"General Education")))</f>
        <v>10</v>
      </c>
      <c r="G21" s="111">
        <f>IF(B21="","",IF(B21="No calls yet","",COUNTIFS('Call Log'!$W:$W,"&gt;="&amp;B21,'Call Log'!$W:$W,"&lt;"&amp;B21+1,'Call Log'!$Y:$Y,"Rate Change")))</f>
        <v>0</v>
      </c>
      <c r="H21" s="111">
        <f>IF(B21="","",IF(B21="No calls yet","",COUNTIFS('Call Log'!$W:$W,"&gt;="&amp;B21,'Call Log'!$W:$W,"&lt;"&amp;B21+1,'Call Log'!$Y:$Y,"E3/E4")))</f>
        <v>1</v>
      </c>
      <c r="I21" s="111">
        <f>IF(B21="","",IF(B21="No calls yet","",COUNTIFS('Call Log'!$W:$W,"&gt;="&amp;B21,'Call Log'!$W:$W,"&lt;"&amp;B21+1,'Call Log'!$Y:$Y,"Utility Assistance")))</f>
        <v>0</v>
      </c>
      <c r="J21" s="111">
        <f>IF(B21="","",IF(B21="No calls yet","",COUNTIFS('Call Log'!$W:$W,"&gt;="&amp;B21,'Call Log'!$W:$W,"&lt;"&amp;B21+1,'Call Log'!$Y:$Y,"Updated/New PA")))</f>
        <v>0</v>
      </c>
      <c r="K21" s="111">
        <f>IF(B21="","",IF(B21="No calls yet","",COUNTIFS('Call Log'!$W:$W,"&gt;="&amp;B21,'Call Log'!$W:$W,"&lt;"&amp;B21+1,'Call Log'!$Y:$Y,"Other")))</f>
        <v>0</v>
      </c>
    </row>
    <row r="22" spans="2:14">
      <c r="B22" s="108">
        <v>46067</v>
      </c>
      <c r="C22" s="109">
        <f>IF(B22="","",IF(B22="No calls yet","",COUNTIFS('Call Log'!$W:$W,"&gt;="&amp;B22,'Call Log'!$W:$W,"&lt;"&amp;B22+1)))</f>
        <v>48</v>
      </c>
      <c r="D22" s="109">
        <f>IF(B22="","",IF(B22="No calls yet","",COUNTIFS('Call Log'!$W:$W,"&gt;="&amp;B22,'Call Log'!$W:$W,"&lt;"&amp;B22+1,'Call Log'!$X:$X,"Yes")))</f>
        <v>28</v>
      </c>
      <c r="E22" s="109">
        <f t="shared" si="0"/>
        <v>20</v>
      </c>
      <c r="F22" s="109">
        <f>IF(B22="","",IF(B22="No calls yet","",COUNTIFS('Call Log'!$W:$W,"&gt;="&amp;B22,'Call Log'!$W:$W,"&lt;"&amp;B22+1,'Call Log'!$Y:$Y,"General Education")))</f>
        <v>7</v>
      </c>
      <c r="G22" s="109">
        <f>IF(B22="","",IF(B22="No calls yet","",COUNTIFS('Call Log'!$W:$W,"&gt;="&amp;B22,'Call Log'!$W:$W,"&lt;"&amp;B22+1,'Call Log'!$Y:$Y,"Rate Change")))</f>
        <v>0</v>
      </c>
      <c r="H22" s="109">
        <f>IF(B22="","",IF(B22="No calls yet","",COUNTIFS('Call Log'!$W:$W,"&gt;="&amp;B22,'Call Log'!$W:$W,"&lt;"&amp;B22+1,'Call Log'!$Y:$Y,"E3/E4")))</f>
        <v>2</v>
      </c>
      <c r="I22" s="109">
        <f>IF(B22="","",IF(B22="No calls yet","",COUNTIFS('Call Log'!$W:$W,"&gt;="&amp;B22,'Call Log'!$W:$W,"&lt;"&amp;B22+1,'Call Log'!$Y:$Y,"Utility Assistance")))</f>
        <v>0</v>
      </c>
      <c r="J22" s="109">
        <f>IF(B22="","",IF(B22="No calls yet","",COUNTIFS('Call Log'!$W:$W,"&gt;="&amp;B22,'Call Log'!$W:$W,"&lt;"&amp;B22+1,'Call Log'!$Y:$Y,"Updated/New PA")))</f>
        <v>0</v>
      </c>
      <c r="K22" s="109">
        <f>IF(B22="","",IF(B22="No calls yet","",COUNTIFS('Call Log'!$W:$W,"&gt;="&amp;B22,'Call Log'!$W:$W,"&lt;"&amp;B22+1,'Call Log'!$Y:$Y,"Other")))</f>
        <v>4</v>
      </c>
    </row>
    <row r="23" spans="2:14">
      <c r="B23" s="110">
        <v>46074</v>
      </c>
      <c r="C23" s="111">
        <f>IF(B23="","",IF(B23="No calls yet","",COUNTIFS('Call Log'!$W:$W,"&gt;="&amp;B23,'Call Log'!$W:$W,"&lt;"&amp;B23+1)))</f>
        <v>47</v>
      </c>
      <c r="D23" s="111">
        <f>IF(B23="","",IF(B23="No calls yet","",COUNTIFS('Call Log'!$W:$W,"&gt;="&amp;B23,'Call Log'!$W:$W,"&lt;"&amp;B23+1,'Call Log'!$X:$X,"Yes")))</f>
        <v>31</v>
      </c>
      <c r="E23" s="111">
        <f t="shared" si="0"/>
        <v>16</v>
      </c>
      <c r="F23" s="111">
        <f>IF(B23="","",IF(B23="No calls yet","",COUNTIFS('Call Log'!$W:$W,"&gt;="&amp;B23,'Call Log'!$W:$W,"&lt;"&amp;B23+1,'Call Log'!$Y:$Y,"General Education")))</f>
        <v>10</v>
      </c>
      <c r="G23" s="111">
        <f>IF(B23="","",IF(B23="No calls yet","",COUNTIFS('Call Log'!$W:$W,"&gt;="&amp;B23,'Call Log'!$W:$W,"&lt;"&amp;B23+1,'Call Log'!$Y:$Y,"Rate Change")))</f>
        <v>0</v>
      </c>
      <c r="H23" s="111">
        <f>IF(B23="","",IF(B23="No calls yet","",COUNTIFS('Call Log'!$W:$W,"&gt;="&amp;B23,'Call Log'!$W:$W,"&lt;"&amp;B23+1,'Call Log'!$Y:$Y,"E3/E4")))</f>
        <v>0</v>
      </c>
      <c r="I23" s="111">
        <f>IF(B23="","",IF(B23="No calls yet","",COUNTIFS('Call Log'!$W:$W,"&gt;="&amp;B23,'Call Log'!$W:$W,"&lt;"&amp;B23+1,'Call Log'!$Y:$Y,"Utility Assistance")))</f>
        <v>0</v>
      </c>
      <c r="J23" s="111">
        <f>IF(B23="","",IF(B23="No calls yet","",COUNTIFS('Call Log'!$W:$W,"&gt;="&amp;B23,'Call Log'!$W:$W,"&lt;"&amp;B23+1,'Call Log'!$Y:$Y,"Updated/New PA")))</f>
        <v>1</v>
      </c>
      <c r="K23" s="111">
        <f>IF(B23="","",IF(B23="No calls yet","",COUNTIFS('Call Log'!$W:$W,"&gt;="&amp;B23,'Call Log'!$W:$W,"&lt;"&amp;B23+1,'Call Log'!$Y:$Y,"Other")))</f>
        <v>1</v>
      </c>
    </row>
    <row r="24" spans="2:14">
      <c r="B24" s="108">
        <v>46081</v>
      </c>
      <c r="C24" s="109">
        <f>IF(B24="","",IF(B24="No calls yet","",COUNTIFS('Call Log'!$W:$W,"&gt;="&amp;B24,'Call Log'!$W:$W,"&lt;"&amp;B24+1)))</f>
        <v>43</v>
      </c>
      <c r="D24" s="109">
        <f>IF(B24="","",IF(B24="No calls yet","",COUNTIFS('Call Log'!$W:$W,"&gt;="&amp;B24,'Call Log'!$W:$W,"&lt;"&amp;B24+1,'Call Log'!$X:$X,"Yes")))</f>
        <v>21</v>
      </c>
      <c r="E24" s="109">
        <f t="shared" si="0"/>
        <v>22</v>
      </c>
      <c r="F24" s="109">
        <f>IF(B24="","",IF(B24="No calls yet","",COUNTIFS('Call Log'!$W:$W,"&gt;="&amp;B24,'Call Log'!$W:$W,"&lt;"&amp;B24+1,'Call Log'!$Y:$Y,"General Education")))</f>
        <v>17</v>
      </c>
      <c r="G24" s="109">
        <f>IF(B24="","",IF(B24="No calls yet","",COUNTIFS('Call Log'!$W:$W,"&gt;="&amp;B24,'Call Log'!$W:$W,"&lt;"&amp;B24+1,'Call Log'!$Y:$Y,"Rate Change")))</f>
        <v>0</v>
      </c>
      <c r="H24" s="109">
        <f>IF(B24="","",IF(B24="No calls yet","",COUNTIFS('Call Log'!$W:$W,"&gt;="&amp;B24,'Call Log'!$W:$W,"&lt;"&amp;B24+1,'Call Log'!$Y:$Y,"E3/E4")))</f>
        <v>0</v>
      </c>
      <c r="I24" s="109">
        <f>IF(B24="","",IF(B24="No calls yet","",COUNTIFS('Call Log'!$W:$W,"&gt;="&amp;B24,'Call Log'!$W:$W,"&lt;"&amp;B24+1,'Call Log'!$Y:$Y,"Utility Assistance")))</f>
        <v>0</v>
      </c>
      <c r="J24" s="109">
        <f>IF(B24="","",IF(B24="No calls yet","",COUNTIFS('Call Log'!$W:$W,"&gt;="&amp;B24,'Call Log'!$W:$W,"&lt;"&amp;B24+1,'Call Log'!$Y:$Y,"Updated/New PA")))</f>
        <v>0</v>
      </c>
      <c r="K24" s="109">
        <f>IF(B24="","",IF(B24="No calls yet","",COUNTIFS('Call Log'!$W:$W,"&gt;="&amp;B24,'Call Log'!$W:$W,"&lt;"&amp;B24+1,'Call Log'!$Y:$Y,"Other")))</f>
        <v>1</v>
      </c>
    </row>
    <row r="25" spans="2:14">
      <c r="B25" s="110"/>
      <c r="C25" s="111" t="str">
        <f>IF(B25="","",IF(B25="No calls yet","",COUNTIFS('Call Log'!$W:$W,"&gt;="&amp;B25,'Call Log'!$W:$W,"&lt;"&amp;B25+1)))</f>
        <v/>
      </c>
      <c r="D25" s="111" t="str">
        <f>IF(B25="","",IF(B25="No calls yet","",COUNTIFS('Call Log'!$W:$W,"&gt;="&amp;B25,'Call Log'!$W:$W,"&lt;"&amp;B25+1,'Call Log'!$X:$X,"Yes")))</f>
        <v/>
      </c>
      <c r="E25" s="111" t="str">
        <f t="shared" si="0"/>
        <v/>
      </c>
      <c r="F25" s="111" t="str">
        <f>IF(B25="","",IF(B25="No calls yet","",COUNTIFS('Call Log'!$W:$W,"&gt;="&amp;B25,'Call Log'!$W:$W,"&lt;"&amp;B25+1,'Call Log'!$Y:$Y,"General Education")))</f>
        <v/>
      </c>
      <c r="G25" s="111" t="str">
        <f>IF(B25="","",IF(B25="No calls yet","",COUNTIFS('Call Log'!$W:$W,"&gt;="&amp;B25,'Call Log'!$W:$W,"&lt;"&amp;B25+1,'Call Log'!$Y:$Y,"Rate Change")))</f>
        <v/>
      </c>
      <c r="H25" s="111" t="str">
        <f>IF(B25="","",IF(B25="No calls yet","",COUNTIFS('Call Log'!$W:$W,"&gt;="&amp;B25,'Call Log'!$W:$W,"&lt;"&amp;B25+1,'Call Log'!$Y:$Y,"E3/E4")))</f>
        <v/>
      </c>
      <c r="I25" s="111" t="str">
        <f>IF(B25="","",IF(B25="No calls yet","",COUNTIFS('Call Log'!$W:$W,"&gt;="&amp;B25,'Call Log'!$W:$W,"&lt;"&amp;B25+1,'Call Log'!$Y:$Y,"Utility Assistance")))</f>
        <v/>
      </c>
      <c r="J25" s="111" t="str">
        <f>IF(B25="","",IF(B25="No calls yet","",COUNTIFS('Call Log'!$W:$W,"&gt;="&amp;B25,'Call Log'!$W:$W,"&lt;"&amp;B25+1,'Call Log'!$Y:$Y,"Updated/New PA")))</f>
        <v/>
      </c>
      <c r="K25" s="111" t="str">
        <f>IF(B25="","",IF(B25="No calls yet","",COUNTIFS('Call Log'!$W:$W,"&gt;="&amp;B25,'Call Log'!$W:$W,"&lt;"&amp;B25+1,'Call Log'!$Y:$Y,"Other")))</f>
        <v/>
      </c>
    </row>
    <row r="26" spans="2:14">
      <c r="B26" s="108"/>
      <c r="C26" s="109" t="str">
        <f>IF(B26="","",IF(B26="No calls yet","",COUNTIFS('Call Log'!$W:$W,"&gt;="&amp;B26,'Call Log'!$W:$W,"&lt;"&amp;B26+1)))</f>
        <v/>
      </c>
      <c r="D26" s="109" t="str">
        <f>IF(B26="","",IF(B26="No calls yet","",COUNTIFS('Call Log'!$W:$W,"&gt;="&amp;B26,'Call Log'!$W:$W,"&lt;"&amp;B26+1,'Call Log'!$X:$X,"Yes")))</f>
        <v/>
      </c>
      <c r="E26" s="109" t="str">
        <f t="shared" si="0"/>
        <v/>
      </c>
      <c r="F26" s="109" t="str">
        <f>IF(B26="","",IF(B26="No calls yet","",COUNTIFS('Call Log'!$W:$W,"&gt;="&amp;B26,'Call Log'!$W:$W,"&lt;"&amp;B26+1,'Call Log'!$Y:$Y,"General Education")))</f>
        <v/>
      </c>
      <c r="G26" s="109" t="str">
        <f>IF(B26="","",IF(B26="No calls yet","",COUNTIFS('Call Log'!$W:$W,"&gt;="&amp;B26,'Call Log'!$W:$W,"&lt;"&amp;B26+1,'Call Log'!$Y:$Y,"Rate Change")))</f>
        <v/>
      </c>
      <c r="H26" s="109" t="str">
        <f>IF(B26="","",IF(B26="No calls yet","",COUNTIFS('Call Log'!$W:$W,"&gt;="&amp;B26,'Call Log'!$W:$W,"&lt;"&amp;B26+1,'Call Log'!$Y:$Y,"E3/E4")))</f>
        <v/>
      </c>
      <c r="I26" s="109" t="str">
        <f>IF(B26="","",IF(B26="No calls yet","",COUNTIFS('Call Log'!$W:$W,"&gt;="&amp;B26,'Call Log'!$W:$W,"&lt;"&amp;B26+1,'Call Log'!$Y:$Y,"Utility Assistance")))</f>
        <v/>
      </c>
      <c r="J26" s="109" t="str">
        <f>IF(B26="","",IF(B26="No calls yet","",COUNTIFS('Call Log'!$W:$W,"&gt;="&amp;B26,'Call Log'!$W:$W,"&lt;"&amp;B26+1,'Call Log'!$Y:$Y,"Updated/New PA")))</f>
        <v/>
      </c>
      <c r="K26" s="109" t="str">
        <f>IF(B26="","",IF(B26="No calls yet","",COUNTIFS('Call Log'!$W:$W,"&gt;="&amp;B26,'Call Log'!$W:$W,"&lt;"&amp;B26+1,'Call Log'!$Y:$Y,"Other")))</f>
        <v/>
      </c>
    </row>
    <row r="27" spans="2:14">
      <c r="B27" s="110"/>
      <c r="C27" s="111" t="str">
        <f>IF(B27="","",IF(B27="No calls yet","",COUNTIFS('Call Log'!$W:$W,"&gt;="&amp;B27,'Call Log'!$W:$W,"&lt;"&amp;B27+1)))</f>
        <v/>
      </c>
      <c r="D27" s="111" t="str">
        <f>IF(B27="","",IF(B27="No calls yet","",COUNTIFS('Call Log'!$W:$W,"&gt;="&amp;B27,'Call Log'!$W:$W,"&lt;"&amp;B27+1,'Call Log'!$X:$X,"Yes")))</f>
        <v/>
      </c>
      <c r="E27" s="111" t="str">
        <f t="shared" si="0"/>
        <v/>
      </c>
      <c r="F27" s="111" t="str">
        <f>IF(B27="","",IF(B27="No calls yet","",COUNTIFS('Call Log'!$W:$W,"&gt;="&amp;B27,'Call Log'!$W:$W,"&lt;"&amp;B27+1,'Call Log'!$Y:$Y,"General Education")))</f>
        <v/>
      </c>
      <c r="G27" s="111" t="str">
        <f>IF(B27="","",IF(B27="No calls yet","",COUNTIFS('Call Log'!$W:$W,"&gt;="&amp;B27,'Call Log'!$W:$W,"&lt;"&amp;B27+1,'Call Log'!$Y:$Y,"Rate Change")))</f>
        <v/>
      </c>
      <c r="H27" s="111" t="str">
        <f>IF(B27="","",IF(B27="No calls yet","",COUNTIFS('Call Log'!$W:$W,"&gt;="&amp;B27,'Call Log'!$W:$W,"&lt;"&amp;B27+1,'Call Log'!$Y:$Y,"E3/E4")))</f>
        <v/>
      </c>
      <c r="I27" s="111" t="str">
        <f>IF(B27="","",IF(B27="No calls yet","",COUNTIFS('Call Log'!$W:$W,"&gt;="&amp;B27,'Call Log'!$W:$W,"&lt;"&amp;B27+1,'Call Log'!$Y:$Y,"Utility Assistance")))</f>
        <v/>
      </c>
      <c r="J27" s="111" t="str">
        <f>IF(B27="","",IF(B27="No calls yet","",COUNTIFS('Call Log'!$W:$W,"&gt;="&amp;B27,'Call Log'!$W:$W,"&lt;"&amp;B27+1,'Call Log'!$Y:$Y,"Updated/New PA")))</f>
        <v/>
      </c>
      <c r="K27" s="111" t="str">
        <f>IF(B27="","",IF(B27="No calls yet","",COUNTIFS('Call Log'!$W:$W,"&gt;="&amp;B27,'Call Log'!$W:$W,"&lt;"&amp;B27+1,'Call Log'!$Y:$Y,"Other")))</f>
        <v/>
      </c>
    </row>
    <row r="28" spans="2:14">
      <c r="B28" s="108"/>
      <c r="C28" s="109" t="str">
        <f>IF(B28="","",IF(B28="No calls yet","",COUNTIFS('Call Log'!$W:$W,"&gt;="&amp;B28,'Call Log'!$W:$W,"&lt;"&amp;B28+1)))</f>
        <v/>
      </c>
      <c r="D28" s="109" t="str">
        <f>IF(B28="","",IF(B28="No calls yet","",COUNTIFS('Call Log'!$W:$W,"&gt;="&amp;B28,'Call Log'!$W:$W,"&lt;"&amp;B28+1,'Call Log'!$X:$X,"Yes")))</f>
        <v/>
      </c>
      <c r="E28" s="109" t="str">
        <f t="shared" si="0"/>
        <v/>
      </c>
      <c r="F28" s="109" t="str">
        <f>IF(B28="","",IF(B28="No calls yet","",COUNTIFS('Call Log'!$W:$W,"&gt;="&amp;B28,'Call Log'!$W:$W,"&lt;"&amp;B28+1,'Call Log'!$Y:$Y,"General Education")))</f>
        <v/>
      </c>
      <c r="G28" s="109" t="str">
        <f>IF(B28="","",IF(B28="No calls yet","",COUNTIFS('Call Log'!$W:$W,"&gt;="&amp;B28,'Call Log'!$W:$W,"&lt;"&amp;B28+1,'Call Log'!$Y:$Y,"Rate Change")))</f>
        <v/>
      </c>
      <c r="H28" s="109" t="str">
        <f>IF(B28="","",IF(B28="No calls yet","",COUNTIFS('Call Log'!$W:$W,"&gt;="&amp;B28,'Call Log'!$W:$W,"&lt;"&amp;B28+1,'Call Log'!$Y:$Y,"E3/E4")))</f>
        <v/>
      </c>
      <c r="I28" s="109" t="str">
        <f>IF(B28="","",IF(B28="No calls yet","",COUNTIFS('Call Log'!$W:$W,"&gt;="&amp;B28,'Call Log'!$W:$W,"&lt;"&amp;B28+1,'Call Log'!$Y:$Y,"Utility Assistance")))</f>
        <v/>
      </c>
      <c r="J28" s="109" t="str">
        <f>IF(B28="","",IF(B28="No calls yet","",COUNTIFS('Call Log'!$W:$W,"&gt;="&amp;B28,'Call Log'!$W:$W,"&lt;"&amp;B28+1,'Call Log'!$Y:$Y,"Updated/New PA")))</f>
        <v/>
      </c>
      <c r="K28" s="109" t="str">
        <f>IF(B28="","",IF(B28="No calls yet","",COUNTIFS('Call Log'!$W:$W,"&gt;="&amp;B28,'Call Log'!$W:$W,"&lt;"&amp;B28+1,'Call Log'!$Y:$Y,"Other")))</f>
        <v/>
      </c>
    </row>
    <row r="29" spans="2:14">
      <c r="B29" s="110"/>
      <c r="C29" s="111" t="str">
        <f>IF(B29="","",IF(B29="No calls yet","",COUNTIFS('Call Log'!$W:$W,"&gt;="&amp;B29,'Call Log'!$W:$W,"&lt;"&amp;B29+1)))</f>
        <v/>
      </c>
      <c r="D29" s="111" t="str">
        <f>IF(B29="","",IF(B29="No calls yet","",COUNTIFS('Call Log'!$W:$W,"&gt;="&amp;B29,'Call Log'!$W:$W,"&lt;"&amp;B29+1,'Call Log'!$X:$X,"Yes")))</f>
        <v/>
      </c>
      <c r="E29" s="111" t="str">
        <f t="shared" si="0"/>
        <v/>
      </c>
      <c r="F29" s="111" t="str">
        <f>IF(B29="","",IF(B29="No calls yet","",COUNTIFS('Call Log'!$W:$W,"&gt;="&amp;B29,'Call Log'!$W:$W,"&lt;"&amp;B29+1,'Call Log'!$Y:$Y,"General Education")))</f>
        <v/>
      </c>
      <c r="G29" s="111" t="str">
        <f>IF(B29="","",IF(B29="No calls yet","",COUNTIFS('Call Log'!$W:$W,"&gt;="&amp;B29,'Call Log'!$W:$W,"&lt;"&amp;B29+1,'Call Log'!$Y:$Y,"Rate Change")))</f>
        <v/>
      </c>
      <c r="H29" s="111" t="str">
        <f>IF(B29="","",IF(B29="No calls yet","",COUNTIFS('Call Log'!$W:$W,"&gt;="&amp;B29,'Call Log'!$W:$W,"&lt;"&amp;B29+1,'Call Log'!$Y:$Y,"E3/E4")))</f>
        <v/>
      </c>
      <c r="I29" s="111" t="str">
        <f>IF(B29="","",IF(B29="No calls yet","",COUNTIFS('Call Log'!$W:$W,"&gt;="&amp;B29,'Call Log'!$W:$W,"&lt;"&amp;B29+1,'Call Log'!$Y:$Y,"Utility Assistance")))</f>
        <v/>
      </c>
      <c r="J29" s="111" t="str">
        <f>IF(B29="","",IF(B29="No calls yet","",COUNTIFS('Call Log'!$W:$W,"&gt;="&amp;B29,'Call Log'!$W:$W,"&lt;"&amp;B29+1,'Call Log'!$Y:$Y,"Updated/New PA")))</f>
        <v/>
      </c>
      <c r="K29" s="111" t="str">
        <f>IF(B29="","",IF(B29="No calls yet","",COUNTIFS('Call Log'!$W:$W,"&gt;="&amp;B29,'Call Log'!$W:$W,"&lt;"&amp;B29+1,'Call Log'!$Y:$Y,"Other")))</f>
        <v/>
      </c>
    </row>
    <row r="30" spans="2:14">
      <c r="B30" s="108"/>
      <c r="C30" s="109" t="str">
        <f>IF(B30="","",IF(B30="No calls yet","",COUNTIFS('Call Log'!$W:$W,"&gt;="&amp;B30,'Call Log'!$W:$W,"&lt;"&amp;B30+1)))</f>
        <v/>
      </c>
      <c r="D30" s="109" t="str">
        <f>IF(B30="","",IF(B30="No calls yet","",COUNTIFS('Call Log'!$W:$W,"&gt;="&amp;B30,'Call Log'!$W:$W,"&lt;"&amp;B30+1,'Call Log'!$X:$X,"Yes")))</f>
        <v/>
      </c>
      <c r="E30" s="109" t="str">
        <f t="shared" si="0"/>
        <v/>
      </c>
      <c r="F30" s="109" t="str">
        <f>IF(B30="","",IF(B30="No calls yet","",COUNTIFS('Call Log'!$W:$W,"&gt;="&amp;B30,'Call Log'!$W:$W,"&lt;"&amp;B30+1,'Call Log'!$Y:$Y,"General Education")))</f>
        <v/>
      </c>
      <c r="G30" s="109" t="str">
        <f>IF(B30="","",IF(B30="No calls yet","",COUNTIFS('Call Log'!$W:$W,"&gt;="&amp;B30,'Call Log'!$W:$W,"&lt;"&amp;B30+1,'Call Log'!$Y:$Y,"Rate Change")))</f>
        <v/>
      </c>
      <c r="H30" s="109" t="str">
        <f>IF(B30="","",IF(B30="No calls yet","",COUNTIFS('Call Log'!$W:$W,"&gt;="&amp;B30,'Call Log'!$W:$W,"&lt;"&amp;B30+1,'Call Log'!$Y:$Y,"E3/E4")))</f>
        <v/>
      </c>
      <c r="I30" s="109" t="str">
        <f>IF(B30="","",IF(B30="No calls yet","",COUNTIFS('Call Log'!$W:$W,"&gt;="&amp;B30,'Call Log'!$W:$W,"&lt;"&amp;B30+1,'Call Log'!$Y:$Y,"Utility Assistance")))</f>
        <v/>
      </c>
      <c r="J30" s="109" t="str">
        <f>IF(B30="","",IF(B30="No calls yet","",COUNTIFS('Call Log'!$W:$W,"&gt;="&amp;B30,'Call Log'!$W:$W,"&lt;"&amp;B30+1,'Call Log'!$Y:$Y,"Updated/New PA")))</f>
        <v/>
      </c>
      <c r="K30" s="109" t="str">
        <f>IF(B30="","",IF(B30="No calls yet","",COUNTIFS('Call Log'!$W:$W,"&gt;="&amp;B30,'Call Log'!$W:$W,"&lt;"&amp;B30+1,'Call Log'!$Y:$Y,"Other")))</f>
        <v/>
      </c>
    </row>
    <row r="31" spans="2:14">
      <c r="B31" s="110"/>
      <c r="C31" s="111" t="str">
        <f>IF(B31="","",IF(B31="No calls yet","",COUNTIFS('Call Log'!$W:$W,"&gt;="&amp;B31,'Call Log'!$W:$W,"&lt;"&amp;B31+1)))</f>
        <v/>
      </c>
      <c r="D31" s="111" t="str">
        <f>IF(B31="","",IF(B31="No calls yet","",COUNTIFS('Call Log'!$W:$W,"&gt;="&amp;B31,'Call Log'!$W:$W,"&lt;"&amp;B31+1,'Call Log'!$X:$X,"Yes")))</f>
        <v/>
      </c>
      <c r="E31" s="111" t="str">
        <f t="shared" si="0"/>
        <v/>
      </c>
      <c r="F31" s="111" t="str">
        <f>IF(B31="","",IF(B31="No calls yet","",COUNTIFS('Call Log'!$W:$W,"&gt;="&amp;B31,'Call Log'!$W:$W,"&lt;"&amp;B31+1,'Call Log'!$Y:$Y,"General Education")))</f>
        <v/>
      </c>
      <c r="G31" s="111" t="str">
        <f>IF(B31="","",IF(B31="No calls yet","",COUNTIFS('Call Log'!$W:$W,"&gt;="&amp;B31,'Call Log'!$W:$W,"&lt;"&amp;B31+1,'Call Log'!$Y:$Y,"Rate Change")))</f>
        <v/>
      </c>
      <c r="H31" s="111" t="str">
        <f>IF(B31="","",IF(B31="No calls yet","",COUNTIFS('Call Log'!$W:$W,"&gt;="&amp;B31,'Call Log'!$W:$W,"&lt;"&amp;B31+1,'Call Log'!$Y:$Y,"E3/E4")))</f>
        <v/>
      </c>
      <c r="I31" s="111" t="str">
        <f>IF(B31="","",IF(B31="No calls yet","",COUNTIFS('Call Log'!$W:$W,"&gt;="&amp;B31,'Call Log'!$W:$W,"&lt;"&amp;B31+1,'Call Log'!$Y:$Y,"Utility Assistance")))</f>
        <v/>
      </c>
      <c r="J31" s="111" t="str">
        <f>IF(B31="","",IF(B31="No calls yet","",COUNTIFS('Call Log'!$W:$W,"&gt;="&amp;B31,'Call Log'!$W:$W,"&lt;"&amp;B31+1,'Call Log'!$Y:$Y,"Updated/New PA")))</f>
        <v/>
      </c>
      <c r="K31" s="111" t="str">
        <f>IF(B31="","",IF(B31="No calls yet","",COUNTIFS('Call Log'!$W:$W,"&gt;="&amp;B31,'Call Log'!$W:$W,"&lt;"&amp;B31+1,'Call Log'!$Y:$Y,"Other")))</f>
        <v/>
      </c>
    </row>
    <row r="32" spans="2:14">
      <c r="B32" s="108"/>
      <c r="C32" s="109" t="str">
        <f>IF(B32="","",IF(B32="No calls yet","",COUNTIFS('Call Log'!$W:$W,"&gt;="&amp;B32,'Call Log'!$W:$W,"&lt;"&amp;B32+1)))</f>
        <v/>
      </c>
      <c r="D32" s="109" t="str">
        <f>IF(B32="","",IF(B32="No calls yet","",COUNTIFS('Call Log'!$W:$W,"&gt;="&amp;B32,'Call Log'!$W:$W,"&lt;"&amp;B32+1,'Call Log'!$X:$X,"Yes")))</f>
        <v/>
      </c>
      <c r="E32" s="109" t="str">
        <f t="shared" si="0"/>
        <v/>
      </c>
      <c r="F32" s="109" t="str">
        <f>IF(B32="","",IF(B32="No calls yet","",COUNTIFS('Call Log'!$W:$W,"&gt;="&amp;B32,'Call Log'!$W:$W,"&lt;"&amp;B32+1,'Call Log'!$Y:$Y,"General Education")))</f>
        <v/>
      </c>
      <c r="G32" s="109" t="str">
        <f>IF(B32="","",IF(B32="No calls yet","",COUNTIFS('Call Log'!$W:$W,"&gt;="&amp;B32,'Call Log'!$W:$W,"&lt;"&amp;B32+1,'Call Log'!$Y:$Y,"Rate Change")))</f>
        <v/>
      </c>
      <c r="H32" s="109" t="str">
        <f>IF(B32="","",IF(B32="No calls yet","",COUNTIFS('Call Log'!$W:$W,"&gt;="&amp;B32,'Call Log'!$W:$W,"&lt;"&amp;B32+1,'Call Log'!$Y:$Y,"E3/E4")))</f>
        <v/>
      </c>
      <c r="I32" s="109" t="str">
        <f>IF(B32="","",IF(B32="No calls yet","",COUNTIFS('Call Log'!$W:$W,"&gt;="&amp;B32,'Call Log'!$W:$W,"&lt;"&amp;B32+1,'Call Log'!$Y:$Y,"Utility Assistance")))</f>
        <v/>
      </c>
      <c r="J32" s="109" t="str">
        <f>IF(B32="","",IF(B32="No calls yet","",COUNTIFS('Call Log'!$W:$W,"&gt;="&amp;B32,'Call Log'!$W:$W,"&lt;"&amp;B32+1,'Call Log'!$Y:$Y,"Updated/New PA")))</f>
        <v/>
      </c>
      <c r="K32" s="109" t="str">
        <f>IF(B32="","",IF(B32="No calls yet","",COUNTIFS('Call Log'!$W:$W,"&gt;="&amp;B32,'Call Log'!$W:$W,"&lt;"&amp;B32+1,'Call Log'!$Y:$Y,"Other")))</f>
        <v/>
      </c>
    </row>
    <row r="33" spans="2:11">
      <c r="B33" s="110"/>
      <c r="C33" s="111" t="str">
        <f>IF(B33="","",IF(B33="No calls yet","",COUNTIFS('Call Log'!$W:$W,"&gt;="&amp;B33,'Call Log'!$W:$W,"&lt;"&amp;B33+1)))</f>
        <v/>
      </c>
      <c r="D33" s="111" t="str">
        <f>IF(B33="","",IF(B33="No calls yet","",COUNTIFS('Call Log'!$W:$W,"&gt;="&amp;B33,'Call Log'!$W:$W,"&lt;"&amp;B33+1,'Call Log'!$X:$X,"Yes")))</f>
        <v/>
      </c>
      <c r="E33" s="111" t="str">
        <f t="shared" si="0"/>
        <v/>
      </c>
      <c r="F33" s="111" t="str">
        <f>IF(B33="","",IF(B33="No calls yet","",COUNTIFS('Call Log'!$W:$W,"&gt;="&amp;B33,'Call Log'!$W:$W,"&lt;"&amp;B33+1,'Call Log'!$Y:$Y,"General Education")))</f>
        <v/>
      </c>
      <c r="G33" s="111" t="str">
        <f>IF(B33="","",IF(B33="No calls yet","",COUNTIFS('Call Log'!$W:$W,"&gt;="&amp;B33,'Call Log'!$W:$W,"&lt;"&amp;B33+1,'Call Log'!$Y:$Y,"Rate Change")))</f>
        <v/>
      </c>
      <c r="H33" s="111" t="str">
        <f>IF(B33="","",IF(B33="No calls yet","",COUNTIFS('Call Log'!$W:$W,"&gt;="&amp;B33,'Call Log'!$W:$W,"&lt;"&amp;B33+1,'Call Log'!$Y:$Y,"E3/E4")))</f>
        <v/>
      </c>
      <c r="I33" s="111" t="str">
        <f>IF(B33="","",IF(B33="No calls yet","",COUNTIFS('Call Log'!$W:$W,"&gt;="&amp;B33,'Call Log'!$W:$W,"&lt;"&amp;B33+1,'Call Log'!$Y:$Y,"Utility Assistance")))</f>
        <v/>
      </c>
      <c r="J33" s="111" t="str">
        <f>IF(B33="","",IF(B33="No calls yet","",COUNTIFS('Call Log'!$W:$W,"&gt;="&amp;B33,'Call Log'!$W:$W,"&lt;"&amp;B33+1,'Call Log'!$Y:$Y,"Updated/New PA")))</f>
        <v/>
      </c>
      <c r="K33" s="111" t="str">
        <f>IF(B33="","",IF(B33="No calls yet","",COUNTIFS('Call Log'!$W:$W,"&gt;="&amp;B33,'Call Log'!$W:$W,"&lt;"&amp;B33+1,'Call Log'!$Y:$Y,"Other")))</f>
        <v/>
      </c>
    </row>
    <row r="35" spans="2:11" ht="18.75">
      <c r="B35" s="104" t="s">
        <v>5528</v>
      </c>
    </row>
    <row r="36" spans="2:11">
      <c r="B36" s="106" t="s">
        <v>5529</v>
      </c>
      <c r="C36" s="106" t="s">
        <v>5525</v>
      </c>
      <c r="D36" s="106" t="s">
        <v>5481</v>
      </c>
      <c r="E36" s="106" t="s">
        <v>5526</v>
      </c>
      <c r="F36" s="106" t="s">
        <v>5442</v>
      </c>
      <c r="G36" s="106" t="s">
        <v>5438</v>
      </c>
      <c r="H36" s="106" t="s">
        <v>5441</v>
      </c>
      <c r="I36" s="106" t="s">
        <v>5530</v>
      </c>
      <c r="J36" s="106" t="s">
        <v>5531</v>
      </c>
      <c r="K36" s="106" t="s">
        <v>5527</v>
      </c>
    </row>
    <row r="37" spans="2:11">
      <c r="B37" s="115" t="str">
        <f>IF(P3="","",P3)</f>
        <v>Michelle</v>
      </c>
      <c r="C37" s="111">
        <f>IF(B37="","",COUNTIF('Call Log'!V:V,B37))</f>
        <v>172</v>
      </c>
      <c r="D37" s="111">
        <f>IF(B37="","",COUNTIFS('Call Log'!V:V,B37,'Call Log'!X:X,"Yes"))</f>
        <v>115</v>
      </c>
      <c r="E37" s="111">
        <f t="shared" ref="E37:E46" si="1">IF(B37="","",C37-D37)</f>
        <v>57</v>
      </c>
      <c r="F37" s="111">
        <f>IF(B37="","",COUNTIFS('Call Log'!V:V,B37,'Call Log'!Y:Y,"General Education"))</f>
        <v>13</v>
      </c>
      <c r="G37" s="111">
        <f>IF(B37="","",COUNTIFS('Call Log'!V:V,B37,'Call Log'!Y:Y,"Rate Change"))</f>
        <v>1</v>
      </c>
      <c r="H37" s="111">
        <f>IF(B37="","",COUNTIFS('Call Log'!V:V,B37,'Call Log'!Y:Y,"E3/E4"))</f>
        <v>2</v>
      </c>
      <c r="I37" s="111">
        <f>IF(B37="","",COUNTIFS('Call Log'!V:V,B37,'Call Log'!Y:Y,"Utility Assistance"))</f>
        <v>1</v>
      </c>
      <c r="J37" s="111">
        <f>IF(B37="","",COUNTIFS('Call Log'!V:V,B37,'Call Log'!Y:Y,"Updated/New PA"))</f>
        <v>1</v>
      </c>
      <c r="K37" s="111">
        <f>IF(B37="","",COUNTIFS('Call Log'!V:V,B37,'Call Log'!Y:Y,"Other"))</f>
        <v>1</v>
      </c>
    </row>
    <row r="38" spans="2:11">
      <c r="B38" s="112" t="str">
        <f>IF(P4="","",P4)</f>
        <v>Joaquin</v>
      </c>
      <c r="C38" s="109">
        <f>IF(B38="","",COUNTIF('Call Log'!V:V,B38))</f>
        <v>313</v>
      </c>
      <c r="D38" s="109">
        <f>IF(B38="","",COUNTIFS('Call Log'!V:V,B38,'Call Log'!X:X,"Yes"))</f>
        <v>181</v>
      </c>
      <c r="E38" s="109">
        <f t="shared" si="1"/>
        <v>132</v>
      </c>
      <c r="F38" s="109">
        <f>IF(B38="","",COUNTIFS('Call Log'!V:V,B38,'Call Log'!Y:Y,"General Education"))</f>
        <v>75</v>
      </c>
      <c r="G38" s="109">
        <f>IF(B38="","",COUNTIFS('Call Log'!V:V,B38,'Call Log'!Y:Y,"Rate Change"))</f>
        <v>10</v>
      </c>
      <c r="H38" s="109">
        <f>IF(B38="","",COUNTIFS('Call Log'!V:V,B38,'Call Log'!Y:Y,"E3/E4"))</f>
        <v>8</v>
      </c>
      <c r="I38" s="109">
        <f>IF(B38="","",COUNTIFS('Call Log'!V:V,B38,'Call Log'!Y:Y,"Utility Assistance"))</f>
        <v>2</v>
      </c>
      <c r="J38" s="109">
        <f>IF(B38="","",COUNTIFS('Call Log'!V:V,B38,'Call Log'!Y:Y,"Updated/New PA"))</f>
        <v>0</v>
      </c>
      <c r="K38" s="109">
        <f>IF(B38="","",COUNTIFS('Call Log'!V:V,B38,'Call Log'!Y:Y,"Other"))</f>
        <v>9</v>
      </c>
    </row>
    <row r="39" spans="2:11" outlineLevel="1">
      <c r="B39" s="112" t="str">
        <f>IF(P5="","",P5)</f>
        <v/>
      </c>
      <c r="C39" s="109" t="str">
        <f>IF(B39="","",COUNTIF('Call Log'!V:V,B39))</f>
        <v/>
      </c>
      <c r="D39" s="109" t="str">
        <f>IF(B39="","",COUNTIFS('Call Log'!V:V,B39,'Call Log'!X:X,"Yes"))</f>
        <v/>
      </c>
      <c r="E39" s="109" t="str">
        <f t="shared" si="1"/>
        <v/>
      </c>
      <c r="F39" s="109" t="str">
        <f>IF(B39="","",COUNTIFS('Call Log'!V:V,B39,'Call Log'!Y:Y,"General Education"))</f>
        <v/>
      </c>
      <c r="G39" s="109" t="str">
        <f>IF(B39="","",COUNTIFS('Call Log'!V:V,B39,'Call Log'!Y:Y,"Rate Change"))</f>
        <v/>
      </c>
      <c r="H39" s="109" t="str">
        <f>IF(B39="","",COUNTIFS('Call Log'!V:V,B39,'Call Log'!Y:Y,"E3/E4"))</f>
        <v/>
      </c>
      <c r="I39" s="109" t="str">
        <f>IF(B39="","",COUNTIFS('Call Log'!V:V,B39,'Call Log'!Y:Y,"Utility Assistance"))</f>
        <v/>
      </c>
      <c r="J39" s="109" t="str">
        <f>IF(B39="","",COUNTIFS('Call Log'!V:V,B39,'Call Log'!Y:Y,"Updated/New PA"))</f>
        <v/>
      </c>
      <c r="K39" s="109" t="str">
        <f>IF(B39="","",COUNTIFS('Call Log'!V:V,B39,'Call Log'!Y:Y,"Other"))</f>
        <v/>
      </c>
    </row>
    <row r="40" spans="2:11" outlineLevel="1">
      <c r="B40" s="112" t="str">
        <f>IF(P6="","",P6)</f>
        <v/>
      </c>
      <c r="C40" s="109" t="str">
        <f>IF(B40="","",COUNTIF('Call Log'!V:V,B40))</f>
        <v/>
      </c>
      <c r="D40" s="109" t="str">
        <f>IF(B40="","",COUNTIFS('Call Log'!V:V,B40,'Call Log'!X:X,"Yes"))</f>
        <v/>
      </c>
      <c r="E40" s="109" t="str">
        <f t="shared" si="1"/>
        <v/>
      </c>
      <c r="F40" s="109" t="str">
        <f>IF(B40="","",COUNTIFS('Call Log'!V:V,B40,'Call Log'!Y:Y,"General Education"))</f>
        <v/>
      </c>
      <c r="G40" s="109" t="str">
        <f>IF(B40="","",COUNTIFS('Call Log'!V:V,B40,'Call Log'!Y:Y,"Rate Change"))</f>
        <v/>
      </c>
      <c r="H40" s="109" t="str">
        <f>IF(B40="","",COUNTIFS('Call Log'!V:V,B40,'Call Log'!Y:Y,"E3/E4"))</f>
        <v/>
      </c>
      <c r="I40" s="109" t="str">
        <f>IF(B40="","",COUNTIFS('Call Log'!V:V,B40,'Call Log'!Y:Y,"Utility Assistance"))</f>
        <v/>
      </c>
      <c r="J40" s="109" t="str">
        <f>IF(B40="","",COUNTIFS('Call Log'!V:V,B40,'Call Log'!Y:Y,"Updated/New PA"))</f>
        <v/>
      </c>
      <c r="K40" s="109" t="str">
        <f>IF(B40="","",COUNTIFS('Call Log'!V:V,B40,'Call Log'!Y:Y,"Other"))</f>
        <v/>
      </c>
    </row>
    <row r="41" spans="2:11" outlineLevel="1">
      <c r="B41" s="112" t="str">
        <f>IF(P7="","",P7)</f>
        <v/>
      </c>
      <c r="C41" s="109" t="str">
        <f>IF(B41="","",COUNTIF('Call Log'!V:V,B41))</f>
        <v/>
      </c>
      <c r="D41" s="109" t="str">
        <f>IF(B41="","",COUNTIFS('Call Log'!V:V,B41,'Call Log'!X:X,"Yes"))</f>
        <v/>
      </c>
      <c r="E41" s="109" t="str">
        <f t="shared" si="1"/>
        <v/>
      </c>
      <c r="F41" s="109" t="str">
        <f>IF(B41="","",COUNTIFS('Call Log'!V:V,B41,'Call Log'!Y:Y,"General Education"))</f>
        <v/>
      </c>
      <c r="G41" s="109" t="str">
        <f>IF(B41="","",COUNTIFS('Call Log'!V:V,B41,'Call Log'!Y:Y,"Rate Change"))</f>
        <v/>
      </c>
      <c r="H41" s="109" t="str">
        <f>IF(B41="","",COUNTIFS('Call Log'!V:V,B41,'Call Log'!Y:Y,"E3/E4"))</f>
        <v/>
      </c>
      <c r="I41" s="109" t="str">
        <f>IF(B41="","",COUNTIFS('Call Log'!V:V,B41,'Call Log'!Y:Y,"Utility Assistance"))</f>
        <v/>
      </c>
      <c r="J41" s="109" t="str">
        <f>IF(B41="","",COUNTIFS('Call Log'!V:V,B41,'Call Log'!Y:Y,"Updated/New PA"))</f>
        <v/>
      </c>
      <c r="K41" s="109" t="str">
        <f>IF(B41="","",COUNTIFS('Call Log'!V:V,B41,'Call Log'!Y:Y,"Other"))</f>
        <v/>
      </c>
    </row>
    <row r="42" spans="2:11" outlineLevel="1">
      <c r="B42" s="112" t="str">
        <f>IF(P11="","",P11)</f>
        <v/>
      </c>
      <c r="C42" s="109" t="str">
        <f>IF(B42="","",COUNTIF('Call Log'!V:V,B42))</f>
        <v/>
      </c>
      <c r="D42" s="109" t="str">
        <f>IF(B42="","",COUNTIFS('Call Log'!V:V,B42,'Call Log'!X:X,"Yes"))</f>
        <v/>
      </c>
      <c r="E42" s="109" t="str">
        <f t="shared" si="1"/>
        <v/>
      </c>
      <c r="F42" s="109" t="str">
        <f>IF(B42="","",COUNTIFS('Call Log'!V:V,B42,'Call Log'!Y:Y,"General Education"))</f>
        <v/>
      </c>
      <c r="G42" s="109" t="str">
        <f>IF(B42="","",COUNTIFS('Call Log'!V:V,B42,'Call Log'!Y:Y,"Rate Change"))</f>
        <v/>
      </c>
      <c r="H42" s="109" t="str">
        <f>IF(B42="","",COUNTIFS('Call Log'!V:V,B42,'Call Log'!Y:Y,"E3/E4"))</f>
        <v/>
      </c>
      <c r="I42" s="109" t="str">
        <f>IF(B42="","",COUNTIFS('Call Log'!V:V,B42,'Call Log'!Y:Y,"Utility Assistance"))</f>
        <v/>
      </c>
      <c r="J42" s="109" t="str">
        <f>IF(B42="","",COUNTIFS('Call Log'!V:V,B42,'Call Log'!Y:Y,"Updated/New PA"))</f>
        <v/>
      </c>
      <c r="K42" s="109" t="str">
        <f>IF(B42="","",COUNTIFS('Call Log'!V:V,B42,'Call Log'!Y:Y,"Other"))</f>
        <v/>
      </c>
    </row>
    <row r="43" spans="2:11" outlineLevel="1">
      <c r="B43" s="112" t="str">
        <f>IF(P12="","",P12)</f>
        <v/>
      </c>
      <c r="C43" s="109" t="str">
        <f>IF(B43="","",COUNTIF('Call Log'!V:V,B43))</f>
        <v/>
      </c>
      <c r="D43" s="109" t="str">
        <f>IF(B43="","",COUNTIFS('Call Log'!V:V,B43,'Call Log'!X:X,"Yes"))</f>
        <v/>
      </c>
      <c r="E43" s="109" t="str">
        <f t="shared" si="1"/>
        <v/>
      </c>
      <c r="F43" s="109" t="str">
        <f>IF(B43="","",COUNTIFS('Call Log'!V:V,B43,'Call Log'!Y:Y,"General Education"))</f>
        <v/>
      </c>
      <c r="G43" s="109" t="str">
        <f>IF(B43="","",COUNTIFS('Call Log'!V:V,B43,'Call Log'!Y:Y,"Rate Change"))</f>
        <v/>
      </c>
      <c r="H43" s="109" t="str">
        <f>IF(B43="","",COUNTIFS('Call Log'!V:V,B43,'Call Log'!Y:Y,"E3/E4"))</f>
        <v/>
      </c>
      <c r="I43" s="109" t="str">
        <f>IF(B43="","",COUNTIFS('Call Log'!V:V,B43,'Call Log'!Y:Y,"Utility Assistance"))</f>
        <v/>
      </c>
      <c r="J43" s="109" t="str">
        <f>IF(B43="","",COUNTIFS('Call Log'!V:V,B43,'Call Log'!Y:Y,"Updated/New PA"))</f>
        <v/>
      </c>
      <c r="K43" s="109" t="str">
        <f>IF(B43="","",COUNTIFS('Call Log'!V:V,B43,'Call Log'!Y:Y,"Other"))</f>
        <v/>
      </c>
    </row>
    <row r="44" spans="2:11" outlineLevel="1">
      <c r="B44" s="112" t="str">
        <f>IF(P13="","",P13)</f>
        <v/>
      </c>
      <c r="C44" s="109" t="str">
        <f>IF(B44="","",COUNTIF('Call Log'!V:V,B44))</f>
        <v/>
      </c>
      <c r="D44" s="109" t="str">
        <f>IF(B44="","",COUNTIFS('Call Log'!V:V,B44,'Call Log'!X:X,"Yes"))</f>
        <v/>
      </c>
      <c r="E44" s="109" t="str">
        <f t="shared" si="1"/>
        <v/>
      </c>
      <c r="F44" s="109" t="str">
        <f>IF(B44="","",COUNTIFS('Call Log'!V:V,B44,'Call Log'!Y:Y,"General Education"))</f>
        <v/>
      </c>
      <c r="G44" s="109" t="str">
        <f>IF(B44="","",COUNTIFS('Call Log'!V:V,B44,'Call Log'!Y:Y,"Rate Change"))</f>
        <v/>
      </c>
      <c r="H44" s="109" t="str">
        <f>IF(B44="","",COUNTIFS('Call Log'!V:V,B44,'Call Log'!Y:Y,"E3/E4"))</f>
        <v/>
      </c>
      <c r="I44" s="109" t="str">
        <f>IF(B44="","",COUNTIFS('Call Log'!V:V,B44,'Call Log'!Y:Y,"Utility Assistance"))</f>
        <v/>
      </c>
      <c r="J44" s="109" t="str">
        <f>IF(B44="","",COUNTIFS('Call Log'!V:V,B44,'Call Log'!Y:Y,"Updated/New PA"))</f>
        <v/>
      </c>
      <c r="K44" s="109" t="str">
        <f>IF(B44="","",COUNTIFS('Call Log'!V:V,B44,'Call Log'!Y:Y,"Other"))</f>
        <v/>
      </c>
    </row>
    <row r="45" spans="2:11" outlineLevel="1">
      <c r="B45" s="112" t="str">
        <f>IF(P14="","",P14)</f>
        <v/>
      </c>
      <c r="C45" s="109" t="str">
        <f>IF(B45="","",COUNTIF('Call Log'!V:V,B45))</f>
        <v/>
      </c>
      <c r="D45" s="109" t="str">
        <f>IF(B45="","",COUNTIFS('Call Log'!V:V,B45,'Call Log'!X:X,"Yes"))</f>
        <v/>
      </c>
      <c r="E45" s="109" t="str">
        <f t="shared" si="1"/>
        <v/>
      </c>
      <c r="F45" s="109" t="str">
        <f>IF(B45="","",COUNTIFS('Call Log'!V:V,B45,'Call Log'!Y:Y,"General Education"))</f>
        <v/>
      </c>
      <c r="G45" s="109" t="str">
        <f>IF(B45="","",COUNTIFS('Call Log'!V:V,B45,'Call Log'!Y:Y,"Rate Change"))</f>
        <v/>
      </c>
      <c r="H45" s="109" t="str">
        <f>IF(B45="","",COUNTIFS('Call Log'!V:V,B45,'Call Log'!Y:Y,"E3/E4"))</f>
        <v/>
      </c>
      <c r="I45" s="109" t="str">
        <f>IF(B45="","",COUNTIFS('Call Log'!V:V,B45,'Call Log'!Y:Y,"Utility Assistance"))</f>
        <v/>
      </c>
      <c r="J45" s="109" t="str">
        <f>IF(B45="","",COUNTIFS('Call Log'!V:V,B45,'Call Log'!Y:Y,"Updated/New PA"))</f>
        <v/>
      </c>
      <c r="K45" s="109" t="str">
        <f>IF(B45="","",COUNTIFS('Call Log'!V:V,B45,'Call Log'!Y:Y,"Other"))</f>
        <v/>
      </c>
    </row>
    <row r="46" spans="2:11" ht="15.75" outlineLevel="1" thickBot="1">
      <c r="B46" s="112" t="str">
        <f>IF(P15="","",P15)</f>
        <v/>
      </c>
      <c r="C46" s="109" t="str">
        <f>IF(B46="","",COUNTIF('Call Log'!V:V,B46))</f>
        <v/>
      </c>
      <c r="D46" s="109" t="str">
        <f>IF(B46="","",COUNTIFS('Call Log'!V:V,B46,'Call Log'!X:X,"Yes"))</f>
        <v/>
      </c>
      <c r="E46" s="109" t="str">
        <f t="shared" si="1"/>
        <v/>
      </c>
      <c r="F46" s="109" t="str">
        <f>IF(B46="","",COUNTIFS('Call Log'!V:V,B46,'Call Log'!Y:Y,"General Education"))</f>
        <v/>
      </c>
      <c r="G46" s="109" t="str">
        <f>IF(B46="","",COUNTIFS('Call Log'!V:V,B46,'Call Log'!Y:Y,"Rate Change"))</f>
        <v/>
      </c>
      <c r="H46" s="109" t="str">
        <f>IF(B46="","",COUNTIFS('Call Log'!V:V,B46,'Call Log'!Y:Y,"E3/E4"))</f>
        <v/>
      </c>
      <c r="I46" s="109" t="str">
        <f>IF(B46="","",COUNTIFS('Call Log'!V:V,B46,'Call Log'!Y:Y,"Utility Assistance"))</f>
        <v/>
      </c>
      <c r="J46" s="109" t="str">
        <f>IF(B46="","",COUNTIFS('Call Log'!V:V,B46,'Call Log'!Y:Y,"Updated/New PA"))</f>
        <v/>
      </c>
      <c r="K46" s="109" t="str">
        <f>IF(B46="","",COUNTIFS('Call Log'!V:V,B46,'Call Log'!Y:Y,"Other"))</f>
        <v/>
      </c>
    </row>
    <row r="47" spans="2:11">
      <c r="B47" s="113" t="s">
        <v>5532</v>
      </c>
      <c r="C47" s="114">
        <f t="shared" ref="C47:K47" si="2">SUM(C37:C46)</f>
        <v>485</v>
      </c>
      <c r="D47" s="114">
        <f t="shared" si="2"/>
        <v>296</v>
      </c>
      <c r="E47" s="114">
        <f t="shared" si="2"/>
        <v>189</v>
      </c>
      <c r="F47" s="114">
        <f t="shared" si="2"/>
        <v>88</v>
      </c>
      <c r="G47" s="114">
        <f t="shared" si="2"/>
        <v>11</v>
      </c>
      <c r="H47" s="114">
        <f t="shared" si="2"/>
        <v>10</v>
      </c>
      <c r="I47" s="114">
        <f t="shared" si="2"/>
        <v>3</v>
      </c>
      <c r="J47" s="114">
        <f t="shared" si="2"/>
        <v>1</v>
      </c>
      <c r="K47" s="114">
        <f t="shared" si="2"/>
        <v>10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E1C7F-3922-4BCB-900C-B32DA0D6943E}">
  <sheetPr codeName="Sheet5">
    <tabColor rgb="FFD4A017"/>
  </sheetPr>
  <dimension ref="A1:W376"/>
  <sheetViews>
    <sheetView topLeftCell="F1" workbookViewId="0">
      <pane ySplit="1" topLeftCell="A42" activePane="bottomLeft" state="frozen"/>
      <selection pane="bottomLeft"/>
    </sheetView>
  </sheetViews>
  <sheetFormatPr defaultRowHeight="15"/>
  <cols>
    <col min="1" max="1" width="8.5703125" bestFit="1" customWidth="1"/>
    <col min="2" max="2" width="22" bestFit="1" customWidth="1"/>
    <col min="3" max="3" width="15.140625" bestFit="1" customWidth="1"/>
    <col min="4" max="4" width="12" bestFit="1" customWidth="1"/>
    <col min="5" max="5" width="9" bestFit="1" customWidth="1"/>
    <col min="6" max="6" width="96.42578125" bestFit="1" customWidth="1"/>
    <col min="7" max="7" width="48.140625" bestFit="1" customWidth="1"/>
    <col min="8" max="8" width="17.28515625" bestFit="1" customWidth="1"/>
    <col min="9" max="9" width="9.42578125" bestFit="1" customWidth="1"/>
    <col min="10" max="10" width="4.140625" bestFit="1" customWidth="1"/>
    <col min="11" max="11" width="6.140625" bestFit="1" customWidth="1"/>
    <col min="12" max="12" width="12.28515625" bestFit="1" customWidth="1"/>
    <col min="13" max="13" width="4.28515625" bestFit="1" customWidth="1"/>
    <col min="14" max="14" width="14.28515625" bestFit="1" customWidth="1"/>
    <col min="15" max="15" width="15.28515625" bestFit="1" customWidth="1"/>
    <col min="16" max="16" width="19.42578125" bestFit="1" customWidth="1"/>
    <col min="17" max="17" width="27" bestFit="1" customWidth="1"/>
    <col min="18" max="18" width="39" bestFit="1" customWidth="1"/>
    <col min="19" max="19" width="22" bestFit="1" customWidth="1"/>
    <col min="20" max="20" width="15.28515625" bestFit="1" customWidth="1"/>
    <col min="21" max="21" width="64" bestFit="1" customWidth="1"/>
    <col min="22" max="22" width="15.5703125" bestFit="1" customWidth="1"/>
    <col min="23" max="23" width="17.28515625" bestFit="1" customWidth="1"/>
  </cols>
  <sheetData>
    <row r="1" spans="1:23">
      <c r="A1" s="132" t="s">
        <v>0</v>
      </c>
      <c r="B1" s="132" t="s">
        <v>1</v>
      </c>
      <c r="C1" s="132" t="s">
        <v>2</v>
      </c>
      <c r="D1" s="132" t="s">
        <v>3</v>
      </c>
      <c r="E1" s="132" t="s">
        <v>5482</v>
      </c>
      <c r="F1" s="132" t="s">
        <v>5</v>
      </c>
      <c r="G1" s="132" t="s">
        <v>6</v>
      </c>
      <c r="H1" s="132" t="s">
        <v>7</v>
      </c>
      <c r="I1" s="132" t="s">
        <v>8</v>
      </c>
      <c r="J1" s="132" t="s">
        <v>9</v>
      </c>
      <c r="K1" s="132" t="s">
        <v>10</v>
      </c>
      <c r="L1" s="132" t="s">
        <v>11</v>
      </c>
      <c r="M1" s="132" t="s">
        <v>12</v>
      </c>
      <c r="N1" s="132" t="s">
        <v>13</v>
      </c>
      <c r="O1" s="132" t="s">
        <v>14</v>
      </c>
      <c r="P1" s="132" t="s">
        <v>15</v>
      </c>
      <c r="Q1" s="132" t="s">
        <v>5483</v>
      </c>
      <c r="R1" s="132" t="s">
        <v>17</v>
      </c>
      <c r="S1" s="132" t="s">
        <v>18</v>
      </c>
      <c r="T1" s="132" t="s">
        <v>19</v>
      </c>
      <c r="U1" s="132" t="s">
        <v>20</v>
      </c>
      <c r="V1" s="132" t="s">
        <v>5427</v>
      </c>
      <c r="W1" s="132" t="s">
        <v>5631</v>
      </c>
    </row>
    <row r="2" spans="1:23" ht="27">
      <c r="A2" s="130">
        <v>45796</v>
      </c>
      <c r="B2" s="130" t="s">
        <v>22</v>
      </c>
      <c r="C2" s="130" t="s">
        <v>23</v>
      </c>
      <c r="D2" s="130" t="s">
        <v>24</v>
      </c>
      <c r="E2" s="130">
        <v>85308</v>
      </c>
      <c r="F2" s="130" t="s">
        <v>25</v>
      </c>
      <c r="G2" s="131" t="s">
        <v>26</v>
      </c>
      <c r="H2" s="130" t="s">
        <v>27</v>
      </c>
      <c r="I2" s="130"/>
      <c r="J2" s="130"/>
      <c r="K2" s="130"/>
      <c r="L2" s="130"/>
      <c r="M2" s="130"/>
      <c r="N2" s="130"/>
      <c r="O2" s="130"/>
      <c r="P2" s="130"/>
      <c r="Q2" s="130"/>
      <c r="R2" s="130"/>
      <c r="S2" s="130"/>
      <c r="T2" s="130"/>
      <c r="U2" s="130"/>
      <c r="V2" s="130"/>
      <c r="W2" s="130" t="s">
        <v>27</v>
      </c>
    </row>
    <row r="3" spans="1:23">
      <c r="A3" s="130">
        <v>45797</v>
      </c>
      <c r="B3" s="130" t="s">
        <v>28</v>
      </c>
      <c r="C3" s="130" t="s">
        <v>29</v>
      </c>
      <c r="D3" s="130" t="s">
        <v>30</v>
      </c>
      <c r="E3" s="130" t="s">
        <v>30</v>
      </c>
      <c r="F3" s="130" t="s">
        <v>31</v>
      </c>
      <c r="G3" s="130" t="s">
        <v>32</v>
      </c>
      <c r="H3" s="130" t="s">
        <v>27</v>
      </c>
      <c r="I3" s="130"/>
      <c r="J3" s="130"/>
      <c r="K3" s="130"/>
      <c r="L3" s="130"/>
      <c r="M3" s="130"/>
      <c r="N3" s="130"/>
      <c r="O3" s="130"/>
      <c r="P3" s="130"/>
      <c r="Q3" s="130"/>
      <c r="R3" s="130"/>
      <c r="S3" s="130"/>
      <c r="T3" s="130"/>
      <c r="U3" s="130"/>
      <c r="V3" s="130"/>
      <c r="W3" s="130" t="s">
        <v>27</v>
      </c>
    </row>
    <row r="4" spans="1:23">
      <c r="A4" s="130">
        <v>45812</v>
      </c>
      <c r="B4" s="130" t="s">
        <v>74</v>
      </c>
      <c r="C4" s="130" t="s">
        <v>75</v>
      </c>
      <c r="D4" s="130" t="s">
        <v>30</v>
      </c>
      <c r="E4" s="130" t="s">
        <v>30</v>
      </c>
      <c r="F4" s="130" t="s">
        <v>31</v>
      </c>
      <c r="G4" s="130" t="s">
        <v>76</v>
      </c>
      <c r="H4" s="130" t="s">
        <v>27</v>
      </c>
      <c r="I4" s="130"/>
      <c r="J4" s="130"/>
      <c r="K4" s="130"/>
      <c r="L4" s="130"/>
      <c r="M4" s="130"/>
      <c r="N4" s="130"/>
      <c r="O4" s="130"/>
      <c r="P4" s="130"/>
      <c r="Q4" s="130"/>
      <c r="R4" s="130"/>
      <c r="S4" s="130"/>
      <c r="T4" s="130"/>
      <c r="U4" s="130" t="s">
        <v>77</v>
      </c>
      <c r="V4" s="130"/>
      <c r="W4" s="130" t="s">
        <v>27</v>
      </c>
    </row>
    <row r="5" spans="1:23">
      <c r="A5" s="130">
        <v>45813</v>
      </c>
      <c r="B5" s="130" t="s">
        <v>87</v>
      </c>
      <c r="C5" s="130" t="s">
        <v>88</v>
      </c>
      <c r="D5" s="130" t="s">
        <v>89</v>
      </c>
      <c r="E5" s="130">
        <v>86336</v>
      </c>
      <c r="F5" s="130" t="s">
        <v>31</v>
      </c>
      <c r="G5" s="130" t="s">
        <v>86</v>
      </c>
      <c r="H5" s="130" t="s">
        <v>90</v>
      </c>
      <c r="I5" s="130"/>
      <c r="J5" s="130" t="s">
        <v>37</v>
      </c>
      <c r="K5" s="130"/>
      <c r="L5" s="130"/>
      <c r="M5" s="130"/>
      <c r="N5" s="130"/>
      <c r="O5" s="130"/>
      <c r="P5" s="130"/>
      <c r="Q5" s="130"/>
      <c r="R5" s="130"/>
      <c r="S5" s="130"/>
      <c r="T5" s="130"/>
      <c r="U5" s="130"/>
      <c r="V5" s="130"/>
      <c r="W5" s="130" t="s">
        <v>90</v>
      </c>
    </row>
    <row r="6" spans="1:23" ht="27">
      <c r="A6" s="130">
        <v>45824</v>
      </c>
      <c r="B6" s="130" t="s">
        <v>101</v>
      </c>
      <c r="C6" s="130" t="s">
        <v>102</v>
      </c>
      <c r="D6" s="130" t="s">
        <v>30</v>
      </c>
      <c r="E6" s="130" t="s">
        <v>30</v>
      </c>
      <c r="F6" s="130" t="s">
        <v>31</v>
      </c>
      <c r="G6" s="131" t="s">
        <v>103</v>
      </c>
      <c r="H6" s="130" t="s">
        <v>27</v>
      </c>
      <c r="I6" s="130"/>
      <c r="J6" s="130"/>
      <c r="K6" s="130"/>
      <c r="L6" s="130"/>
      <c r="M6" s="130"/>
      <c r="N6" s="130"/>
      <c r="O6" s="130"/>
      <c r="P6" s="130"/>
      <c r="Q6" s="130"/>
      <c r="R6" s="130"/>
      <c r="S6" s="130"/>
      <c r="T6" s="130"/>
      <c r="U6" s="130" t="s">
        <v>104</v>
      </c>
      <c r="V6" s="130"/>
      <c r="W6" s="130" t="s">
        <v>27</v>
      </c>
    </row>
    <row r="7" spans="1:23">
      <c r="A7" s="130">
        <v>45824</v>
      </c>
      <c r="B7" s="130" t="s">
        <v>105</v>
      </c>
      <c r="C7" s="130" t="s">
        <v>106</v>
      </c>
      <c r="D7" s="130" t="s">
        <v>30</v>
      </c>
      <c r="E7" s="130" t="s">
        <v>30</v>
      </c>
      <c r="F7" s="130" t="s">
        <v>31</v>
      </c>
      <c r="G7" s="130" t="s">
        <v>107</v>
      </c>
      <c r="H7" s="130" t="s">
        <v>27</v>
      </c>
      <c r="I7" s="130"/>
      <c r="J7" s="130"/>
      <c r="K7" s="130"/>
      <c r="L7" s="130"/>
      <c r="M7" s="130"/>
      <c r="N7" s="130"/>
      <c r="O7" s="130"/>
      <c r="P7" s="130"/>
      <c r="Q7" s="130"/>
      <c r="R7" s="130"/>
      <c r="S7" s="130"/>
      <c r="T7" s="130"/>
      <c r="U7" s="130"/>
      <c r="V7" s="130"/>
      <c r="W7" s="130" t="s">
        <v>27</v>
      </c>
    </row>
    <row r="8" spans="1:23">
      <c r="A8" s="130">
        <v>45824</v>
      </c>
      <c r="B8" s="130" t="s">
        <v>28</v>
      </c>
      <c r="C8" s="130" t="s">
        <v>29</v>
      </c>
      <c r="D8" s="130" t="s">
        <v>30</v>
      </c>
      <c r="E8" s="130" t="s">
        <v>30</v>
      </c>
      <c r="F8" s="130" t="s">
        <v>31</v>
      </c>
      <c r="G8" s="130" t="s">
        <v>108</v>
      </c>
      <c r="H8" s="130" t="s">
        <v>27</v>
      </c>
      <c r="I8" s="130"/>
      <c r="J8" s="130"/>
      <c r="K8" s="130"/>
      <c r="L8" s="130"/>
      <c r="M8" s="130"/>
      <c r="N8" s="130"/>
      <c r="O8" s="130"/>
      <c r="P8" s="130"/>
      <c r="Q8" s="130"/>
      <c r="R8" s="130"/>
      <c r="S8" s="130"/>
      <c r="T8" s="130"/>
      <c r="U8" s="130" t="s">
        <v>109</v>
      </c>
      <c r="V8" s="130"/>
      <c r="W8" s="130" t="s">
        <v>27</v>
      </c>
    </row>
    <row r="9" spans="1:23">
      <c r="A9" s="130">
        <v>45825</v>
      </c>
      <c r="B9" s="130" t="s">
        <v>110</v>
      </c>
      <c r="C9" s="130" t="s">
        <v>111</v>
      </c>
      <c r="D9" s="130" t="s">
        <v>112</v>
      </c>
      <c r="E9" s="130">
        <v>85379</v>
      </c>
      <c r="F9" s="130" t="s">
        <v>31</v>
      </c>
      <c r="G9" s="130" t="s">
        <v>113</v>
      </c>
      <c r="H9" s="130" t="s">
        <v>27</v>
      </c>
      <c r="I9" s="130"/>
      <c r="J9" s="130"/>
      <c r="K9" s="130"/>
      <c r="L9" s="130"/>
      <c r="M9" s="130"/>
      <c r="N9" s="130"/>
      <c r="O9" s="130"/>
      <c r="P9" s="130"/>
      <c r="Q9" s="130"/>
      <c r="R9" s="130"/>
      <c r="S9" s="130"/>
      <c r="T9" s="130"/>
      <c r="U9" s="130"/>
      <c r="V9" s="130"/>
      <c r="W9" s="130" t="s">
        <v>27</v>
      </c>
    </row>
    <row r="10" spans="1:23">
      <c r="A10" s="130">
        <v>45825</v>
      </c>
      <c r="B10" s="130" t="s">
        <v>114</v>
      </c>
      <c r="C10" s="130" t="s">
        <v>115</v>
      </c>
      <c r="D10" s="130" t="s">
        <v>112</v>
      </c>
      <c r="E10" s="130">
        <v>85387</v>
      </c>
      <c r="F10" s="130" t="s">
        <v>31</v>
      </c>
      <c r="G10" s="130" t="s">
        <v>113</v>
      </c>
      <c r="H10" s="130" t="s">
        <v>27</v>
      </c>
      <c r="I10" s="130"/>
      <c r="J10" s="130"/>
      <c r="K10" s="130"/>
      <c r="L10" s="130"/>
      <c r="M10" s="130"/>
      <c r="N10" s="130"/>
      <c r="O10" s="130"/>
      <c r="P10" s="130"/>
      <c r="Q10" s="130"/>
      <c r="R10" s="130"/>
      <c r="S10" s="130"/>
      <c r="T10" s="130"/>
      <c r="U10" s="130"/>
      <c r="V10" s="130"/>
      <c r="W10" s="130" t="s">
        <v>27</v>
      </c>
    </row>
    <row r="11" spans="1:23">
      <c r="A11" s="130">
        <v>45826</v>
      </c>
      <c r="B11" s="130" t="s">
        <v>119</v>
      </c>
      <c r="C11" s="130" t="s">
        <v>120</v>
      </c>
      <c r="D11" s="130" t="s">
        <v>63</v>
      </c>
      <c r="E11" s="130">
        <v>85027</v>
      </c>
      <c r="F11" s="130" t="s">
        <v>31</v>
      </c>
      <c r="G11" s="130" t="s">
        <v>121</v>
      </c>
      <c r="H11" s="130" t="s">
        <v>27</v>
      </c>
      <c r="I11" s="130"/>
      <c r="J11" s="130"/>
      <c r="K11" s="130"/>
      <c r="L11" s="130"/>
      <c r="M11" s="130"/>
      <c r="N11" s="130"/>
      <c r="O11" s="130"/>
      <c r="P11" s="130"/>
      <c r="Q11" s="130"/>
      <c r="R11" s="130"/>
      <c r="S11" s="130"/>
      <c r="T11" s="130"/>
      <c r="U11" s="130" t="s">
        <v>122</v>
      </c>
      <c r="V11" s="130"/>
      <c r="W11" s="130" t="s">
        <v>27</v>
      </c>
    </row>
    <row r="12" spans="1:23">
      <c r="A12" s="130">
        <v>45826</v>
      </c>
      <c r="B12" s="130" t="s">
        <v>134</v>
      </c>
      <c r="C12" s="130" t="s">
        <v>135</v>
      </c>
      <c r="D12" s="130" t="s">
        <v>136</v>
      </c>
      <c r="E12" s="130" t="s">
        <v>30</v>
      </c>
      <c r="F12" s="130" t="s">
        <v>31</v>
      </c>
      <c r="G12" s="130" t="s">
        <v>137</v>
      </c>
      <c r="H12" s="130" t="s">
        <v>27</v>
      </c>
      <c r="I12" s="130"/>
      <c r="J12" s="130"/>
      <c r="K12" s="130"/>
      <c r="L12" s="130"/>
      <c r="M12" s="130"/>
      <c r="N12" s="130"/>
      <c r="O12" s="130"/>
      <c r="P12" s="130"/>
      <c r="Q12" s="130"/>
      <c r="R12" s="130"/>
      <c r="S12" s="130"/>
      <c r="T12" s="130"/>
      <c r="U12" s="130" t="s">
        <v>77</v>
      </c>
      <c r="V12" s="130"/>
      <c r="W12" s="130" t="s">
        <v>27</v>
      </c>
    </row>
    <row r="13" spans="1:23">
      <c r="A13" s="130">
        <v>45826</v>
      </c>
      <c r="B13" s="130" t="s">
        <v>150</v>
      </c>
      <c r="C13" s="130" t="s">
        <v>133</v>
      </c>
      <c r="D13" s="130" t="s">
        <v>30</v>
      </c>
      <c r="E13" s="130" t="s">
        <v>30</v>
      </c>
      <c r="F13" s="130" t="s">
        <v>31</v>
      </c>
      <c r="G13" s="130" t="s">
        <v>151</v>
      </c>
      <c r="H13" s="130" t="s">
        <v>27</v>
      </c>
      <c r="I13" s="130"/>
      <c r="J13" s="130"/>
      <c r="K13" s="130"/>
      <c r="L13" s="130"/>
      <c r="M13" s="130"/>
      <c r="N13" s="130"/>
      <c r="O13" s="130"/>
      <c r="P13" s="130"/>
      <c r="Q13" s="130"/>
      <c r="R13" s="130"/>
      <c r="S13" s="130"/>
      <c r="T13" s="130"/>
      <c r="U13" s="130" t="s">
        <v>77</v>
      </c>
      <c r="V13" s="130"/>
      <c r="W13" s="130" t="s">
        <v>27</v>
      </c>
    </row>
    <row r="14" spans="1:23">
      <c r="A14" s="130">
        <v>45826</v>
      </c>
      <c r="B14" s="130" t="s">
        <v>160</v>
      </c>
      <c r="C14" s="130" t="s">
        <v>117</v>
      </c>
      <c r="D14" s="130" t="s">
        <v>24</v>
      </c>
      <c r="E14" s="130">
        <v>85310</v>
      </c>
      <c r="F14" s="130" t="s">
        <v>31</v>
      </c>
      <c r="G14" s="130" t="s">
        <v>151</v>
      </c>
      <c r="H14" s="130" t="s">
        <v>27</v>
      </c>
      <c r="I14" s="130"/>
      <c r="J14" s="130"/>
      <c r="K14" s="130"/>
      <c r="L14" s="130"/>
      <c r="M14" s="130"/>
      <c r="N14" s="130"/>
      <c r="O14" s="130"/>
      <c r="P14" s="130"/>
      <c r="Q14" s="130"/>
      <c r="R14" s="130"/>
      <c r="S14" s="130"/>
      <c r="T14" s="130"/>
      <c r="U14" s="130" t="s">
        <v>77</v>
      </c>
      <c r="V14" s="130"/>
      <c r="W14" s="130" t="s">
        <v>27</v>
      </c>
    </row>
    <row r="15" spans="1:23">
      <c r="A15" s="130">
        <v>45827</v>
      </c>
      <c r="B15" s="130" t="s">
        <v>167</v>
      </c>
      <c r="C15" s="130" t="s">
        <v>168</v>
      </c>
      <c r="D15" s="130" t="s">
        <v>169</v>
      </c>
      <c r="E15" s="130" t="s">
        <v>30</v>
      </c>
      <c r="F15" s="130" t="s">
        <v>170</v>
      </c>
      <c r="G15" s="130" t="s">
        <v>171</v>
      </c>
      <c r="H15" s="130" t="s">
        <v>27</v>
      </c>
      <c r="I15" s="130"/>
      <c r="J15" s="130"/>
      <c r="K15" s="130"/>
      <c r="L15" s="130"/>
      <c r="M15" s="130"/>
      <c r="N15" s="130"/>
      <c r="O15" s="130"/>
      <c r="P15" s="130"/>
      <c r="Q15" s="130"/>
      <c r="R15" s="130"/>
      <c r="S15" s="130"/>
      <c r="T15" s="130"/>
      <c r="U15" s="130" t="s">
        <v>77</v>
      </c>
      <c r="V15" s="130"/>
      <c r="W15" s="130" t="s">
        <v>27</v>
      </c>
    </row>
    <row r="16" spans="1:23">
      <c r="A16" s="130">
        <v>45827</v>
      </c>
      <c r="B16" s="130" t="s">
        <v>172</v>
      </c>
      <c r="C16" s="130" t="s">
        <v>173</v>
      </c>
      <c r="D16" s="130" t="s">
        <v>174</v>
      </c>
      <c r="E16" s="130" t="s">
        <v>30</v>
      </c>
      <c r="F16" s="130" t="s">
        <v>31</v>
      </c>
      <c r="G16" s="130" t="s">
        <v>175</v>
      </c>
      <c r="H16" s="130" t="s">
        <v>27</v>
      </c>
      <c r="I16" s="130"/>
      <c r="J16" s="130"/>
      <c r="K16" s="130"/>
      <c r="L16" s="130"/>
      <c r="M16" s="130"/>
      <c r="N16" s="130"/>
      <c r="O16" s="130"/>
      <c r="P16" s="130"/>
      <c r="Q16" s="130"/>
      <c r="R16" s="130"/>
      <c r="S16" s="130"/>
      <c r="T16" s="130"/>
      <c r="U16" s="130" t="s">
        <v>77</v>
      </c>
      <c r="V16" s="130"/>
      <c r="W16" s="130" t="s">
        <v>27</v>
      </c>
    </row>
    <row r="17" spans="1:23">
      <c r="A17" s="130">
        <v>45827</v>
      </c>
      <c r="B17" s="130" t="s">
        <v>176</v>
      </c>
      <c r="C17" s="130" t="s">
        <v>177</v>
      </c>
      <c r="D17" s="130" t="s">
        <v>30</v>
      </c>
      <c r="E17" s="130" t="s">
        <v>30</v>
      </c>
      <c r="F17" s="130" t="s">
        <v>31</v>
      </c>
      <c r="G17" s="130" t="s">
        <v>175</v>
      </c>
      <c r="H17" s="130" t="s">
        <v>27</v>
      </c>
      <c r="I17" s="130"/>
      <c r="J17" s="130"/>
      <c r="K17" s="130"/>
      <c r="L17" s="130"/>
      <c r="M17" s="130"/>
      <c r="N17" s="130"/>
      <c r="O17" s="130"/>
      <c r="P17" s="130"/>
      <c r="Q17" s="130"/>
      <c r="R17" s="130"/>
      <c r="S17" s="130"/>
      <c r="T17" s="130"/>
      <c r="U17" s="130" t="s">
        <v>77</v>
      </c>
      <c r="V17" s="130"/>
      <c r="W17" s="130" t="s">
        <v>27</v>
      </c>
    </row>
    <row r="18" spans="1:23">
      <c r="A18" s="130">
        <v>45827</v>
      </c>
      <c r="B18" s="130" t="s">
        <v>180</v>
      </c>
      <c r="C18" s="130" t="s">
        <v>181</v>
      </c>
      <c r="D18" s="130" t="s">
        <v>63</v>
      </c>
      <c r="E18" s="130" t="s">
        <v>30</v>
      </c>
      <c r="F18" s="130" t="s">
        <v>31</v>
      </c>
      <c r="G18" s="130" t="s">
        <v>182</v>
      </c>
      <c r="H18" s="130" t="s">
        <v>27</v>
      </c>
      <c r="I18" s="130"/>
      <c r="J18" s="130"/>
      <c r="K18" s="130"/>
      <c r="L18" s="130"/>
      <c r="M18" s="130"/>
      <c r="N18" s="130"/>
      <c r="O18" s="130"/>
      <c r="P18" s="130"/>
      <c r="Q18" s="130"/>
      <c r="R18" s="130"/>
      <c r="S18" s="130"/>
      <c r="T18" s="130"/>
      <c r="U18" s="130"/>
      <c r="V18" s="130"/>
      <c r="W18" s="130" t="s">
        <v>27</v>
      </c>
    </row>
    <row r="19" spans="1:23">
      <c r="A19" s="130">
        <v>45831</v>
      </c>
      <c r="B19" s="130" t="s">
        <v>186</v>
      </c>
      <c r="C19" s="130" t="s">
        <v>102</v>
      </c>
      <c r="D19" s="130" t="s">
        <v>169</v>
      </c>
      <c r="E19" s="130">
        <v>85338</v>
      </c>
      <c r="F19" s="130" t="s">
        <v>31</v>
      </c>
      <c r="G19" s="130"/>
      <c r="H19" s="130" t="s">
        <v>27</v>
      </c>
      <c r="I19" s="130"/>
      <c r="J19" s="130"/>
      <c r="K19" s="130"/>
      <c r="L19" s="130"/>
      <c r="M19" s="130"/>
      <c r="N19" s="130"/>
      <c r="O19" s="130"/>
      <c r="P19" s="130"/>
      <c r="Q19" s="130"/>
      <c r="R19" s="130"/>
      <c r="S19" s="130"/>
      <c r="T19" s="130"/>
      <c r="U19" s="130"/>
      <c r="V19" s="130"/>
      <c r="W19" s="130" t="s">
        <v>27</v>
      </c>
    </row>
    <row r="20" spans="1:23">
      <c r="A20" s="130">
        <v>45831</v>
      </c>
      <c r="B20" s="130" t="s">
        <v>187</v>
      </c>
      <c r="C20" s="130" t="s">
        <v>188</v>
      </c>
      <c r="D20" s="130" t="s">
        <v>174</v>
      </c>
      <c r="E20" s="130">
        <v>85326</v>
      </c>
      <c r="F20" s="130" t="s">
        <v>31</v>
      </c>
      <c r="G20" s="130"/>
      <c r="H20" s="130" t="s">
        <v>27</v>
      </c>
      <c r="I20" s="130"/>
      <c r="J20" s="130"/>
      <c r="K20" s="130"/>
      <c r="L20" s="130"/>
      <c r="M20" s="130"/>
      <c r="N20" s="130"/>
      <c r="O20" s="130"/>
      <c r="P20" s="130"/>
      <c r="Q20" s="130"/>
      <c r="R20" s="130"/>
      <c r="S20" s="130"/>
      <c r="T20" s="130"/>
      <c r="U20" s="130"/>
      <c r="V20" s="130"/>
      <c r="W20" s="130" t="s">
        <v>27</v>
      </c>
    </row>
    <row r="21" spans="1:23">
      <c r="A21" s="130">
        <v>45831</v>
      </c>
      <c r="B21" s="130" t="s">
        <v>198</v>
      </c>
      <c r="C21" s="130" t="s">
        <v>199</v>
      </c>
      <c r="D21" s="130" t="s">
        <v>63</v>
      </c>
      <c r="E21" s="130">
        <v>85085</v>
      </c>
      <c r="F21" s="130" t="s">
        <v>25</v>
      </c>
      <c r="G21" s="130"/>
      <c r="H21" s="130" t="s">
        <v>90</v>
      </c>
      <c r="I21" s="130"/>
      <c r="J21" s="130"/>
      <c r="K21" s="130"/>
      <c r="L21" s="130"/>
      <c r="M21" s="130"/>
      <c r="N21" s="130"/>
      <c r="O21" s="130"/>
      <c r="P21" s="130"/>
      <c r="Q21" s="130"/>
      <c r="R21" s="130"/>
      <c r="S21" s="130"/>
      <c r="T21" s="130"/>
      <c r="U21" s="130"/>
      <c r="V21" s="130"/>
      <c r="W21" s="130" t="s">
        <v>90</v>
      </c>
    </row>
    <row r="22" spans="1:23">
      <c r="A22" s="130">
        <v>45831</v>
      </c>
      <c r="B22" s="130" t="s">
        <v>205</v>
      </c>
      <c r="C22" s="130" t="s">
        <v>206</v>
      </c>
      <c r="D22" s="130" t="s">
        <v>30</v>
      </c>
      <c r="E22" s="130" t="s">
        <v>30</v>
      </c>
      <c r="F22" s="130" t="s">
        <v>25</v>
      </c>
      <c r="G22" s="130"/>
      <c r="H22" s="130" t="s">
        <v>27</v>
      </c>
      <c r="I22" s="130"/>
      <c r="J22" s="130"/>
      <c r="K22" s="130"/>
      <c r="L22" s="130"/>
      <c r="M22" s="130"/>
      <c r="N22" s="130"/>
      <c r="O22" s="130"/>
      <c r="P22" s="130"/>
      <c r="Q22" s="130"/>
      <c r="R22" s="130"/>
      <c r="S22" s="130"/>
      <c r="T22" s="130"/>
      <c r="U22" s="130"/>
      <c r="V22" s="130"/>
      <c r="W22" s="130" t="s">
        <v>27</v>
      </c>
    </row>
    <row r="23" spans="1:23">
      <c r="A23" s="130">
        <v>45833</v>
      </c>
      <c r="B23" s="130" t="s">
        <v>214</v>
      </c>
      <c r="C23" s="130" t="s">
        <v>215</v>
      </c>
      <c r="D23" s="130" t="s">
        <v>30</v>
      </c>
      <c r="E23" s="130" t="s">
        <v>30</v>
      </c>
      <c r="F23" s="130" t="s">
        <v>31</v>
      </c>
      <c r="G23" s="130"/>
      <c r="H23" s="130" t="s">
        <v>27</v>
      </c>
      <c r="I23" s="130"/>
      <c r="J23" s="130"/>
      <c r="K23" s="130"/>
      <c r="L23" s="130"/>
      <c r="M23" s="130"/>
      <c r="N23" s="130"/>
      <c r="O23" s="130"/>
      <c r="P23" s="130"/>
      <c r="Q23" s="130"/>
      <c r="R23" s="130"/>
      <c r="S23" s="130"/>
      <c r="T23" s="130"/>
      <c r="U23" s="130"/>
      <c r="V23" s="130"/>
      <c r="W23" s="130" t="s">
        <v>27</v>
      </c>
    </row>
    <row r="24" spans="1:23">
      <c r="A24" s="130">
        <v>45835</v>
      </c>
      <c r="B24" s="130" t="s">
        <v>216</v>
      </c>
      <c r="C24" s="130" t="s">
        <v>217</v>
      </c>
      <c r="D24" s="130" t="s">
        <v>125</v>
      </c>
      <c r="E24" s="130">
        <v>85260</v>
      </c>
      <c r="F24" s="130" t="s">
        <v>31</v>
      </c>
      <c r="G24" s="130" t="s">
        <v>218</v>
      </c>
      <c r="H24" s="130" t="s">
        <v>27</v>
      </c>
      <c r="I24" s="130"/>
      <c r="J24" s="130"/>
      <c r="K24" s="130"/>
      <c r="L24" s="130"/>
      <c r="M24" s="130"/>
      <c r="N24" s="130"/>
      <c r="O24" s="130"/>
      <c r="P24" s="130"/>
      <c r="Q24" s="130"/>
      <c r="R24" s="130"/>
      <c r="S24" s="130"/>
      <c r="T24" s="130"/>
      <c r="U24" s="130"/>
      <c r="V24" s="130"/>
      <c r="W24" s="130" t="s">
        <v>27</v>
      </c>
    </row>
    <row r="25" spans="1:23">
      <c r="A25" s="130">
        <v>45840</v>
      </c>
      <c r="B25" s="130" t="s">
        <v>224</v>
      </c>
      <c r="C25" s="130" t="s">
        <v>225</v>
      </c>
      <c r="D25" s="130" t="s">
        <v>30</v>
      </c>
      <c r="E25" s="130" t="s">
        <v>30</v>
      </c>
      <c r="F25" s="130" t="s">
        <v>31</v>
      </c>
      <c r="G25" s="130" t="s">
        <v>226</v>
      </c>
      <c r="H25" s="130" t="s">
        <v>27</v>
      </c>
      <c r="I25" s="130"/>
      <c r="J25" s="130"/>
      <c r="K25" s="130"/>
      <c r="L25" s="130"/>
      <c r="M25" s="130"/>
      <c r="N25" s="130"/>
      <c r="O25" s="130"/>
      <c r="P25" s="130"/>
      <c r="Q25" s="130"/>
      <c r="R25" s="130"/>
      <c r="S25" s="130"/>
      <c r="T25" s="130"/>
      <c r="U25" s="130" t="s">
        <v>77</v>
      </c>
      <c r="V25" s="130"/>
      <c r="W25" s="130" t="s">
        <v>27</v>
      </c>
    </row>
    <row r="26" spans="1:23">
      <c r="A26" s="130">
        <v>45840</v>
      </c>
      <c r="B26" s="130" t="s">
        <v>227</v>
      </c>
      <c r="C26" s="130" t="s">
        <v>228</v>
      </c>
      <c r="D26" s="130" t="s">
        <v>30</v>
      </c>
      <c r="E26" s="130" t="s">
        <v>30</v>
      </c>
      <c r="F26" s="130" t="s">
        <v>31</v>
      </c>
      <c r="G26" s="130" t="s">
        <v>226</v>
      </c>
      <c r="H26" s="130" t="s">
        <v>27</v>
      </c>
      <c r="I26" s="130"/>
      <c r="J26" s="130"/>
      <c r="K26" s="130"/>
      <c r="L26" s="130"/>
      <c r="M26" s="130"/>
      <c r="N26" s="130"/>
      <c r="O26" s="130"/>
      <c r="P26" s="130"/>
      <c r="Q26" s="130"/>
      <c r="R26" s="130"/>
      <c r="S26" s="130"/>
      <c r="T26" s="130"/>
      <c r="U26" s="130" t="s">
        <v>77</v>
      </c>
      <c r="V26" s="130"/>
      <c r="W26" s="130" t="s">
        <v>27</v>
      </c>
    </row>
    <row r="27" spans="1:23">
      <c r="A27" s="130">
        <v>45845</v>
      </c>
      <c r="B27" s="130" t="s">
        <v>229</v>
      </c>
      <c r="C27" s="130" t="s">
        <v>230</v>
      </c>
      <c r="D27" s="130" t="s">
        <v>63</v>
      </c>
      <c r="E27" s="130">
        <v>85022</v>
      </c>
      <c r="F27" s="130" t="s">
        <v>31</v>
      </c>
      <c r="G27" s="130" t="s">
        <v>231</v>
      </c>
      <c r="H27" s="130" t="s">
        <v>27</v>
      </c>
      <c r="I27" s="130"/>
      <c r="J27" s="130"/>
      <c r="K27" s="130"/>
      <c r="L27" s="130"/>
      <c r="M27" s="130"/>
      <c r="N27" s="130"/>
      <c r="O27" s="130"/>
      <c r="P27" s="130"/>
      <c r="Q27" s="130"/>
      <c r="R27" s="130"/>
      <c r="S27" s="130"/>
      <c r="T27" s="130"/>
      <c r="U27" s="130"/>
      <c r="V27" s="130"/>
      <c r="W27" s="130" t="s">
        <v>27</v>
      </c>
    </row>
    <row r="28" spans="1:23">
      <c r="A28" s="130">
        <v>45848</v>
      </c>
      <c r="B28" s="130" t="s">
        <v>251</v>
      </c>
      <c r="C28" s="130" t="s">
        <v>252</v>
      </c>
      <c r="D28" s="130" t="s">
        <v>253</v>
      </c>
      <c r="E28" s="130">
        <v>87048</v>
      </c>
      <c r="F28" s="130" t="s">
        <v>31</v>
      </c>
      <c r="G28" s="130" t="s">
        <v>254</v>
      </c>
      <c r="H28" s="130" t="s">
        <v>27</v>
      </c>
      <c r="I28" s="130"/>
      <c r="J28" s="130"/>
      <c r="K28" s="130"/>
      <c r="L28" s="130"/>
      <c r="M28" s="130"/>
      <c r="N28" s="130"/>
      <c r="O28" s="130"/>
      <c r="P28" s="130"/>
      <c r="Q28" s="130"/>
      <c r="R28" s="130"/>
      <c r="S28" s="130"/>
      <c r="T28" s="130"/>
      <c r="U28" s="130"/>
      <c r="V28" s="130"/>
      <c r="W28" s="130" t="s">
        <v>27</v>
      </c>
    </row>
    <row r="29" spans="1:23">
      <c r="A29" s="130">
        <v>45848</v>
      </c>
      <c r="B29" s="130" t="s">
        <v>255</v>
      </c>
      <c r="C29" s="130" t="s">
        <v>256</v>
      </c>
      <c r="D29" s="130" t="s">
        <v>89</v>
      </c>
      <c r="E29" s="130">
        <v>86336</v>
      </c>
      <c r="F29" s="130" t="s">
        <v>257</v>
      </c>
      <c r="G29" s="130" t="s">
        <v>254</v>
      </c>
      <c r="H29" s="130" t="s">
        <v>90</v>
      </c>
      <c r="I29" s="130"/>
      <c r="J29" s="130"/>
      <c r="K29" s="130"/>
      <c r="L29" s="130"/>
      <c r="M29" s="130"/>
      <c r="N29" s="130"/>
      <c r="O29" s="130"/>
      <c r="P29" s="130"/>
      <c r="Q29" s="130"/>
      <c r="R29" s="130"/>
      <c r="S29" s="130"/>
      <c r="T29" s="130"/>
      <c r="U29" s="130"/>
      <c r="V29" s="130"/>
      <c r="W29" s="130" t="s">
        <v>90</v>
      </c>
    </row>
    <row r="30" spans="1:23">
      <c r="A30" s="130">
        <v>45861</v>
      </c>
      <c r="B30" s="130" t="s">
        <v>281</v>
      </c>
      <c r="C30" s="130" t="s">
        <v>153</v>
      </c>
      <c r="D30" s="130" t="s">
        <v>30</v>
      </c>
      <c r="E30" s="130" t="s">
        <v>30</v>
      </c>
      <c r="F30" s="130" t="s">
        <v>282</v>
      </c>
      <c r="G30" s="130" t="s">
        <v>277</v>
      </c>
      <c r="H30" s="130" t="s">
        <v>27</v>
      </c>
      <c r="I30" s="130"/>
      <c r="J30" s="130"/>
      <c r="K30" s="130"/>
      <c r="L30" s="130"/>
      <c r="M30" s="130"/>
      <c r="N30" s="130"/>
      <c r="O30" s="130"/>
      <c r="P30" s="130"/>
      <c r="Q30" s="130"/>
      <c r="R30" s="130"/>
      <c r="S30" s="130"/>
      <c r="T30" s="130"/>
      <c r="U30" s="130"/>
      <c r="V30" s="130"/>
      <c r="W30" s="130" t="s">
        <v>27</v>
      </c>
    </row>
    <row r="31" spans="1:23">
      <c r="A31" s="130">
        <v>45883</v>
      </c>
      <c r="B31" s="130" t="s">
        <v>290</v>
      </c>
      <c r="C31" s="130" t="s">
        <v>291</v>
      </c>
      <c r="D31" s="130" t="s">
        <v>63</v>
      </c>
      <c r="E31" s="130">
        <v>85023</v>
      </c>
      <c r="F31" s="130" t="s">
        <v>31</v>
      </c>
      <c r="G31" s="130" t="s">
        <v>286</v>
      </c>
      <c r="H31" s="130" t="s">
        <v>27</v>
      </c>
      <c r="I31" s="130"/>
      <c r="J31" s="130"/>
      <c r="K31" s="130"/>
      <c r="L31" s="130"/>
      <c r="M31" s="130"/>
      <c r="N31" s="130"/>
      <c r="O31" s="130"/>
      <c r="P31" s="130"/>
      <c r="Q31" s="130"/>
      <c r="R31" s="130"/>
      <c r="S31" s="130"/>
      <c r="T31" s="130"/>
      <c r="U31" s="130"/>
      <c r="V31" s="130"/>
      <c r="W31" s="130" t="s">
        <v>27</v>
      </c>
    </row>
    <row r="32" spans="1:23">
      <c r="A32" s="130">
        <v>45895</v>
      </c>
      <c r="B32" s="130" t="s">
        <v>292</v>
      </c>
      <c r="C32" s="130" t="s">
        <v>135</v>
      </c>
      <c r="D32" s="130" t="s">
        <v>293</v>
      </c>
      <c r="E32" s="130">
        <v>85139</v>
      </c>
      <c r="F32" s="130" t="s">
        <v>294</v>
      </c>
      <c r="G32" s="130" t="s">
        <v>295</v>
      </c>
      <c r="H32" s="130" t="s">
        <v>27</v>
      </c>
      <c r="I32" s="130"/>
      <c r="J32" s="130"/>
      <c r="K32" s="130"/>
      <c r="L32" s="130"/>
      <c r="M32" s="130"/>
      <c r="N32" s="130"/>
      <c r="O32" s="130"/>
      <c r="P32" s="130"/>
      <c r="Q32" s="130"/>
      <c r="R32" s="130"/>
      <c r="S32" s="130"/>
      <c r="T32" s="130"/>
      <c r="U32" s="130"/>
      <c r="V32" s="130"/>
      <c r="W32" s="130" t="s">
        <v>27</v>
      </c>
    </row>
    <row r="33" spans="1:23">
      <c r="A33" s="130">
        <v>45902</v>
      </c>
      <c r="B33" s="130" t="s">
        <v>304</v>
      </c>
      <c r="C33" s="130" t="s">
        <v>225</v>
      </c>
      <c r="D33" s="130" t="s">
        <v>125</v>
      </c>
      <c r="E33" s="130">
        <v>85254</v>
      </c>
      <c r="F33" s="130" t="s">
        <v>305</v>
      </c>
      <c r="G33" s="130" t="s">
        <v>303</v>
      </c>
      <c r="H33" s="130" t="s">
        <v>27</v>
      </c>
      <c r="I33" s="130"/>
      <c r="J33" s="130"/>
      <c r="K33" s="130"/>
      <c r="L33" s="130"/>
      <c r="M33" s="130"/>
      <c r="N33" s="130"/>
      <c r="O33" s="130"/>
      <c r="P33" s="130"/>
      <c r="Q33" s="130"/>
      <c r="R33" s="130"/>
      <c r="S33" s="130"/>
      <c r="T33" s="130"/>
      <c r="U33" s="130"/>
      <c r="V33" s="130"/>
      <c r="W33" s="130" t="s">
        <v>27</v>
      </c>
    </row>
    <row r="34" spans="1:23">
      <c r="A34" s="130">
        <v>56859</v>
      </c>
      <c r="B34" s="130" t="s">
        <v>306</v>
      </c>
      <c r="C34" s="130" t="s">
        <v>307</v>
      </c>
      <c r="D34" s="130" t="s">
        <v>202</v>
      </c>
      <c r="E34" s="130">
        <v>85382</v>
      </c>
      <c r="F34" s="130" t="s">
        <v>305</v>
      </c>
      <c r="G34" s="130" t="s">
        <v>303</v>
      </c>
      <c r="H34" s="130" t="s">
        <v>27</v>
      </c>
      <c r="I34" s="130"/>
      <c r="J34" s="130"/>
      <c r="K34" s="130"/>
      <c r="L34" s="130"/>
      <c r="M34" s="130"/>
      <c r="N34" s="130"/>
      <c r="O34" s="130"/>
      <c r="P34" s="130"/>
      <c r="Q34" s="130"/>
      <c r="R34" s="130"/>
      <c r="S34" s="130"/>
      <c r="T34" s="130"/>
      <c r="U34" s="130"/>
      <c r="V34" s="130"/>
      <c r="W34" s="130" t="s">
        <v>27</v>
      </c>
    </row>
    <row r="35" spans="1:23">
      <c r="A35" s="130">
        <v>45902</v>
      </c>
      <c r="B35" s="130" t="s">
        <v>308</v>
      </c>
      <c r="C35" s="130" t="s">
        <v>309</v>
      </c>
      <c r="D35" s="130" t="s">
        <v>112</v>
      </c>
      <c r="E35" s="130">
        <v>85387</v>
      </c>
      <c r="F35" s="130" t="s">
        <v>310</v>
      </c>
      <c r="G35" s="130" t="s">
        <v>303</v>
      </c>
      <c r="H35" s="130" t="s">
        <v>27</v>
      </c>
      <c r="I35" s="130"/>
      <c r="J35" s="130"/>
      <c r="K35" s="130"/>
      <c r="L35" s="130"/>
      <c r="M35" s="130"/>
      <c r="N35" s="130"/>
      <c r="O35" s="130"/>
      <c r="P35" s="130"/>
      <c r="Q35" s="130"/>
      <c r="R35" s="130"/>
      <c r="S35" s="130"/>
      <c r="T35" s="130"/>
      <c r="U35" s="130"/>
      <c r="V35" s="130"/>
      <c r="W35" s="130" t="s">
        <v>27</v>
      </c>
    </row>
    <row r="36" spans="1:23">
      <c r="A36" s="130">
        <v>45902</v>
      </c>
      <c r="B36" s="130" t="s">
        <v>314</v>
      </c>
      <c r="C36" s="130" t="s">
        <v>315</v>
      </c>
      <c r="D36" s="130" t="s">
        <v>174</v>
      </c>
      <c r="E36" s="130">
        <v>85326</v>
      </c>
      <c r="F36" s="130" t="s">
        <v>31</v>
      </c>
      <c r="G36" s="130" t="s">
        <v>303</v>
      </c>
      <c r="H36" s="130" t="s">
        <v>27</v>
      </c>
      <c r="I36" s="130"/>
      <c r="J36" s="130"/>
      <c r="K36" s="130"/>
      <c r="L36" s="130"/>
      <c r="M36" s="130"/>
      <c r="N36" s="130"/>
      <c r="O36" s="130"/>
      <c r="P36" s="130"/>
      <c r="Q36" s="130"/>
      <c r="R36" s="130"/>
      <c r="S36" s="130"/>
      <c r="T36" s="130"/>
      <c r="U36" s="130"/>
      <c r="V36" s="130"/>
      <c r="W36" s="130" t="s">
        <v>27</v>
      </c>
    </row>
    <row r="37" spans="1:23">
      <c r="A37" s="130">
        <v>45902</v>
      </c>
      <c r="B37" s="130" t="s">
        <v>381</v>
      </c>
      <c r="C37" s="130" t="s">
        <v>382</v>
      </c>
      <c r="D37" s="130" t="s">
        <v>202</v>
      </c>
      <c r="E37" s="130">
        <v>85345</v>
      </c>
      <c r="F37" s="130" t="s">
        <v>31</v>
      </c>
      <c r="G37" s="130" t="s">
        <v>303</v>
      </c>
      <c r="H37" s="130" t="s">
        <v>27</v>
      </c>
      <c r="I37" s="130"/>
      <c r="J37" s="130"/>
      <c r="K37" s="130"/>
      <c r="L37" s="130"/>
      <c r="M37" s="130"/>
      <c r="N37" s="130"/>
      <c r="O37" s="130"/>
      <c r="P37" s="130"/>
      <c r="Q37" s="130"/>
      <c r="R37" s="130"/>
      <c r="S37" s="130"/>
      <c r="T37" s="130"/>
      <c r="U37" s="130"/>
      <c r="V37" s="130"/>
      <c r="W37" s="130" t="s">
        <v>27</v>
      </c>
    </row>
    <row r="38" spans="1:23">
      <c r="A38" s="130">
        <v>45902</v>
      </c>
      <c r="B38" s="130" t="s">
        <v>419</v>
      </c>
      <c r="C38" s="130" t="s">
        <v>420</v>
      </c>
      <c r="D38" s="130" t="s">
        <v>174</v>
      </c>
      <c r="E38" s="130">
        <v>85326</v>
      </c>
      <c r="F38" s="130" t="s">
        <v>31</v>
      </c>
      <c r="G38" s="130" t="s">
        <v>303</v>
      </c>
      <c r="H38" s="130" t="s">
        <v>27</v>
      </c>
      <c r="I38" s="130"/>
      <c r="J38" s="130"/>
      <c r="K38" s="130"/>
      <c r="L38" s="130"/>
      <c r="M38" s="130"/>
      <c r="N38" s="130"/>
      <c r="O38" s="130"/>
      <c r="P38" s="130"/>
      <c r="Q38" s="130"/>
      <c r="R38" s="130"/>
      <c r="S38" s="130"/>
      <c r="T38" s="130"/>
      <c r="U38" s="130"/>
      <c r="V38" s="130"/>
      <c r="W38" s="130" t="s">
        <v>27</v>
      </c>
    </row>
    <row r="39" spans="1:23">
      <c r="A39" s="130">
        <v>45902</v>
      </c>
      <c r="B39" s="130" t="s">
        <v>424</v>
      </c>
      <c r="C39" s="130" t="s">
        <v>425</v>
      </c>
      <c r="D39" s="130" t="s">
        <v>240</v>
      </c>
      <c r="E39" s="130">
        <v>85340</v>
      </c>
      <c r="F39" s="130" t="s">
        <v>310</v>
      </c>
      <c r="G39" s="130" t="s">
        <v>303</v>
      </c>
      <c r="H39" s="130" t="s">
        <v>27</v>
      </c>
      <c r="I39" s="130"/>
      <c r="J39" s="130"/>
      <c r="K39" s="130"/>
      <c r="L39" s="130"/>
      <c r="M39" s="130"/>
      <c r="N39" s="130"/>
      <c r="O39" s="130"/>
      <c r="P39" s="130"/>
      <c r="Q39" s="130"/>
      <c r="R39" s="130"/>
      <c r="S39" s="130"/>
      <c r="T39" s="130"/>
      <c r="U39" s="130"/>
      <c r="V39" s="130"/>
      <c r="W39" s="130" t="s">
        <v>27</v>
      </c>
    </row>
    <row r="40" spans="1:23">
      <c r="A40" s="130">
        <v>45902</v>
      </c>
      <c r="B40" s="130" t="s">
        <v>426</v>
      </c>
      <c r="C40" s="130" t="s">
        <v>427</v>
      </c>
      <c r="D40" s="130" t="s">
        <v>428</v>
      </c>
      <c r="E40" s="130">
        <v>85335</v>
      </c>
      <c r="F40" s="130" t="s">
        <v>31</v>
      </c>
      <c r="G40" s="130" t="s">
        <v>303</v>
      </c>
      <c r="H40" s="130" t="s">
        <v>27</v>
      </c>
      <c r="I40" s="130"/>
      <c r="J40" s="130"/>
      <c r="K40" s="130"/>
      <c r="L40" s="130"/>
      <c r="M40" s="130"/>
      <c r="N40" s="130"/>
      <c r="O40" s="130"/>
      <c r="P40" s="130"/>
      <c r="Q40" s="130"/>
      <c r="R40" s="130"/>
      <c r="S40" s="130"/>
      <c r="T40" s="130"/>
      <c r="U40" s="130"/>
      <c r="V40" s="130"/>
      <c r="W40" s="130" t="s">
        <v>27</v>
      </c>
    </row>
    <row r="41" spans="1:23">
      <c r="A41" s="130">
        <v>45902</v>
      </c>
      <c r="B41" s="130" t="s">
        <v>447</v>
      </c>
      <c r="C41" s="130" t="s">
        <v>328</v>
      </c>
      <c r="D41" s="130" t="s">
        <v>448</v>
      </c>
      <c r="E41" s="130">
        <v>85361</v>
      </c>
      <c r="F41" s="130" t="s">
        <v>310</v>
      </c>
      <c r="G41" s="130" t="s">
        <v>303</v>
      </c>
      <c r="H41" s="130" t="s">
        <v>27</v>
      </c>
      <c r="I41" s="130"/>
      <c r="J41" s="130"/>
      <c r="K41" s="130"/>
      <c r="L41" s="130"/>
      <c r="M41" s="130"/>
      <c r="N41" s="130"/>
      <c r="O41" s="130"/>
      <c r="P41" s="130"/>
      <c r="Q41" s="130"/>
      <c r="R41" s="130"/>
      <c r="S41" s="130"/>
      <c r="T41" s="130"/>
      <c r="U41" s="130"/>
      <c r="V41" s="130"/>
      <c r="W41" s="130" t="s">
        <v>27</v>
      </c>
    </row>
    <row r="42" spans="1:23">
      <c r="A42" s="130">
        <v>45902</v>
      </c>
      <c r="B42" s="130" t="s">
        <v>451</v>
      </c>
      <c r="C42" s="130" t="s">
        <v>452</v>
      </c>
      <c r="D42" s="130" t="s">
        <v>202</v>
      </c>
      <c r="E42" s="130">
        <v>85345</v>
      </c>
      <c r="F42" s="130" t="s">
        <v>310</v>
      </c>
      <c r="G42" s="130" t="s">
        <v>303</v>
      </c>
      <c r="H42" s="130" t="s">
        <v>27</v>
      </c>
      <c r="I42" s="130"/>
      <c r="J42" s="130"/>
      <c r="K42" s="130"/>
      <c r="L42" s="130"/>
      <c r="M42" s="130"/>
      <c r="N42" s="130"/>
      <c r="O42" s="130"/>
      <c r="P42" s="130"/>
      <c r="Q42" s="130"/>
      <c r="R42" s="130"/>
      <c r="S42" s="130"/>
      <c r="T42" s="130"/>
      <c r="U42" s="130"/>
      <c r="V42" s="130"/>
      <c r="W42" s="130" t="s">
        <v>27</v>
      </c>
    </row>
    <row r="43" spans="1:23">
      <c r="A43" s="130">
        <v>45902</v>
      </c>
      <c r="B43" s="130" t="s">
        <v>426</v>
      </c>
      <c r="C43" s="130" t="s">
        <v>466</v>
      </c>
      <c r="D43" s="130" t="s">
        <v>428</v>
      </c>
      <c r="E43" s="130">
        <v>85335</v>
      </c>
      <c r="F43" s="130" t="s">
        <v>310</v>
      </c>
      <c r="G43" s="130" t="s">
        <v>303</v>
      </c>
      <c r="H43" s="130" t="s">
        <v>27</v>
      </c>
      <c r="I43" s="130"/>
      <c r="J43" s="130"/>
      <c r="K43" s="130"/>
      <c r="L43" s="130"/>
      <c r="M43" s="130"/>
      <c r="N43" s="130"/>
      <c r="O43" s="130"/>
      <c r="P43" s="130"/>
      <c r="Q43" s="130"/>
      <c r="R43" s="130"/>
      <c r="S43" s="130"/>
      <c r="T43" s="130"/>
      <c r="U43" s="130"/>
      <c r="V43" s="130"/>
      <c r="W43" s="130" t="s">
        <v>27</v>
      </c>
    </row>
    <row r="44" spans="1:23">
      <c r="A44" s="130">
        <v>45902</v>
      </c>
      <c r="B44" s="130" t="s">
        <v>473</v>
      </c>
      <c r="C44" s="130" t="s">
        <v>474</v>
      </c>
      <c r="D44" s="130" t="s">
        <v>169</v>
      </c>
      <c r="E44" s="130">
        <v>85395</v>
      </c>
      <c r="F44" s="130" t="s">
        <v>310</v>
      </c>
      <c r="G44" s="130" t="s">
        <v>303</v>
      </c>
      <c r="H44" s="130" t="s">
        <v>27</v>
      </c>
      <c r="I44" s="130"/>
      <c r="J44" s="130"/>
      <c r="K44" s="130"/>
      <c r="L44" s="130"/>
      <c r="M44" s="130"/>
      <c r="N44" s="130"/>
      <c r="O44" s="130"/>
      <c r="P44" s="130"/>
      <c r="Q44" s="130"/>
      <c r="R44" s="130"/>
      <c r="S44" s="130"/>
      <c r="T44" s="130"/>
      <c r="U44" s="130"/>
      <c r="V44" s="130"/>
      <c r="W44" s="130" t="s">
        <v>27</v>
      </c>
    </row>
    <row r="45" spans="1:23">
      <c r="A45" s="130">
        <v>45902</v>
      </c>
      <c r="B45" s="130" t="s">
        <v>478</v>
      </c>
      <c r="C45" s="130" t="s">
        <v>479</v>
      </c>
      <c r="D45" s="130" t="s">
        <v>63</v>
      </c>
      <c r="E45" s="130">
        <v>85028</v>
      </c>
      <c r="F45" s="130" t="s">
        <v>310</v>
      </c>
      <c r="G45" s="130" t="s">
        <v>303</v>
      </c>
      <c r="H45" s="130" t="s">
        <v>27</v>
      </c>
      <c r="I45" s="130"/>
      <c r="J45" s="130"/>
      <c r="K45" s="130"/>
      <c r="L45" s="130"/>
      <c r="M45" s="130"/>
      <c r="N45" s="130"/>
      <c r="O45" s="130"/>
      <c r="P45" s="130"/>
      <c r="Q45" s="130"/>
      <c r="R45" s="130"/>
      <c r="S45" s="130"/>
      <c r="T45" s="130"/>
      <c r="U45" s="130"/>
      <c r="V45" s="130"/>
      <c r="W45" s="130" t="s">
        <v>27</v>
      </c>
    </row>
    <row r="46" spans="1:23">
      <c r="A46" s="130">
        <v>45902</v>
      </c>
      <c r="B46" s="130" t="s">
        <v>485</v>
      </c>
      <c r="C46" s="130" t="s">
        <v>486</v>
      </c>
      <c r="D46" s="130" t="s">
        <v>63</v>
      </c>
      <c r="E46" s="130">
        <v>85013</v>
      </c>
      <c r="F46" s="130" t="s">
        <v>310</v>
      </c>
      <c r="G46" s="130" t="s">
        <v>303</v>
      </c>
      <c r="H46" s="130" t="s">
        <v>27</v>
      </c>
      <c r="I46" s="130"/>
      <c r="J46" s="130"/>
      <c r="K46" s="130"/>
      <c r="L46" s="130"/>
      <c r="M46" s="130"/>
      <c r="N46" s="130"/>
      <c r="O46" s="130"/>
      <c r="P46" s="130"/>
      <c r="Q46" s="130"/>
      <c r="R46" s="130"/>
      <c r="S46" s="130"/>
      <c r="T46" s="130"/>
      <c r="U46" s="130"/>
      <c r="V46" s="130"/>
      <c r="W46" s="130" t="s">
        <v>27</v>
      </c>
    </row>
    <row r="47" spans="1:23">
      <c r="A47" s="130">
        <v>45902</v>
      </c>
      <c r="B47" s="130" t="s">
        <v>496</v>
      </c>
      <c r="C47" s="130" t="s">
        <v>497</v>
      </c>
      <c r="D47" s="130" t="s">
        <v>63</v>
      </c>
      <c r="E47" s="130">
        <v>85028</v>
      </c>
      <c r="F47" s="130" t="s">
        <v>310</v>
      </c>
      <c r="G47" s="130" t="s">
        <v>303</v>
      </c>
      <c r="H47" s="130" t="s">
        <v>27</v>
      </c>
      <c r="I47" s="130"/>
      <c r="J47" s="130"/>
      <c r="K47" s="130"/>
      <c r="L47" s="130"/>
      <c r="M47" s="130"/>
      <c r="N47" s="130"/>
      <c r="O47" s="130"/>
      <c r="P47" s="130"/>
      <c r="Q47" s="130"/>
      <c r="R47" s="130"/>
      <c r="S47" s="130"/>
      <c r="T47" s="130"/>
      <c r="U47" s="130"/>
      <c r="V47" s="130"/>
      <c r="W47" s="130" t="s">
        <v>27</v>
      </c>
    </row>
    <row r="48" spans="1:23">
      <c r="A48" s="130">
        <v>45902</v>
      </c>
      <c r="B48" s="130" t="s">
        <v>498</v>
      </c>
      <c r="C48" s="130" t="s">
        <v>443</v>
      </c>
      <c r="D48" s="130" t="s">
        <v>63</v>
      </c>
      <c r="E48" s="130">
        <v>85023</v>
      </c>
      <c r="F48" s="130" t="s">
        <v>310</v>
      </c>
      <c r="G48" s="130" t="s">
        <v>303</v>
      </c>
      <c r="H48" s="130" t="s">
        <v>27</v>
      </c>
      <c r="I48" s="130"/>
      <c r="J48" s="130"/>
      <c r="K48" s="130"/>
      <c r="L48" s="130"/>
      <c r="M48" s="130"/>
      <c r="N48" s="130"/>
      <c r="O48" s="130"/>
      <c r="P48" s="130"/>
      <c r="Q48" s="130"/>
      <c r="R48" s="130"/>
      <c r="S48" s="130"/>
      <c r="T48" s="130"/>
      <c r="U48" s="130"/>
      <c r="V48" s="130"/>
      <c r="W48" s="130" t="s">
        <v>27</v>
      </c>
    </row>
    <row r="49" spans="1:23">
      <c r="A49" s="130">
        <v>45903</v>
      </c>
      <c r="B49" s="130" t="s">
        <v>527</v>
      </c>
      <c r="C49" s="130" t="s">
        <v>471</v>
      </c>
      <c r="D49" s="130" t="s">
        <v>169</v>
      </c>
      <c r="E49" s="130">
        <v>85338</v>
      </c>
      <c r="F49" s="130" t="s">
        <v>31</v>
      </c>
      <c r="G49" s="130" t="s">
        <v>506</v>
      </c>
      <c r="H49" s="130" t="s">
        <v>27</v>
      </c>
      <c r="I49" s="130"/>
      <c r="J49" s="130"/>
      <c r="K49" s="130"/>
      <c r="L49" s="130"/>
      <c r="M49" s="130"/>
      <c r="N49" s="130"/>
      <c r="O49" s="130"/>
      <c r="P49" s="130"/>
      <c r="Q49" s="130"/>
      <c r="R49" s="130"/>
      <c r="S49" s="130"/>
      <c r="T49" s="130"/>
      <c r="U49" s="130"/>
      <c r="V49" s="130"/>
      <c r="W49" s="130" t="s">
        <v>27</v>
      </c>
    </row>
    <row r="50" spans="1:23">
      <c r="A50" s="130">
        <v>45903</v>
      </c>
      <c r="B50" s="130" t="s">
        <v>547</v>
      </c>
      <c r="C50" s="130" t="s">
        <v>548</v>
      </c>
      <c r="D50" s="130" t="s">
        <v>63</v>
      </c>
      <c r="E50" s="130">
        <v>85085</v>
      </c>
      <c r="F50" s="130" t="s">
        <v>31</v>
      </c>
      <c r="G50" s="130" t="s">
        <v>506</v>
      </c>
      <c r="H50" s="130" t="s">
        <v>27</v>
      </c>
      <c r="I50" s="130"/>
      <c r="J50" s="130"/>
      <c r="K50" s="130"/>
      <c r="L50" s="130"/>
      <c r="M50" s="130"/>
      <c r="N50" s="130"/>
      <c r="O50" s="130"/>
      <c r="P50" s="130"/>
      <c r="Q50" s="130"/>
      <c r="R50" s="130"/>
      <c r="S50" s="130"/>
      <c r="T50" s="130"/>
      <c r="U50" s="130"/>
      <c r="V50" s="130"/>
      <c r="W50" s="130" t="s">
        <v>27</v>
      </c>
    </row>
    <row r="51" spans="1:23">
      <c r="A51" s="130">
        <v>45903</v>
      </c>
      <c r="B51" s="130" t="s">
        <v>555</v>
      </c>
      <c r="C51" s="130" t="s">
        <v>556</v>
      </c>
      <c r="D51" s="130" t="s">
        <v>125</v>
      </c>
      <c r="E51" s="130">
        <v>85255</v>
      </c>
      <c r="F51" s="130" t="s">
        <v>31</v>
      </c>
      <c r="G51" s="130" t="s">
        <v>506</v>
      </c>
      <c r="H51" s="130" t="s">
        <v>27</v>
      </c>
      <c r="I51" s="130"/>
      <c r="J51" s="130"/>
      <c r="K51" s="130"/>
      <c r="L51" s="130"/>
      <c r="M51" s="130"/>
      <c r="N51" s="130"/>
      <c r="O51" s="130"/>
      <c r="P51" s="130"/>
      <c r="Q51" s="130"/>
      <c r="R51" s="130"/>
      <c r="S51" s="130"/>
      <c r="T51" s="130"/>
      <c r="U51" s="130"/>
      <c r="V51" s="130"/>
      <c r="W51" s="130" t="s">
        <v>27</v>
      </c>
    </row>
    <row r="52" spans="1:23">
      <c r="A52" s="130">
        <v>45903</v>
      </c>
      <c r="B52" s="130" t="s">
        <v>567</v>
      </c>
      <c r="C52" s="130" t="s">
        <v>568</v>
      </c>
      <c r="D52" s="130" t="s">
        <v>63</v>
      </c>
      <c r="E52" s="130">
        <v>85004</v>
      </c>
      <c r="F52" s="130" t="s">
        <v>310</v>
      </c>
      <c r="G52" s="130" t="s">
        <v>506</v>
      </c>
      <c r="H52" s="130" t="s">
        <v>27</v>
      </c>
      <c r="I52" s="130"/>
      <c r="J52" s="130"/>
      <c r="K52" s="130"/>
      <c r="L52" s="130"/>
      <c r="M52" s="130"/>
      <c r="N52" s="130"/>
      <c r="O52" s="130"/>
      <c r="P52" s="130"/>
      <c r="Q52" s="130"/>
      <c r="R52" s="130"/>
      <c r="S52" s="130"/>
      <c r="T52" s="130"/>
      <c r="U52" s="130"/>
      <c r="V52" s="130"/>
      <c r="W52" s="130" t="s">
        <v>27</v>
      </c>
    </row>
    <row r="53" spans="1:23">
      <c r="A53" s="130">
        <v>45903</v>
      </c>
      <c r="B53" s="130" t="s">
        <v>584</v>
      </c>
      <c r="C53" s="130" t="s">
        <v>585</v>
      </c>
      <c r="D53" s="130" t="s">
        <v>63</v>
      </c>
      <c r="E53" s="130">
        <v>85016</v>
      </c>
      <c r="F53" s="130" t="s">
        <v>310</v>
      </c>
      <c r="G53" s="130" t="s">
        <v>506</v>
      </c>
      <c r="H53" s="130" t="s">
        <v>27</v>
      </c>
      <c r="I53" s="130"/>
      <c r="J53" s="130"/>
      <c r="K53" s="130"/>
      <c r="L53" s="130"/>
      <c r="M53" s="130"/>
      <c r="N53" s="130"/>
      <c r="O53" s="130"/>
      <c r="P53" s="130"/>
      <c r="Q53" s="130"/>
      <c r="R53" s="130"/>
      <c r="S53" s="130"/>
      <c r="T53" s="130"/>
      <c r="U53" s="130"/>
      <c r="V53" s="130"/>
      <c r="W53" s="130" t="s">
        <v>27</v>
      </c>
    </row>
    <row r="54" spans="1:23">
      <c r="A54" s="130">
        <v>45903</v>
      </c>
      <c r="B54" s="130" t="s">
        <v>623</v>
      </c>
      <c r="C54" s="130" t="s">
        <v>624</v>
      </c>
      <c r="D54" s="130" t="s">
        <v>63</v>
      </c>
      <c r="E54" s="130">
        <v>85013</v>
      </c>
      <c r="F54" s="130" t="s">
        <v>310</v>
      </c>
      <c r="G54" s="130" t="s">
        <v>506</v>
      </c>
      <c r="H54" s="130" t="s">
        <v>27</v>
      </c>
      <c r="I54" s="130"/>
      <c r="J54" s="130"/>
      <c r="K54" s="130"/>
      <c r="L54" s="130"/>
      <c r="M54" s="130"/>
      <c r="N54" s="130"/>
      <c r="O54" s="130"/>
      <c r="P54" s="130"/>
      <c r="Q54" s="130"/>
      <c r="R54" s="130"/>
      <c r="S54" s="130"/>
      <c r="T54" s="130"/>
      <c r="U54" s="130"/>
      <c r="V54" s="130"/>
      <c r="W54" s="130" t="s">
        <v>27</v>
      </c>
    </row>
    <row r="55" spans="1:23">
      <c r="A55" s="130">
        <v>45903</v>
      </c>
      <c r="B55" s="130" t="s">
        <v>633</v>
      </c>
      <c r="C55" s="130" t="s">
        <v>634</v>
      </c>
      <c r="D55" s="130" t="s">
        <v>635</v>
      </c>
      <c r="E55" s="130">
        <v>85281</v>
      </c>
      <c r="F55" s="130" t="s">
        <v>310</v>
      </c>
      <c r="G55" s="130" t="s">
        <v>506</v>
      </c>
      <c r="H55" s="130" t="s">
        <v>27</v>
      </c>
      <c r="I55" s="130"/>
      <c r="J55" s="130"/>
      <c r="K55" s="130"/>
      <c r="L55" s="130"/>
      <c r="M55" s="130"/>
      <c r="N55" s="130"/>
      <c r="O55" s="130"/>
      <c r="P55" s="130"/>
      <c r="Q55" s="130"/>
      <c r="R55" s="130"/>
      <c r="S55" s="130"/>
      <c r="T55" s="130"/>
      <c r="U55" s="130"/>
      <c r="V55" s="130"/>
      <c r="W55" s="130" t="s">
        <v>27</v>
      </c>
    </row>
    <row r="56" spans="1:23">
      <c r="A56" s="130">
        <v>45903</v>
      </c>
      <c r="B56" s="130" t="s">
        <v>657</v>
      </c>
      <c r="C56" s="130" t="s">
        <v>658</v>
      </c>
      <c r="D56" s="130" t="s">
        <v>659</v>
      </c>
      <c r="E56" s="130">
        <v>85350</v>
      </c>
      <c r="F56" s="130" t="s">
        <v>660</v>
      </c>
      <c r="G56" s="130" t="s">
        <v>506</v>
      </c>
      <c r="H56" s="130" t="s">
        <v>27</v>
      </c>
      <c r="I56" s="130"/>
      <c r="J56" s="130"/>
      <c r="K56" s="130"/>
      <c r="L56" s="130"/>
      <c r="M56" s="130"/>
      <c r="N56" s="130"/>
      <c r="O56" s="130"/>
      <c r="P56" s="130"/>
      <c r="Q56" s="130"/>
      <c r="R56" s="130"/>
      <c r="S56" s="130"/>
      <c r="T56" s="130"/>
      <c r="U56" s="130"/>
      <c r="V56" s="130"/>
      <c r="W56" s="130" t="s">
        <v>27</v>
      </c>
    </row>
    <row r="57" spans="1:23">
      <c r="A57" s="130">
        <v>45903</v>
      </c>
      <c r="B57" s="130" t="s">
        <v>661</v>
      </c>
      <c r="C57" s="130" t="s">
        <v>662</v>
      </c>
      <c r="D57" s="130" t="s">
        <v>24</v>
      </c>
      <c r="E57" s="130">
        <v>85308</v>
      </c>
      <c r="F57" s="130" t="s">
        <v>310</v>
      </c>
      <c r="G57" s="130" t="s">
        <v>506</v>
      </c>
      <c r="H57" s="130" t="s">
        <v>27</v>
      </c>
      <c r="I57" s="130"/>
      <c r="J57" s="130"/>
      <c r="K57" s="130"/>
      <c r="L57" s="130"/>
      <c r="M57" s="130"/>
      <c r="N57" s="130"/>
      <c r="O57" s="130"/>
      <c r="P57" s="130"/>
      <c r="Q57" s="130"/>
      <c r="R57" s="130"/>
      <c r="S57" s="130"/>
      <c r="T57" s="130"/>
      <c r="U57" s="130"/>
      <c r="V57" s="130"/>
      <c r="W57" s="130" t="s">
        <v>27</v>
      </c>
    </row>
    <row r="58" spans="1:23">
      <c r="A58" s="130">
        <v>45903</v>
      </c>
      <c r="B58" s="130" t="s">
        <v>663</v>
      </c>
      <c r="C58" s="130" t="s">
        <v>312</v>
      </c>
      <c r="D58" s="130" t="s">
        <v>169</v>
      </c>
      <c r="E58" s="130">
        <v>85338</v>
      </c>
      <c r="F58" s="130" t="s">
        <v>664</v>
      </c>
      <c r="G58" s="130" t="s">
        <v>506</v>
      </c>
      <c r="H58" s="130" t="s">
        <v>27</v>
      </c>
      <c r="I58" s="130"/>
      <c r="J58" s="130"/>
      <c r="K58" s="130"/>
      <c r="L58" s="130"/>
      <c r="M58" s="130"/>
      <c r="N58" s="130"/>
      <c r="O58" s="130"/>
      <c r="P58" s="130"/>
      <c r="Q58" s="130"/>
      <c r="R58" s="130"/>
      <c r="S58" s="130"/>
      <c r="T58" s="130"/>
      <c r="U58" s="130"/>
      <c r="V58" s="130"/>
      <c r="W58" s="130" t="s">
        <v>27</v>
      </c>
    </row>
    <row r="59" spans="1:23">
      <c r="A59" s="130">
        <v>45903</v>
      </c>
      <c r="B59" s="130" t="s">
        <v>682</v>
      </c>
      <c r="C59" s="130" t="s">
        <v>683</v>
      </c>
      <c r="D59" s="130" t="s">
        <v>63</v>
      </c>
      <c r="E59" s="130">
        <v>85085</v>
      </c>
      <c r="F59" s="130" t="s">
        <v>684</v>
      </c>
      <c r="G59" s="130" t="s">
        <v>506</v>
      </c>
      <c r="H59" s="130" t="s">
        <v>27</v>
      </c>
      <c r="I59" s="130"/>
      <c r="J59" s="130"/>
      <c r="K59" s="130"/>
      <c r="L59" s="130"/>
      <c r="M59" s="130"/>
      <c r="N59" s="130"/>
      <c r="O59" s="130"/>
      <c r="P59" s="130"/>
      <c r="Q59" s="130"/>
      <c r="R59" s="130"/>
      <c r="S59" s="130"/>
      <c r="T59" s="130"/>
      <c r="U59" s="130"/>
      <c r="V59" s="130"/>
      <c r="W59" s="130" t="s">
        <v>27</v>
      </c>
    </row>
    <row r="60" spans="1:23">
      <c r="A60" s="130">
        <v>45903</v>
      </c>
      <c r="B60" s="130" t="s">
        <v>685</v>
      </c>
      <c r="C60" s="130" t="s">
        <v>420</v>
      </c>
      <c r="D60" s="130" t="s">
        <v>63</v>
      </c>
      <c r="E60" s="130">
        <v>85326</v>
      </c>
      <c r="F60" s="130" t="s">
        <v>310</v>
      </c>
      <c r="G60" s="130" t="s">
        <v>506</v>
      </c>
      <c r="H60" s="130" t="s">
        <v>27</v>
      </c>
      <c r="I60" s="130"/>
      <c r="J60" s="130"/>
      <c r="K60" s="130"/>
      <c r="L60" s="130"/>
      <c r="M60" s="130"/>
      <c r="N60" s="130"/>
      <c r="O60" s="130"/>
      <c r="P60" s="130"/>
      <c r="Q60" s="130"/>
      <c r="R60" s="130"/>
      <c r="S60" s="130"/>
      <c r="T60" s="130"/>
      <c r="U60" s="130"/>
      <c r="V60" s="130"/>
      <c r="W60" s="130" t="s">
        <v>27</v>
      </c>
    </row>
    <row r="61" spans="1:23">
      <c r="A61" s="130">
        <v>45903</v>
      </c>
      <c r="B61" s="130" t="s">
        <v>686</v>
      </c>
      <c r="C61" s="130" t="s">
        <v>687</v>
      </c>
      <c r="D61" s="130" t="s">
        <v>68</v>
      </c>
      <c r="E61" s="130">
        <v>85331</v>
      </c>
      <c r="F61" s="130" t="s">
        <v>310</v>
      </c>
      <c r="G61" s="130" t="s">
        <v>506</v>
      </c>
      <c r="H61" s="130" t="s">
        <v>27</v>
      </c>
      <c r="I61" s="130"/>
      <c r="J61" s="130"/>
      <c r="K61" s="130"/>
      <c r="L61" s="130"/>
      <c r="M61" s="130"/>
      <c r="N61" s="130"/>
      <c r="O61" s="130"/>
      <c r="P61" s="130"/>
      <c r="Q61" s="130"/>
      <c r="R61" s="130"/>
      <c r="S61" s="130"/>
      <c r="T61" s="130"/>
      <c r="U61" s="130"/>
      <c r="V61" s="130"/>
      <c r="W61" s="130" t="s">
        <v>27</v>
      </c>
    </row>
    <row r="62" spans="1:23">
      <c r="A62" s="130">
        <v>45903</v>
      </c>
      <c r="B62" s="130" t="s">
        <v>689</v>
      </c>
      <c r="C62" s="130" t="s">
        <v>690</v>
      </c>
      <c r="D62" s="130" t="s">
        <v>63</v>
      </c>
      <c r="E62" s="130">
        <v>85040</v>
      </c>
      <c r="F62" s="130" t="s">
        <v>691</v>
      </c>
      <c r="G62" s="130" t="s">
        <v>506</v>
      </c>
      <c r="H62" s="130" t="s">
        <v>27</v>
      </c>
      <c r="I62" s="130"/>
      <c r="J62" s="130"/>
      <c r="K62" s="130"/>
      <c r="L62" s="130"/>
      <c r="M62" s="130"/>
      <c r="N62" s="130"/>
      <c r="O62" s="130"/>
      <c r="P62" s="130"/>
      <c r="Q62" s="130"/>
      <c r="R62" s="130"/>
      <c r="S62" s="130"/>
      <c r="T62" s="130"/>
      <c r="U62" s="130"/>
      <c r="V62" s="130"/>
      <c r="W62" s="130" t="s">
        <v>27</v>
      </c>
    </row>
    <row r="63" spans="1:23">
      <c r="A63" s="130">
        <v>45903</v>
      </c>
      <c r="B63" s="130" t="s">
        <v>701</v>
      </c>
      <c r="C63" s="130" t="s">
        <v>702</v>
      </c>
      <c r="D63" s="130" t="s">
        <v>169</v>
      </c>
      <c r="E63" s="130">
        <v>85395</v>
      </c>
      <c r="F63" s="130" t="s">
        <v>703</v>
      </c>
      <c r="G63" s="130" t="s">
        <v>506</v>
      </c>
      <c r="H63" s="130" t="s">
        <v>90</v>
      </c>
      <c r="I63" s="130"/>
      <c r="J63" s="130"/>
      <c r="K63" s="130"/>
      <c r="L63" s="130"/>
      <c r="M63" s="130"/>
      <c r="N63" s="130"/>
      <c r="O63" s="130"/>
      <c r="P63" s="130"/>
      <c r="Q63" s="130"/>
      <c r="R63" s="130"/>
      <c r="S63" s="130"/>
      <c r="T63" s="130"/>
      <c r="U63" s="130"/>
      <c r="V63" s="130"/>
      <c r="W63" s="130" t="s">
        <v>90</v>
      </c>
    </row>
    <row r="64" spans="1:23">
      <c r="A64" s="130">
        <v>45903</v>
      </c>
      <c r="B64" s="130" t="s">
        <v>704</v>
      </c>
      <c r="C64" s="130" t="s">
        <v>395</v>
      </c>
      <c r="D64" s="130" t="s">
        <v>63</v>
      </c>
      <c r="E64" s="130">
        <v>85003</v>
      </c>
      <c r="F64" s="130" t="s">
        <v>310</v>
      </c>
      <c r="G64" s="130" t="s">
        <v>506</v>
      </c>
      <c r="H64" s="130" t="s">
        <v>27</v>
      </c>
      <c r="I64" s="130"/>
      <c r="J64" s="130"/>
      <c r="K64" s="130"/>
      <c r="L64" s="130"/>
      <c r="M64" s="130"/>
      <c r="N64" s="130"/>
      <c r="O64" s="130"/>
      <c r="P64" s="130"/>
      <c r="Q64" s="130"/>
      <c r="R64" s="130"/>
      <c r="S64" s="130"/>
      <c r="T64" s="130"/>
      <c r="U64" s="130"/>
      <c r="V64" s="130"/>
      <c r="W64" s="130" t="s">
        <v>27</v>
      </c>
    </row>
    <row r="65" spans="1:23">
      <c r="A65" s="130">
        <v>45903</v>
      </c>
      <c r="B65" s="130" t="s">
        <v>367</v>
      </c>
      <c r="C65" s="130" t="s">
        <v>705</v>
      </c>
      <c r="D65" s="130" t="s">
        <v>240</v>
      </c>
      <c r="E65" s="130">
        <v>85340</v>
      </c>
      <c r="F65" s="130" t="s">
        <v>310</v>
      </c>
      <c r="G65" s="130" t="s">
        <v>506</v>
      </c>
      <c r="H65" s="130" t="s">
        <v>27</v>
      </c>
      <c r="I65" s="130"/>
      <c r="J65" s="130"/>
      <c r="K65" s="130"/>
      <c r="L65" s="130"/>
      <c r="M65" s="130"/>
      <c r="N65" s="130"/>
      <c r="O65" s="130"/>
      <c r="P65" s="130"/>
      <c r="Q65" s="130"/>
      <c r="R65" s="130"/>
      <c r="S65" s="130"/>
      <c r="T65" s="130"/>
      <c r="U65" s="130"/>
      <c r="V65" s="130"/>
      <c r="W65" s="130" t="s">
        <v>27</v>
      </c>
    </row>
    <row r="66" spans="1:23">
      <c r="A66" s="130">
        <v>45903</v>
      </c>
      <c r="B66" s="130" t="s">
        <v>710</v>
      </c>
      <c r="C66" s="130" t="s">
        <v>711</v>
      </c>
      <c r="D66" s="130" t="s">
        <v>174</v>
      </c>
      <c r="E66" s="130">
        <v>85326</v>
      </c>
      <c r="F66" s="130" t="s">
        <v>712</v>
      </c>
      <c r="G66" s="130" t="s">
        <v>506</v>
      </c>
      <c r="H66" s="130" t="s">
        <v>90</v>
      </c>
      <c r="I66" s="130"/>
      <c r="J66" s="130"/>
      <c r="K66" s="130"/>
      <c r="L66" s="130"/>
      <c r="M66" s="130"/>
      <c r="N66" s="130"/>
      <c r="O66" s="130"/>
      <c r="P66" s="130"/>
      <c r="Q66" s="130"/>
      <c r="R66" s="130"/>
      <c r="S66" s="130"/>
      <c r="T66" s="130"/>
      <c r="U66" s="130"/>
      <c r="V66" s="130"/>
      <c r="W66" s="130" t="s">
        <v>90</v>
      </c>
    </row>
    <row r="67" spans="1:23">
      <c r="A67" s="130">
        <v>45903</v>
      </c>
      <c r="B67" s="130" t="s">
        <v>727</v>
      </c>
      <c r="C67" s="130" t="s">
        <v>728</v>
      </c>
      <c r="D67" s="130" t="s">
        <v>63</v>
      </c>
      <c r="E67" s="130">
        <v>85393</v>
      </c>
      <c r="F67" s="130" t="s">
        <v>310</v>
      </c>
      <c r="G67" s="130" t="s">
        <v>506</v>
      </c>
      <c r="H67" s="130" t="s">
        <v>27</v>
      </c>
      <c r="I67" s="130"/>
      <c r="J67" s="130"/>
      <c r="K67" s="130"/>
      <c r="L67" s="130"/>
      <c r="M67" s="130"/>
      <c r="N67" s="130"/>
      <c r="O67" s="130"/>
      <c r="P67" s="130"/>
      <c r="Q67" s="130"/>
      <c r="R67" s="130"/>
      <c r="S67" s="130"/>
      <c r="T67" s="130"/>
      <c r="U67" s="130"/>
      <c r="V67" s="130"/>
      <c r="W67" s="130" t="s">
        <v>27</v>
      </c>
    </row>
    <row r="68" spans="1:23">
      <c r="A68" s="130">
        <v>45903</v>
      </c>
      <c r="B68" s="130" t="s">
        <v>750</v>
      </c>
      <c r="C68" s="130" t="s">
        <v>230</v>
      </c>
      <c r="D68" s="130" t="s">
        <v>169</v>
      </c>
      <c r="E68" s="130">
        <v>85395</v>
      </c>
      <c r="F68" s="130" t="s">
        <v>751</v>
      </c>
      <c r="G68" s="130" t="s">
        <v>506</v>
      </c>
      <c r="H68" s="130" t="s">
        <v>27</v>
      </c>
      <c r="I68" s="130"/>
      <c r="J68" s="130"/>
      <c r="K68" s="130"/>
      <c r="L68" s="130"/>
      <c r="M68" s="130"/>
      <c r="N68" s="130"/>
      <c r="O68" s="130"/>
      <c r="P68" s="130"/>
      <c r="Q68" s="130"/>
      <c r="R68" s="130"/>
      <c r="S68" s="130"/>
      <c r="T68" s="130"/>
      <c r="U68" s="130" t="s">
        <v>724</v>
      </c>
      <c r="V68" s="130"/>
      <c r="W68" s="130" t="s">
        <v>27</v>
      </c>
    </row>
    <row r="69" spans="1:23">
      <c r="A69" s="130">
        <v>45903</v>
      </c>
      <c r="B69" s="130" t="s">
        <v>754</v>
      </c>
      <c r="C69" s="130" t="s">
        <v>755</v>
      </c>
      <c r="D69" s="130" t="s">
        <v>63</v>
      </c>
      <c r="E69" s="130">
        <v>85034</v>
      </c>
      <c r="F69" s="130" t="s">
        <v>31</v>
      </c>
      <c r="G69" s="130" t="s">
        <v>506</v>
      </c>
      <c r="H69" s="130" t="s">
        <v>90</v>
      </c>
      <c r="I69" s="130"/>
      <c r="J69" s="130"/>
      <c r="K69" s="130"/>
      <c r="L69" s="130"/>
      <c r="M69" s="130"/>
      <c r="N69" s="130"/>
      <c r="O69" s="130"/>
      <c r="P69" s="130"/>
      <c r="Q69" s="130"/>
      <c r="R69" s="130"/>
      <c r="S69" s="130"/>
      <c r="T69" s="130"/>
      <c r="U69" s="130"/>
      <c r="V69" s="130"/>
      <c r="W69" s="130" t="s">
        <v>90</v>
      </c>
    </row>
    <row r="70" spans="1:23">
      <c r="A70" s="130">
        <v>45903</v>
      </c>
      <c r="B70" s="130" t="s">
        <v>779</v>
      </c>
      <c r="C70" s="130" t="s">
        <v>780</v>
      </c>
      <c r="D70" s="130" t="s">
        <v>63</v>
      </c>
      <c r="E70" s="130">
        <v>85023</v>
      </c>
      <c r="F70" s="130" t="s">
        <v>31</v>
      </c>
      <c r="G70" s="130" t="s">
        <v>506</v>
      </c>
      <c r="H70" s="130" t="s">
        <v>90</v>
      </c>
      <c r="I70" s="130"/>
      <c r="J70" s="130"/>
      <c r="K70" s="130"/>
      <c r="L70" s="130"/>
      <c r="M70" s="130"/>
      <c r="N70" s="130"/>
      <c r="O70" s="130"/>
      <c r="P70" s="130"/>
      <c r="Q70" s="130"/>
      <c r="R70" s="130"/>
      <c r="S70" s="130"/>
      <c r="T70" s="130"/>
      <c r="U70" s="130"/>
      <c r="V70" s="130"/>
      <c r="W70" s="130" t="s">
        <v>90</v>
      </c>
    </row>
    <row r="71" spans="1:23">
      <c r="A71" s="130">
        <v>45903</v>
      </c>
      <c r="B71" s="130" t="s">
        <v>781</v>
      </c>
      <c r="C71" s="130" t="s">
        <v>782</v>
      </c>
      <c r="D71" s="130" t="s">
        <v>202</v>
      </c>
      <c r="E71" s="130">
        <v>85383</v>
      </c>
      <c r="F71" s="130" t="s">
        <v>31</v>
      </c>
      <c r="G71" s="130" t="s">
        <v>506</v>
      </c>
      <c r="H71" s="130" t="s">
        <v>27</v>
      </c>
      <c r="I71" s="130"/>
      <c r="J71" s="130"/>
      <c r="K71" s="130"/>
      <c r="L71" s="130"/>
      <c r="M71" s="130"/>
      <c r="N71" s="130"/>
      <c r="O71" s="130"/>
      <c r="P71" s="130"/>
      <c r="Q71" s="130"/>
      <c r="R71" s="130"/>
      <c r="S71" s="130"/>
      <c r="T71" s="130"/>
      <c r="U71" s="130"/>
      <c r="V71" s="130"/>
      <c r="W71" s="130" t="s">
        <v>27</v>
      </c>
    </row>
    <row r="72" spans="1:23">
      <c r="A72" s="130">
        <v>45903</v>
      </c>
      <c r="B72" s="130" t="s">
        <v>783</v>
      </c>
      <c r="C72" s="130" t="s">
        <v>784</v>
      </c>
      <c r="D72" s="130" t="s">
        <v>63</v>
      </c>
      <c r="E72" s="130">
        <v>85015</v>
      </c>
      <c r="F72" s="130" t="s">
        <v>785</v>
      </c>
      <c r="G72" s="130" t="s">
        <v>506</v>
      </c>
      <c r="H72" s="130" t="s">
        <v>27</v>
      </c>
      <c r="I72" s="130"/>
      <c r="J72" s="130"/>
      <c r="K72" s="130"/>
      <c r="L72" s="130"/>
      <c r="M72" s="130"/>
      <c r="N72" s="130"/>
      <c r="O72" s="130"/>
      <c r="P72" s="130"/>
      <c r="Q72" s="130"/>
      <c r="R72" s="130"/>
      <c r="S72" s="130"/>
      <c r="T72" s="130"/>
      <c r="U72" s="130" t="s">
        <v>724</v>
      </c>
      <c r="V72" s="130"/>
      <c r="W72" s="130" t="s">
        <v>27</v>
      </c>
    </row>
    <row r="73" spans="1:23">
      <c r="A73" s="130">
        <v>45903</v>
      </c>
      <c r="B73" s="130" t="s">
        <v>789</v>
      </c>
      <c r="C73" s="130" t="s">
        <v>790</v>
      </c>
      <c r="D73" s="130" t="s">
        <v>523</v>
      </c>
      <c r="E73" s="130">
        <v>85392</v>
      </c>
      <c r="F73" s="130" t="s">
        <v>791</v>
      </c>
      <c r="G73" s="130" t="s">
        <v>506</v>
      </c>
      <c r="H73" s="130" t="s">
        <v>27</v>
      </c>
      <c r="I73" s="130"/>
      <c r="J73" s="130"/>
      <c r="K73" s="130"/>
      <c r="L73" s="130"/>
      <c r="M73" s="130"/>
      <c r="N73" s="130"/>
      <c r="O73" s="130"/>
      <c r="P73" s="130"/>
      <c r="Q73" s="130"/>
      <c r="R73" s="130"/>
      <c r="S73" s="130"/>
      <c r="T73" s="130"/>
      <c r="U73" s="130"/>
      <c r="V73" s="130"/>
      <c r="W73" s="130" t="s">
        <v>27</v>
      </c>
    </row>
    <row r="74" spans="1:23">
      <c r="A74" s="130">
        <v>45903</v>
      </c>
      <c r="B74" s="130" t="s">
        <v>795</v>
      </c>
      <c r="C74" s="130" t="s">
        <v>796</v>
      </c>
      <c r="D74" s="130" t="s">
        <v>202</v>
      </c>
      <c r="E74" s="130">
        <v>85383</v>
      </c>
      <c r="F74" s="130" t="s">
        <v>310</v>
      </c>
      <c r="G74" s="130" t="s">
        <v>506</v>
      </c>
      <c r="H74" s="130" t="s">
        <v>27</v>
      </c>
      <c r="I74" s="130"/>
      <c r="J74" s="130"/>
      <c r="K74" s="130"/>
      <c r="L74" s="130"/>
      <c r="M74" s="130"/>
      <c r="N74" s="130"/>
      <c r="O74" s="130"/>
      <c r="P74" s="130"/>
      <c r="Q74" s="130"/>
      <c r="R74" s="130"/>
      <c r="S74" s="130"/>
      <c r="T74" s="130"/>
      <c r="U74" s="130"/>
      <c r="V74" s="130"/>
      <c r="W74" s="130" t="s">
        <v>27</v>
      </c>
    </row>
    <row r="75" spans="1:23">
      <c r="A75" s="130">
        <v>45903</v>
      </c>
      <c r="B75" s="130" t="s">
        <v>807</v>
      </c>
      <c r="C75" s="130" t="s">
        <v>808</v>
      </c>
      <c r="D75" s="130" t="s">
        <v>169</v>
      </c>
      <c r="E75" s="130">
        <v>85338</v>
      </c>
      <c r="F75" s="130" t="s">
        <v>809</v>
      </c>
      <c r="G75" s="130" t="s">
        <v>506</v>
      </c>
      <c r="H75" s="130" t="s">
        <v>27</v>
      </c>
      <c r="I75" s="130"/>
      <c r="J75" s="130"/>
      <c r="K75" s="130"/>
      <c r="L75" s="130"/>
      <c r="M75" s="130"/>
      <c r="N75" s="130"/>
      <c r="O75" s="130"/>
      <c r="P75" s="130"/>
      <c r="Q75" s="130"/>
      <c r="R75" s="130"/>
      <c r="S75" s="130"/>
      <c r="T75" s="130"/>
      <c r="U75" s="130"/>
      <c r="V75" s="130"/>
      <c r="W75" s="130" t="s">
        <v>27</v>
      </c>
    </row>
    <row r="76" spans="1:23">
      <c r="A76" s="130">
        <v>45903</v>
      </c>
      <c r="B76" s="130" t="s">
        <v>830</v>
      </c>
      <c r="C76" s="130" t="s">
        <v>831</v>
      </c>
      <c r="D76" s="130" t="s">
        <v>63</v>
      </c>
      <c r="E76" s="130">
        <v>85016</v>
      </c>
      <c r="F76" s="130" t="s">
        <v>310</v>
      </c>
      <c r="G76" s="130" t="s">
        <v>506</v>
      </c>
      <c r="H76" s="130" t="s">
        <v>27</v>
      </c>
      <c r="I76" s="130"/>
      <c r="J76" s="130"/>
      <c r="K76" s="130"/>
      <c r="L76" s="130"/>
      <c r="M76" s="130"/>
      <c r="N76" s="130"/>
      <c r="O76" s="130"/>
      <c r="P76" s="130"/>
      <c r="Q76" s="130"/>
      <c r="R76" s="130"/>
      <c r="S76" s="130"/>
      <c r="T76" s="130"/>
      <c r="U76" s="130"/>
      <c r="V76" s="130"/>
      <c r="W76" s="130" t="s">
        <v>27</v>
      </c>
    </row>
    <row r="77" spans="1:23">
      <c r="A77" s="130">
        <v>45903</v>
      </c>
      <c r="B77" s="130" t="s">
        <v>849</v>
      </c>
      <c r="C77" s="130" t="s">
        <v>850</v>
      </c>
      <c r="D77" s="130" t="s">
        <v>125</v>
      </c>
      <c r="E77" s="130">
        <v>85251</v>
      </c>
      <c r="F77" s="130" t="s">
        <v>310</v>
      </c>
      <c r="G77" s="130" t="s">
        <v>506</v>
      </c>
      <c r="H77" s="130" t="s">
        <v>27</v>
      </c>
      <c r="I77" s="130"/>
      <c r="J77" s="130"/>
      <c r="K77" s="130"/>
      <c r="L77" s="130"/>
      <c r="M77" s="130"/>
      <c r="N77" s="130"/>
      <c r="O77" s="130"/>
      <c r="P77" s="130"/>
      <c r="Q77" s="130"/>
      <c r="R77" s="130"/>
      <c r="S77" s="130"/>
      <c r="T77" s="130"/>
      <c r="U77" s="130"/>
      <c r="V77" s="130"/>
      <c r="W77" s="130" t="s">
        <v>27</v>
      </c>
    </row>
    <row r="78" spans="1:23">
      <c r="A78" s="130">
        <v>45903</v>
      </c>
      <c r="B78" s="130" t="s">
        <v>467</v>
      </c>
      <c r="C78" s="130" t="s">
        <v>899</v>
      </c>
      <c r="D78" s="130" t="s">
        <v>202</v>
      </c>
      <c r="E78" s="130">
        <v>85382</v>
      </c>
      <c r="F78" s="130" t="s">
        <v>310</v>
      </c>
      <c r="G78" s="130" t="s">
        <v>506</v>
      </c>
      <c r="H78" s="130" t="s">
        <v>27</v>
      </c>
      <c r="I78" s="130"/>
      <c r="J78" s="130"/>
      <c r="K78" s="130"/>
      <c r="L78" s="130"/>
      <c r="M78" s="130"/>
      <c r="N78" s="130"/>
      <c r="O78" s="130"/>
      <c r="P78" s="130"/>
      <c r="Q78" s="130"/>
      <c r="R78" s="130"/>
      <c r="S78" s="130"/>
      <c r="T78" s="130"/>
      <c r="U78" s="130"/>
      <c r="V78" s="130"/>
      <c r="W78" s="130" t="s">
        <v>27</v>
      </c>
    </row>
    <row r="79" spans="1:23">
      <c r="A79" s="130">
        <v>45903</v>
      </c>
      <c r="B79" s="130" t="s">
        <v>907</v>
      </c>
      <c r="C79" s="130" t="s">
        <v>908</v>
      </c>
      <c r="D79" s="130" t="s">
        <v>169</v>
      </c>
      <c r="E79" s="130">
        <v>85338</v>
      </c>
      <c r="F79" s="130" t="s">
        <v>909</v>
      </c>
      <c r="G79" s="130" t="s">
        <v>506</v>
      </c>
      <c r="H79" s="130" t="s">
        <v>27</v>
      </c>
      <c r="I79" s="130"/>
      <c r="J79" s="130"/>
      <c r="K79" s="130"/>
      <c r="L79" s="130"/>
      <c r="M79" s="130"/>
      <c r="N79" s="130"/>
      <c r="O79" s="130"/>
      <c r="P79" s="130"/>
      <c r="Q79" s="130"/>
      <c r="R79" s="130"/>
      <c r="S79" s="130"/>
      <c r="T79" s="130"/>
      <c r="U79" s="130"/>
      <c r="V79" s="130"/>
      <c r="W79" s="130" t="s">
        <v>27</v>
      </c>
    </row>
    <row r="80" spans="1:23">
      <c r="A80" s="130">
        <v>45903</v>
      </c>
      <c r="B80" s="130" t="s">
        <v>967</v>
      </c>
      <c r="C80" s="130" t="s">
        <v>890</v>
      </c>
      <c r="D80" s="130" t="s">
        <v>202</v>
      </c>
      <c r="E80" s="130">
        <v>85383</v>
      </c>
      <c r="F80" s="130" t="s">
        <v>310</v>
      </c>
      <c r="G80" s="130" t="s">
        <v>506</v>
      </c>
      <c r="H80" s="130" t="s">
        <v>27</v>
      </c>
      <c r="I80" s="130"/>
      <c r="J80" s="130"/>
      <c r="K80" s="130"/>
      <c r="L80" s="130"/>
      <c r="M80" s="130"/>
      <c r="N80" s="130"/>
      <c r="O80" s="130"/>
      <c r="P80" s="130"/>
      <c r="Q80" s="130"/>
      <c r="R80" s="130"/>
      <c r="S80" s="130"/>
      <c r="T80" s="130"/>
      <c r="U80" s="130"/>
      <c r="V80" s="130"/>
      <c r="W80" s="130" t="s">
        <v>27</v>
      </c>
    </row>
    <row r="81" spans="1:23">
      <c r="A81" s="130">
        <v>45903</v>
      </c>
      <c r="B81" s="130" t="s">
        <v>160</v>
      </c>
      <c r="C81" s="130" t="s">
        <v>968</v>
      </c>
      <c r="D81" s="130" t="s">
        <v>240</v>
      </c>
      <c r="E81" s="130">
        <v>85340</v>
      </c>
      <c r="F81" s="130" t="s">
        <v>969</v>
      </c>
      <c r="G81" s="130" t="s">
        <v>506</v>
      </c>
      <c r="H81" s="130" t="s">
        <v>27</v>
      </c>
      <c r="I81" s="130"/>
      <c r="J81" s="130"/>
      <c r="K81" s="130"/>
      <c r="L81" s="130"/>
      <c r="M81" s="130"/>
      <c r="N81" s="130"/>
      <c r="O81" s="130"/>
      <c r="P81" s="130"/>
      <c r="Q81" s="130"/>
      <c r="R81" s="130"/>
      <c r="S81" s="130"/>
      <c r="T81" s="130"/>
      <c r="U81" s="130"/>
      <c r="V81" s="130"/>
      <c r="W81" s="130" t="s">
        <v>27</v>
      </c>
    </row>
    <row r="82" spans="1:23">
      <c r="A82" s="130">
        <v>45903</v>
      </c>
      <c r="B82" s="130" t="s">
        <v>989</v>
      </c>
      <c r="C82" s="130" t="s">
        <v>437</v>
      </c>
      <c r="D82" s="130" t="s">
        <v>63</v>
      </c>
      <c r="E82" s="130">
        <v>85028</v>
      </c>
      <c r="F82" s="130" t="s">
        <v>310</v>
      </c>
      <c r="G82" s="130" t="s">
        <v>506</v>
      </c>
      <c r="H82" s="130" t="s">
        <v>27</v>
      </c>
      <c r="I82" s="130"/>
      <c r="J82" s="130"/>
      <c r="K82" s="130"/>
      <c r="L82" s="130"/>
      <c r="M82" s="130"/>
      <c r="N82" s="130"/>
      <c r="O82" s="130"/>
      <c r="P82" s="130"/>
      <c r="Q82" s="130"/>
      <c r="R82" s="130"/>
      <c r="S82" s="130"/>
      <c r="T82" s="130"/>
      <c r="U82" s="130"/>
      <c r="V82" s="130"/>
      <c r="W82" s="130" t="s">
        <v>27</v>
      </c>
    </row>
    <row r="83" spans="1:23">
      <c r="A83" s="130">
        <v>45903</v>
      </c>
      <c r="B83" s="130" t="s">
        <v>837</v>
      </c>
      <c r="C83" s="130" t="s">
        <v>994</v>
      </c>
      <c r="D83" s="130" t="s">
        <v>202</v>
      </c>
      <c r="E83" s="130">
        <v>85383</v>
      </c>
      <c r="F83" s="130" t="s">
        <v>31</v>
      </c>
      <c r="G83" s="130" t="s">
        <v>506</v>
      </c>
      <c r="H83" s="130" t="s">
        <v>27</v>
      </c>
      <c r="I83" s="130"/>
      <c r="J83" s="130"/>
      <c r="K83" s="130"/>
      <c r="L83" s="130"/>
      <c r="M83" s="130"/>
      <c r="N83" s="130"/>
      <c r="O83" s="130"/>
      <c r="P83" s="130"/>
      <c r="Q83" s="130"/>
      <c r="R83" s="130"/>
      <c r="S83" s="130"/>
      <c r="T83" s="130"/>
      <c r="U83" s="130"/>
      <c r="V83" s="130"/>
      <c r="W83" s="130" t="s">
        <v>27</v>
      </c>
    </row>
    <row r="84" spans="1:23">
      <c r="A84" s="130">
        <v>45903</v>
      </c>
      <c r="B84" s="130" t="s">
        <v>996</v>
      </c>
      <c r="C84" s="130" t="s">
        <v>997</v>
      </c>
      <c r="D84" s="130" t="s">
        <v>129</v>
      </c>
      <c r="E84" s="130">
        <v>85298</v>
      </c>
      <c r="F84" s="130" t="s">
        <v>310</v>
      </c>
      <c r="G84" s="130" t="s">
        <v>506</v>
      </c>
      <c r="H84" s="130" t="s">
        <v>27</v>
      </c>
      <c r="I84" s="130"/>
      <c r="J84" s="130"/>
      <c r="K84" s="130"/>
      <c r="L84" s="130"/>
      <c r="M84" s="130"/>
      <c r="N84" s="130"/>
      <c r="O84" s="130"/>
      <c r="P84" s="130"/>
      <c r="Q84" s="130"/>
      <c r="R84" s="130"/>
      <c r="S84" s="130"/>
      <c r="T84" s="130"/>
      <c r="U84" s="130"/>
      <c r="V84" s="130"/>
      <c r="W84" s="130" t="s">
        <v>27</v>
      </c>
    </row>
    <row r="85" spans="1:23">
      <c r="A85" s="130">
        <v>45903</v>
      </c>
      <c r="B85" s="130" t="s">
        <v>1005</v>
      </c>
      <c r="C85" s="130" t="s">
        <v>443</v>
      </c>
      <c r="D85" s="130" t="s">
        <v>63</v>
      </c>
      <c r="E85" s="130">
        <v>85027</v>
      </c>
      <c r="F85" s="130" t="s">
        <v>310</v>
      </c>
      <c r="G85" s="130" t="s">
        <v>506</v>
      </c>
      <c r="H85" s="130" t="s">
        <v>27</v>
      </c>
      <c r="I85" s="130"/>
      <c r="J85" s="130"/>
      <c r="K85" s="130"/>
      <c r="L85" s="130"/>
      <c r="M85" s="130"/>
      <c r="N85" s="130"/>
      <c r="O85" s="130"/>
      <c r="P85" s="130"/>
      <c r="Q85" s="130"/>
      <c r="R85" s="130"/>
      <c r="S85" s="130"/>
      <c r="T85" s="130"/>
      <c r="U85" s="130"/>
      <c r="V85" s="130"/>
      <c r="W85" s="130" t="s">
        <v>27</v>
      </c>
    </row>
    <row r="86" spans="1:23">
      <c r="A86" s="130">
        <v>45903</v>
      </c>
      <c r="B86" s="130" t="s">
        <v>1019</v>
      </c>
      <c r="C86" s="130" t="s">
        <v>1020</v>
      </c>
      <c r="D86" s="130" t="s">
        <v>619</v>
      </c>
      <c r="E86" s="130">
        <v>85366</v>
      </c>
      <c r="F86" s="130" t="s">
        <v>31</v>
      </c>
      <c r="G86" s="130" t="s">
        <v>506</v>
      </c>
      <c r="H86" s="130" t="s">
        <v>27</v>
      </c>
      <c r="I86" s="130"/>
      <c r="J86" s="130"/>
      <c r="K86" s="130"/>
      <c r="L86" s="130"/>
      <c r="M86" s="130"/>
      <c r="N86" s="130"/>
      <c r="O86" s="130"/>
      <c r="P86" s="130"/>
      <c r="Q86" s="130"/>
      <c r="R86" s="130"/>
      <c r="S86" s="130"/>
      <c r="T86" s="130"/>
      <c r="U86" s="130"/>
      <c r="V86" s="130"/>
      <c r="W86" s="130" t="s">
        <v>27</v>
      </c>
    </row>
    <row r="87" spans="1:23">
      <c r="A87" s="130">
        <v>45903</v>
      </c>
      <c r="B87" s="130" t="s">
        <v>1036</v>
      </c>
      <c r="C87" s="130" t="s">
        <v>658</v>
      </c>
      <c r="D87" s="130" t="s">
        <v>24</v>
      </c>
      <c r="E87" s="130">
        <v>85310</v>
      </c>
      <c r="F87" s="130" t="s">
        <v>310</v>
      </c>
      <c r="G87" s="130" t="s">
        <v>506</v>
      </c>
      <c r="H87" s="130" t="s">
        <v>90</v>
      </c>
      <c r="I87" s="130"/>
      <c r="J87" s="130"/>
      <c r="K87" s="130"/>
      <c r="L87" s="130"/>
      <c r="M87" s="130"/>
      <c r="N87" s="130"/>
      <c r="O87" s="130"/>
      <c r="P87" s="130"/>
      <c r="Q87" s="130"/>
      <c r="R87" s="130"/>
      <c r="S87" s="130"/>
      <c r="T87" s="130"/>
      <c r="U87" s="130"/>
      <c r="V87" s="130"/>
      <c r="W87" s="130" t="s">
        <v>90</v>
      </c>
    </row>
    <row r="88" spans="1:23">
      <c r="A88" s="130">
        <v>45903</v>
      </c>
      <c r="B88" s="130" t="s">
        <v>1052</v>
      </c>
      <c r="C88" s="130" t="s">
        <v>1053</v>
      </c>
      <c r="D88" s="130" t="s">
        <v>1054</v>
      </c>
      <c r="E88" s="130">
        <v>85268</v>
      </c>
      <c r="F88" s="130" t="s">
        <v>1055</v>
      </c>
      <c r="G88" s="130" t="s">
        <v>506</v>
      </c>
      <c r="H88" s="130" t="s">
        <v>27</v>
      </c>
      <c r="I88" s="130"/>
      <c r="J88" s="130"/>
      <c r="K88" s="130"/>
      <c r="L88" s="130"/>
      <c r="M88" s="130"/>
      <c r="N88" s="130"/>
      <c r="O88" s="130"/>
      <c r="P88" s="130"/>
      <c r="Q88" s="130"/>
      <c r="R88" s="130"/>
      <c r="S88" s="130"/>
      <c r="T88" s="130"/>
      <c r="U88" s="130"/>
      <c r="V88" s="130"/>
      <c r="W88" s="130" t="s">
        <v>27</v>
      </c>
    </row>
    <row r="89" spans="1:23">
      <c r="A89" s="130">
        <v>45903</v>
      </c>
      <c r="B89" s="130" t="s">
        <v>1091</v>
      </c>
      <c r="C89" s="130" t="s">
        <v>62</v>
      </c>
      <c r="D89" s="130" t="s">
        <v>523</v>
      </c>
      <c r="E89" s="130">
        <v>85392</v>
      </c>
      <c r="F89" s="130" t="s">
        <v>31</v>
      </c>
      <c r="G89" s="130" t="s">
        <v>506</v>
      </c>
      <c r="H89" s="130" t="s">
        <v>27</v>
      </c>
      <c r="I89" s="130"/>
      <c r="J89" s="130"/>
      <c r="K89" s="130"/>
      <c r="L89" s="130"/>
      <c r="M89" s="130"/>
      <c r="N89" s="130"/>
      <c r="O89" s="130"/>
      <c r="P89" s="130"/>
      <c r="Q89" s="130"/>
      <c r="R89" s="130"/>
      <c r="S89" s="130"/>
      <c r="T89" s="130"/>
      <c r="U89" s="130"/>
      <c r="V89" s="130"/>
      <c r="W89" s="130" t="s">
        <v>27</v>
      </c>
    </row>
    <row r="90" spans="1:23">
      <c r="A90" s="130">
        <v>45903</v>
      </c>
      <c r="B90" s="130" t="s">
        <v>1104</v>
      </c>
      <c r="C90" s="130" t="s">
        <v>1105</v>
      </c>
      <c r="D90" s="130" t="s">
        <v>174</v>
      </c>
      <c r="E90" s="130">
        <v>85396</v>
      </c>
      <c r="F90" s="130" t="s">
        <v>1106</v>
      </c>
      <c r="G90" s="130" t="s">
        <v>506</v>
      </c>
      <c r="H90" s="130" t="s">
        <v>90</v>
      </c>
      <c r="I90" s="130"/>
      <c r="J90" s="130"/>
      <c r="K90" s="130"/>
      <c r="L90" s="130"/>
      <c r="M90" s="130"/>
      <c r="N90" s="130"/>
      <c r="O90" s="130"/>
      <c r="P90" s="130"/>
      <c r="Q90" s="130"/>
      <c r="R90" s="130"/>
      <c r="S90" s="130"/>
      <c r="T90" s="130"/>
      <c r="U90" s="130"/>
      <c r="V90" s="130"/>
      <c r="W90" s="130" t="s">
        <v>90</v>
      </c>
    </row>
    <row r="91" spans="1:23">
      <c r="A91" s="130">
        <v>45903</v>
      </c>
      <c r="B91" s="130" t="s">
        <v>1110</v>
      </c>
      <c r="C91" s="130" t="s">
        <v>131</v>
      </c>
      <c r="D91" s="130" t="s">
        <v>169</v>
      </c>
      <c r="E91" s="130">
        <v>85395</v>
      </c>
      <c r="F91" s="130" t="s">
        <v>1111</v>
      </c>
      <c r="G91" s="130" t="s">
        <v>506</v>
      </c>
      <c r="H91" s="130" t="s">
        <v>27</v>
      </c>
      <c r="I91" s="130"/>
      <c r="J91" s="130"/>
      <c r="K91" s="130"/>
      <c r="L91" s="130"/>
      <c r="M91" s="130"/>
      <c r="N91" s="130"/>
      <c r="O91" s="130"/>
      <c r="P91" s="130"/>
      <c r="Q91" s="130"/>
      <c r="R91" s="130"/>
      <c r="S91" s="130"/>
      <c r="T91" s="130"/>
      <c r="U91" s="130"/>
      <c r="V91" s="130"/>
      <c r="W91" s="130" t="s">
        <v>27</v>
      </c>
    </row>
    <row r="92" spans="1:23">
      <c r="A92" s="130">
        <v>45903</v>
      </c>
      <c r="B92" s="130" t="s">
        <v>1114</v>
      </c>
      <c r="C92" s="130" t="s">
        <v>1115</v>
      </c>
      <c r="D92" s="130" t="s">
        <v>63</v>
      </c>
      <c r="E92" s="130">
        <v>85024</v>
      </c>
      <c r="F92" s="130" t="s">
        <v>31</v>
      </c>
      <c r="G92" s="130" t="s">
        <v>506</v>
      </c>
      <c r="H92" s="130" t="s">
        <v>27</v>
      </c>
      <c r="I92" s="130"/>
      <c r="J92" s="130"/>
      <c r="K92" s="130"/>
      <c r="L92" s="130"/>
      <c r="M92" s="130"/>
      <c r="N92" s="130"/>
      <c r="O92" s="130"/>
      <c r="P92" s="130"/>
      <c r="Q92" s="130"/>
      <c r="R92" s="130"/>
      <c r="S92" s="130"/>
      <c r="T92" s="130"/>
      <c r="U92" s="130"/>
      <c r="V92" s="130"/>
      <c r="W92" s="130" t="s">
        <v>27</v>
      </c>
    </row>
    <row r="93" spans="1:23">
      <c r="A93" s="130">
        <v>45903</v>
      </c>
      <c r="B93" s="130" t="s">
        <v>1147</v>
      </c>
      <c r="C93" s="130" t="s">
        <v>1143</v>
      </c>
      <c r="D93" s="130" t="s">
        <v>63</v>
      </c>
      <c r="E93" s="130">
        <v>85050</v>
      </c>
      <c r="F93" s="130" t="s">
        <v>31</v>
      </c>
      <c r="G93" s="130" t="s">
        <v>506</v>
      </c>
      <c r="H93" s="130" t="s">
        <v>27</v>
      </c>
      <c r="I93" s="130"/>
      <c r="J93" s="130"/>
      <c r="K93" s="130"/>
      <c r="L93" s="130"/>
      <c r="M93" s="130"/>
      <c r="N93" s="130"/>
      <c r="O93" s="130"/>
      <c r="P93" s="130"/>
      <c r="Q93" s="130"/>
      <c r="R93" s="130"/>
      <c r="S93" s="130"/>
      <c r="T93" s="130"/>
      <c r="U93" s="130"/>
      <c r="V93" s="130"/>
      <c r="W93" s="130" t="s">
        <v>27</v>
      </c>
    </row>
    <row r="94" spans="1:23">
      <c r="A94" s="130">
        <v>45903</v>
      </c>
      <c r="B94" s="130" t="s">
        <v>1148</v>
      </c>
      <c r="C94" s="130" t="s">
        <v>1149</v>
      </c>
      <c r="D94" s="130" t="s">
        <v>169</v>
      </c>
      <c r="E94" s="130">
        <v>85338</v>
      </c>
      <c r="F94" s="130" t="s">
        <v>1150</v>
      </c>
      <c r="G94" s="130" t="s">
        <v>506</v>
      </c>
      <c r="H94" s="130" t="s">
        <v>90</v>
      </c>
      <c r="I94" s="130"/>
      <c r="J94" s="130"/>
      <c r="K94" s="130"/>
      <c r="L94" s="130"/>
      <c r="M94" s="130"/>
      <c r="N94" s="130"/>
      <c r="O94" s="130"/>
      <c r="P94" s="130"/>
      <c r="Q94" s="130"/>
      <c r="R94" s="130"/>
      <c r="S94" s="130"/>
      <c r="T94" s="130"/>
      <c r="U94" s="130"/>
      <c r="V94" s="130"/>
      <c r="W94" s="130" t="s">
        <v>90</v>
      </c>
    </row>
    <row r="95" spans="1:23">
      <c r="A95" s="130">
        <v>45903</v>
      </c>
      <c r="B95" s="130" t="s">
        <v>1176</v>
      </c>
      <c r="C95" s="130" t="s">
        <v>1177</v>
      </c>
      <c r="D95" s="130" t="s">
        <v>523</v>
      </c>
      <c r="E95" s="130">
        <v>85392</v>
      </c>
      <c r="F95" s="130" t="s">
        <v>31</v>
      </c>
      <c r="G95" s="130" t="s">
        <v>506</v>
      </c>
      <c r="H95" s="130" t="s">
        <v>27</v>
      </c>
      <c r="I95" s="130"/>
      <c r="J95" s="130"/>
      <c r="K95" s="130"/>
      <c r="L95" s="130"/>
      <c r="M95" s="130"/>
      <c r="N95" s="130"/>
      <c r="O95" s="130"/>
      <c r="P95" s="130"/>
      <c r="Q95" s="130"/>
      <c r="R95" s="130"/>
      <c r="S95" s="130"/>
      <c r="T95" s="130"/>
      <c r="U95" s="130"/>
      <c r="V95" s="130"/>
      <c r="W95" s="130" t="s">
        <v>27</v>
      </c>
    </row>
    <row r="96" spans="1:23">
      <c r="A96" s="130">
        <v>45903</v>
      </c>
      <c r="B96" s="130" t="s">
        <v>1182</v>
      </c>
      <c r="C96" s="130" t="s">
        <v>1183</v>
      </c>
      <c r="D96" s="130" t="s">
        <v>202</v>
      </c>
      <c r="E96" s="130">
        <v>85383</v>
      </c>
      <c r="F96" s="130" t="s">
        <v>1184</v>
      </c>
      <c r="G96" s="130" t="s">
        <v>506</v>
      </c>
      <c r="H96" s="130" t="s">
        <v>27</v>
      </c>
      <c r="I96" s="130"/>
      <c r="J96" s="130"/>
      <c r="K96" s="130"/>
      <c r="L96" s="130"/>
      <c r="M96" s="130"/>
      <c r="N96" s="130"/>
      <c r="O96" s="130"/>
      <c r="P96" s="130"/>
      <c r="Q96" s="130"/>
      <c r="R96" s="130"/>
      <c r="S96" s="130"/>
      <c r="T96" s="130"/>
      <c r="U96" s="130"/>
      <c r="V96" s="130"/>
      <c r="W96" s="130" t="s">
        <v>27</v>
      </c>
    </row>
    <row r="97" spans="1:23">
      <c r="A97" s="130">
        <v>45903</v>
      </c>
      <c r="B97" s="130" t="s">
        <v>1188</v>
      </c>
      <c r="C97" s="130" t="s">
        <v>1189</v>
      </c>
      <c r="D97" s="130" t="s">
        <v>63</v>
      </c>
      <c r="E97" s="130">
        <v>85032</v>
      </c>
      <c r="F97" s="130" t="s">
        <v>310</v>
      </c>
      <c r="G97" s="130" t="s">
        <v>506</v>
      </c>
      <c r="H97" s="130" t="s">
        <v>27</v>
      </c>
      <c r="I97" s="130"/>
      <c r="J97" s="130"/>
      <c r="K97" s="130"/>
      <c r="L97" s="130"/>
      <c r="M97" s="130"/>
      <c r="N97" s="130"/>
      <c r="O97" s="130"/>
      <c r="P97" s="130"/>
      <c r="Q97" s="130"/>
      <c r="R97" s="130"/>
      <c r="S97" s="130"/>
      <c r="T97" s="130"/>
      <c r="U97" s="130"/>
      <c r="V97" s="130"/>
      <c r="W97" s="130" t="s">
        <v>27</v>
      </c>
    </row>
    <row r="98" spans="1:23">
      <c r="A98" s="130">
        <v>45903</v>
      </c>
      <c r="B98" s="130" t="s">
        <v>1201</v>
      </c>
      <c r="C98" s="130" t="s">
        <v>471</v>
      </c>
      <c r="D98" s="130" t="s">
        <v>63</v>
      </c>
      <c r="E98" s="130">
        <v>85042</v>
      </c>
      <c r="F98" s="130" t="s">
        <v>310</v>
      </c>
      <c r="G98" s="130" t="s">
        <v>506</v>
      </c>
      <c r="H98" s="130" t="s">
        <v>90</v>
      </c>
      <c r="I98" s="130"/>
      <c r="J98" s="130"/>
      <c r="K98" s="130"/>
      <c r="L98" s="130"/>
      <c r="M98" s="130"/>
      <c r="N98" s="130"/>
      <c r="O98" s="130"/>
      <c r="P98" s="130"/>
      <c r="Q98" s="130"/>
      <c r="R98" s="130"/>
      <c r="S98" s="130"/>
      <c r="T98" s="130"/>
      <c r="U98" s="130"/>
      <c r="V98" s="130"/>
      <c r="W98" s="130" t="s">
        <v>90</v>
      </c>
    </row>
    <row r="99" spans="1:23">
      <c r="A99" s="130">
        <v>45903</v>
      </c>
      <c r="B99" s="130" t="s">
        <v>1208</v>
      </c>
      <c r="C99" s="130" t="s">
        <v>1209</v>
      </c>
      <c r="D99" s="130" t="s">
        <v>202</v>
      </c>
      <c r="E99" s="130">
        <v>85383</v>
      </c>
      <c r="F99" s="130" t="s">
        <v>310</v>
      </c>
      <c r="G99" s="130" t="s">
        <v>506</v>
      </c>
      <c r="H99" s="130" t="s">
        <v>90</v>
      </c>
      <c r="I99" s="130"/>
      <c r="J99" s="130"/>
      <c r="K99" s="130"/>
      <c r="L99" s="130"/>
      <c r="M99" s="130"/>
      <c r="N99" s="130"/>
      <c r="O99" s="130"/>
      <c r="P99" s="130"/>
      <c r="Q99" s="130"/>
      <c r="R99" s="130"/>
      <c r="S99" s="130"/>
      <c r="T99" s="130"/>
      <c r="U99" s="130"/>
      <c r="V99" s="130"/>
      <c r="W99" s="130" t="s">
        <v>90</v>
      </c>
    </row>
    <row r="100" spans="1:23">
      <c r="A100" s="130">
        <v>45903</v>
      </c>
      <c r="B100" s="130" t="s">
        <v>1231</v>
      </c>
      <c r="C100" s="130" t="s">
        <v>1232</v>
      </c>
      <c r="D100" s="130" t="s">
        <v>174</v>
      </c>
      <c r="E100" s="130">
        <v>85326</v>
      </c>
      <c r="F100" s="130" t="s">
        <v>310</v>
      </c>
      <c r="G100" s="130" t="s">
        <v>506</v>
      </c>
      <c r="H100" s="130" t="s">
        <v>90</v>
      </c>
      <c r="I100" s="130"/>
      <c r="J100" s="130"/>
      <c r="K100" s="130"/>
      <c r="L100" s="130"/>
      <c r="M100" s="130"/>
      <c r="N100" s="130"/>
      <c r="O100" s="130"/>
      <c r="P100" s="130"/>
      <c r="Q100" s="130"/>
      <c r="R100" s="130"/>
      <c r="S100" s="130"/>
      <c r="T100" s="130"/>
      <c r="U100" s="130"/>
      <c r="V100" s="130"/>
      <c r="W100" s="130" t="s">
        <v>90</v>
      </c>
    </row>
    <row r="101" spans="1:23">
      <c r="A101" s="130">
        <v>45903</v>
      </c>
      <c r="B101" s="130" t="s">
        <v>1246</v>
      </c>
      <c r="C101" s="130" t="s">
        <v>768</v>
      </c>
      <c r="D101" s="130" t="s">
        <v>202</v>
      </c>
      <c r="E101" s="130">
        <v>85383</v>
      </c>
      <c r="F101" s="130" t="s">
        <v>310</v>
      </c>
      <c r="G101" s="130" t="s">
        <v>506</v>
      </c>
      <c r="H101" s="130" t="s">
        <v>27</v>
      </c>
      <c r="I101" s="130"/>
      <c r="J101" s="130"/>
      <c r="K101" s="130"/>
      <c r="L101" s="130"/>
      <c r="M101" s="130"/>
      <c r="N101" s="130"/>
      <c r="O101" s="130"/>
      <c r="P101" s="130"/>
      <c r="Q101" s="130"/>
      <c r="R101" s="130"/>
      <c r="S101" s="130"/>
      <c r="T101" s="130"/>
      <c r="U101" s="130"/>
      <c r="V101" s="130"/>
      <c r="W101" s="130" t="s">
        <v>27</v>
      </c>
    </row>
    <row r="102" spans="1:23">
      <c r="A102" s="130">
        <v>45903</v>
      </c>
      <c r="B102" s="130" t="s">
        <v>1263</v>
      </c>
      <c r="C102" s="130" t="s">
        <v>333</v>
      </c>
      <c r="D102" s="130" t="s">
        <v>635</v>
      </c>
      <c r="E102" s="130">
        <v>85281</v>
      </c>
      <c r="F102" s="130" t="s">
        <v>31</v>
      </c>
      <c r="G102" s="130" t="s">
        <v>506</v>
      </c>
      <c r="H102" s="130" t="s">
        <v>27</v>
      </c>
      <c r="I102" s="130"/>
      <c r="J102" s="130"/>
      <c r="K102" s="130"/>
      <c r="L102" s="130"/>
      <c r="M102" s="130"/>
      <c r="N102" s="130"/>
      <c r="O102" s="130"/>
      <c r="P102" s="130"/>
      <c r="Q102" s="130"/>
      <c r="R102" s="130"/>
      <c r="S102" s="130"/>
      <c r="T102" s="130"/>
      <c r="U102" s="130"/>
      <c r="V102" s="130"/>
      <c r="W102" s="130" t="s">
        <v>27</v>
      </c>
    </row>
    <row r="103" spans="1:23">
      <c r="A103" s="130">
        <v>45903</v>
      </c>
      <c r="B103" s="130" t="s">
        <v>1264</v>
      </c>
      <c r="C103" s="130" t="s">
        <v>1265</v>
      </c>
      <c r="D103" s="130" t="s">
        <v>202</v>
      </c>
      <c r="E103" s="130">
        <v>85383</v>
      </c>
      <c r="F103" s="130" t="s">
        <v>31</v>
      </c>
      <c r="G103" s="130" t="s">
        <v>506</v>
      </c>
      <c r="H103" s="130" t="s">
        <v>27</v>
      </c>
      <c r="I103" s="130"/>
      <c r="J103" s="130"/>
      <c r="K103" s="130"/>
      <c r="L103" s="130"/>
      <c r="M103" s="130"/>
      <c r="N103" s="130"/>
      <c r="O103" s="130"/>
      <c r="P103" s="130"/>
      <c r="Q103" s="130"/>
      <c r="R103" s="130"/>
      <c r="S103" s="130"/>
      <c r="T103" s="130"/>
      <c r="U103" s="130"/>
      <c r="V103" s="130"/>
      <c r="W103" s="130" t="s">
        <v>27</v>
      </c>
    </row>
    <row r="104" spans="1:23">
      <c r="A104" s="130">
        <v>45903</v>
      </c>
      <c r="B104" s="130" t="s">
        <v>1266</v>
      </c>
      <c r="C104" s="130" t="s">
        <v>1267</v>
      </c>
      <c r="D104" s="130" t="s">
        <v>63</v>
      </c>
      <c r="E104" s="130">
        <v>85007</v>
      </c>
      <c r="F104" s="130" t="s">
        <v>310</v>
      </c>
      <c r="G104" s="130" t="s">
        <v>506</v>
      </c>
      <c r="H104" s="130" t="s">
        <v>90</v>
      </c>
      <c r="I104" s="130"/>
      <c r="J104" s="130"/>
      <c r="K104" s="130"/>
      <c r="L104" s="130"/>
      <c r="M104" s="130"/>
      <c r="N104" s="130"/>
      <c r="O104" s="130"/>
      <c r="P104" s="130"/>
      <c r="Q104" s="130"/>
      <c r="R104" s="130"/>
      <c r="S104" s="130"/>
      <c r="T104" s="130"/>
      <c r="U104" s="130"/>
      <c r="V104" s="130"/>
      <c r="W104" s="130" t="s">
        <v>90</v>
      </c>
    </row>
    <row r="105" spans="1:23">
      <c r="A105" s="130">
        <v>45903</v>
      </c>
      <c r="B105" s="130" t="s">
        <v>1277</v>
      </c>
      <c r="C105" s="130" t="s">
        <v>1278</v>
      </c>
      <c r="D105" s="130" t="s">
        <v>523</v>
      </c>
      <c r="E105" s="130">
        <v>85392</v>
      </c>
      <c r="F105" s="130" t="s">
        <v>1279</v>
      </c>
      <c r="G105" s="130" t="s">
        <v>506</v>
      </c>
      <c r="H105" s="130" t="s">
        <v>27</v>
      </c>
      <c r="I105" s="130"/>
      <c r="J105" s="130"/>
      <c r="K105" s="130"/>
      <c r="L105" s="130"/>
      <c r="M105" s="130"/>
      <c r="N105" s="130"/>
      <c r="O105" s="130"/>
      <c r="P105" s="130"/>
      <c r="Q105" s="130"/>
      <c r="R105" s="130"/>
      <c r="S105" s="130"/>
      <c r="T105" s="130"/>
      <c r="U105" s="130"/>
      <c r="V105" s="130"/>
      <c r="W105" s="130" t="s">
        <v>27</v>
      </c>
    </row>
    <row r="106" spans="1:23">
      <c r="A106" s="130">
        <v>45903</v>
      </c>
      <c r="B106" s="130" t="s">
        <v>1288</v>
      </c>
      <c r="C106" s="130" t="s">
        <v>1289</v>
      </c>
      <c r="D106" s="130" t="s">
        <v>63</v>
      </c>
      <c r="E106" s="130">
        <v>85022</v>
      </c>
      <c r="F106" s="130" t="s">
        <v>31</v>
      </c>
      <c r="G106" s="130" t="s">
        <v>506</v>
      </c>
      <c r="H106" s="130" t="s">
        <v>27</v>
      </c>
      <c r="I106" s="130"/>
      <c r="J106" s="130"/>
      <c r="K106" s="130"/>
      <c r="L106" s="130"/>
      <c r="M106" s="130"/>
      <c r="N106" s="130"/>
      <c r="O106" s="130"/>
      <c r="P106" s="130"/>
      <c r="Q106" s="130"/>
      <c r="R106" s="130"/>
      <c r="S106" s="130"/>
      <c r="T106" s="130"/>
      <c r="U106" s="130"/>
      <c r="V106" s="130"/>
      <c r="W106" s="130" t="s">
        <v>27</v>
      </c>
    </row>
    <row r="107" spans="1:23">
      <c r="A107" s="130">
        <v>45903</v>
      </c>
      <c r="B107" s="130" t="s">
        <v>1297</v>
      </c>
      <c r="C107" s="130" t="s">
        <v>1298</v>
      </c>
      <c r="D107" s="130" t="s">
        <v>1299</v>
      </c>
      <c r="E107" s="130">
        <v>85349</v>
      </c>
      <c r="F107" s="130" t="s">
        <v>31</v>
      </c>
      <c r="G107" s="130" t="s">
        <v>506</v>
      </c>
      <c r="H107" s="130" t="s">
        <v>27</v>
      </c>
      <c r="I107" s="130"/>
      <c r="J107" s="130"/>
      <c r="K107" s="130"/>
      <c r="L107" s="130"/>
      <c r="M107" s="130"/>
      <c r="N107" s="130"/>
      <c r="O107" s="130"/>
      <c r="P107" s="130"/>
      <c r="Q107" s="130"/>
      <c r="R107" s="130"/>
      <c r="S107" s="130"/>
      <c r="T107" s="130"/>
      <c r="U107" s="130"/>
      <c r="V107" s="130"/>
      <c r="W107" s="130" t="s">
        <v>27</v>
      </c>
    </row>
    <row r="108" spans="1:23">
      <c r="A108" s="130">
        <v>45903</v>
      </c>
      <c r="B108" s="130" t="s">
        <v>1304</v>
      </c>
      <c r="C108" s="130" t="s">
        <v>481</v>
      </c>
      <c r="D108" s="130" t="s">
        <v>169</v>
      </c>
      <c r="E108" s="130">
        <v>85338</v>
      </c>
      <c r="F108" s="130" t="s">
        <v>1167</v>
      </c>
      <c r="G108" s="130" t="s">
        <v>506</v>
      </c>
      <c r="H108" s="130" t="s">
        <v>27</v>
      </c>
      <c r="I108" s="130"/>
      <c r="J108" s="130"/>
      <c r="K108" s="130"/>
      <c r="L108" s="130"/>
      <c r="M108" s="130"/>
      <c r="N108" s="130"/>
      <c r="O108" s="130"/>
      <c r="P108" s="130"/>
      <c r="Q108" s="130"/>
      <c r="R108" s="130"/>
      <c r="S108" s="130"/>
      <c r="T108" s="130"/>
      <c r="U108" s="130"/>
      <c r="V108" s="130"/>
      <c r="W108" s="130" t="s">
        <v>27</v>
      </c>
    </row>
    <row r="109" spans="1:23">
      <c r="A109" s="130">
        <v>45903</v>
      </c>
      <c r="B109" s="130" t="s">
        <v>1309</v>
      </c>
      <c r="C109" s="130" t="s">
        <v>1310</v>
      </c>
      <c r="D109" s="130" t="s">
        <v>63</v>
      </c>
      <c r="E109" s="130">
        <v>85015</v>
      </c>
      <c r="F109" s="130" t="s">
        <v>31</v>
      </c>
      <c r="G109" s="130" t="s">
        <v>506</v>
      </c>
      <c r="H109" s="130" t="s">
        <v>27</v>
      </c>
      <c r="I109" s="130"/>
      <c r="J109" s="130"/>
      <c r="K109" s="130"/>
      <c r="L109" s="130"/>
      <c r="M109" s="130"/>
      <c r="N109" s="130"/>
      <c r="O109" s="130"/>
      <c r="P109" s="130"/>
      <c r="Q109" s="130"/>
      <c r="R109" s="130"/>
      <c r="S109" s="130"/>
      <c r="T109" s="130"/>
      <c r="U109" s="130"/>
      <c r="V109" s="130"/>
      <c r="W109" s="130" t="s">
        <v>27</v>
      </c>
    </row>
    <row r="110" spans="1:23">
      <c r="A110" s="130">
        <v>45903</v>
      </c>
      <c r="B110" s="130" t="s">
        <v>1320</v>
      </c>
      <c r="C110" s="130" t="s">
        <v>1321</v>
      </c>
      <c r="D110" s="130" t="s">
        <v>112</v>
      </c>
      <c r="E110" s="130">
        <v>85387</v>
      </c>
      <c r="F110" s="130" t="s">
        <v>310</v>
      </c>
      <c r="G110" s="130" t="s">
        <v>506</v>
      </c>
      <c r="H110" s="130" t="s">
        <v>27</v>
      </c>
      <c r="I110" s="130"/>
      <c r="J110" s="130"/>
      <c r="K110" s="130"/>
      <c r="L110" s="130"/>
      <c r="M110" s="130"/>
      <c r="N110" s="130"/>
      <c r="O110" s="130"/>
      <c r="P110" s="130"/>
      <c r="Q110" s="130"/>
      <c r="R110" s="130"/>
      <c r="S110" s="130"/>
      <c r="T110" s="130"/>
      <c r="U110" s="130"/>
      <c r="V110" s="130"/>
      <c r="W110" s="130" t="s">
        <v>27</v>
      </c>
    </row>
    <row r="111" spans="1:23">
      <c r="A111" s="130">
        <v>45903</v>
      </c>
      <c r="B111" s="130" t="s">
        <v>1331</v>
      </c>
      <c r="C111" s="130" t="s">
        <v>1332</v>
      </c>
      <c r="D111" s="130" t="s">
        <v>63</v>
      </c>
      <c r="E111" s="130">
        <v>86032</v>
      </c>
      <c r="F111" s="130" t="s">
        <v>31</v>
      </c>
      <c r="G111" s="130" t="s">
        <v>1329</v>
      </c>
      <c r="H111" s="130" t="s">
        <v>27</v>
      </c>
      <c r="I111" s="130"/>
      <c r="J111" s="130"/>
      <c r="K111" s="130"/>
      <c r="L111" s="130"/>
      <c r="M111" s="130"/>
      <c r="N111" s="130"/>
      <c r="O111" s="130"/>
      <c r="P111" s="130"/>
      <c r="Q111" s="130"/>
      <c r="R111" s="130"/>
      <c r="S111" s="130"/>
      <c r="T111" s="130"/>
      <c r="U111" s="130"/>
      <c r="V111" s="130"/>
      <c r="W111" s="130" t="s">
        <v>27</v>
      </c>
    </row>
    <row r="112" spans="1:23">
      <c r="A112" s="130">
        <v>45903</v>
      </c>
      <c r="B112" s="130" t="s">
        <v>1350</v>
      </c>
      <c r="C112" s="130" t="s">
        <v>1351</v>
      </c>
      <c r="D112" s="130" t="s">
        <v>240</v>
      </c>
      <c r="E112" s="130">
        <v>85340</v>
      </c>
      <c r="F112" s="130" t="s">
        <v>31</v>
      </c>
      <c r="G112" s="130" t="s">
        <v>1329</v>
      </c>
      <c r="H112" s="130" t="s">
        <v>27</v>
      </c>
      <c r="I112" s="130"/>
      <c r="J112" s="130"/>
      <c r="K112" s="130"/>
      <c r="L112" s="130"/>
      <c r="M112" s="130"/>
      <c r="N112" s="130"/>
      <c r="O112" s="130"/>
      <c r="P112" s="130"/>
      <c r="Q112" s="130"/>
      <c r="R112" s="130"/>
      <c r="S112" s="130"/>
      <c r="T112" s="130"/>
      <c r="U112" s="130"/>
      <c r="V112" s="130"/>
      <c r="W112" s="130" t="s">
        <v>27</v>
      </c>
    </row>
    <row r="113" spans="1:23">
      <c r="A113" s="130">
        <v>45903</v>
      </c>
      <c r="B113" s="130" t="s">
        <v>1369</v>
      </c>
      <c r="C113" s="130" t="s">
        <v>1370</v>
      </c>
      <c r="D113" s="130" t="s">
        <v>125</v>
      </c>
      <c r="E113" s="130">
        <v>85259</v>
      </c>
      <c r="F113" s="130" t="s">
        <v>310</v>
      </c>
      <c r="G113" s="130" t="s">
        <v>1329</v>
      </c>
      <c r="H113" s="130" t="s">
        <v>27</v>
      </c>
      <c r="I113" s="130"/>
      <c r="J113" s="130"/>
      <c r="K113" s="130"/>
      <c r="L113" s="130"/>
      <c r="M113" s="130"/>
      <c r="N113" s="130"/>
      <c r="O113" s="130"/>
      <c r="P113" s="130"/>
      <c r="Q113" s="130"/>
      <c r="R113" s="130"/>
      <c r="S113" s="130"/>
      <c r="T113" s="130"/>
      <c r="U113" s="130"/>
      <c r="V113" s="130"/>
      <c r="W113" s="130" t="s">
        <v>27</v>
      </c>
    </row>
    <row r="114" spans="1:23">
      <c r="A114" s="130">
        <v>45903</v>
      </c>
      <c r="B114" s="130" t="s">
        <v>1374</v>
      </c>
      <c r="C114" s="130" t="s">
        <v>1375</v>
      </c>
      <c r="D114" s="130" t="s">
        <v>24</v>
      </c>
      <c r="E114" s="130">
        <v>85308</v>
      </c>
      <c r="F114" s="130" t="s">
        <v>31</v>
      </c>
      <c r="G114" s="130" t="s">
        <v>1329</v>
      </c>
      <c r="H114" s="130" t="s">
        <v>27</v>
      </c>
      <c r="I114" s="130"/>
      <c r="J114" s="130"/>
      <c r="K114" s="130"/>
      <c r="L114" s="130"/>
      <c r="M114" s="130"/>
      <c r="N114" s="130"/>
      <c r="O114" s="130"/>
      <c r="P114" s="130"/>
      <c r="Q114" s="130"/>
      <c r="R114" s="130"/>
      <c r="S114" s="130"/>
      <c r="T114" s="130"/>
      <c r="U114" s="130"/>
      <c r="V114" s="130"/>
      <c r="W114" s="130" t="s">
        <v>27</v>
      </c>
    </row>
    <row r="115" spans="1:23">
      <c r="A115" s="130">
        <v>45903</v>
      </c>
      <c r="B115" s="130" t="s">
        <v>1376</v>
      </c>
      <c r="C115" s="130" t="s">
        <v>1377</v>
      </c>
      <c r="D115" s="130" t="s">
        <v>523</v>
      </c>
      <c r="E115" s="130">
        <v>85392</v>
      </c>
      <c r="F115" s="130" t="s">
        <v>31</v>
      </c>
      <c r="G115" s="130" t="s">
        <v>1329</v>
      </c>
      <c r="H115" s="130" t="s">
        <v>27</v>
      </c>
      <c r="I115" s="130"/>
      <c r="J115" s="130"/>
      <c r="K115" s="130"/>
      <c r="L115" s="130"/>
      <c r="M115" s="130"/>
      <c r="N115" s="130"/>
      <c r="O115" s="130"/>
      <c r="P115" s="130"/>
      <c r="Q115" s="130"/>
      <c r="R115" s="130"/>
      <c r="S115" s="130"/>
      <c r="T115" s="130"/>
      <c r="U115" s="130"/>
      <c r="V115" s="130"/>
      <c r="W115" s="130" t="s">
        <v>27</v>
      </c>
    </row>
    <row r="116" spans="1:23">
      <c r="A116" s="130">
        <v>45903</v>
      </c>
      <c r="B116" s="130" t="s">
        <v>1378</v>
      </c>
      <c r="C116" s="130" t="s">
        <v>135</v>
      </c>
      <c r="D116" s="130" t="s">
        <v>1379</v>
      </c>
      <c r="E116" s="130">
        <v>85353</v>
      </c>
      <c r="F116" s="130" t="s">
        <v>31</v>
      </c>
      <c r="G116" s="130" t="s">
        <v>1329</v>
      </c>
      <c r="H116" s="130" t="s">
        <v>27</v>
      </c>
      <c r="I116" s="130"/>
      <c r="J116" s="130"/>
      <c r="K116" s="130"/>
      <c r="L116" s="130"/>
      <c r="M116" s="130"/>
      <c r="N116" s="130"/>
      <c r="O116" s="130"/>
      <c r="P116" s="130"/>
      <c r="Q116" s="130"/>
      <c r="R116" s="130"/>
      <c r="S116" s="130"/>
      <c r="T116" s="130"/>
      <c r="U116" s="130"/>
      <c r="V116" s="130"/>
      <c r="W116" s="130" t="s">
        <v>27</v>
      </c>
    </row>
    <row r="117" spans="1:23">
      <c r="A117" s="130">
        <v>45903</v>
      </c>
      <c r="B117" s="130" t="s">
        <v>1380</v>
      </c>
      <c r="C117" s="130" t="s">
        <v>529</v>
      </c>
      <c r="D117" s="130" t="s">
        <v>504</v>
      </c>
      <c r="E117" s="130">
        <v>86001</v>
      </c>
      <c r="F117" s="130" t="s">
        <v>310</v>
      </c>
      <c r="G117" s="130" t="s">
        <v>1329</v>
      </c>
      <c r="H117" s="130" t="s">
        <v>27</v>
      </c>
      <c r="I117" s="130"/>
      <c r="J117" s="130"/>
      <c r="K117" s="130"/>
      <c r="L117" s="130"/>
      <c r="M117" s="130"/>
      <c r="N117" s="130"/>
      <c r="O117" s="130"/>
      <c r="P117" s="130"/>
      <c r="Q117" s="130"/>
      <c r="R117" s="130"/>
      <c r="S117" s="130"/>
      <c r="T117" s="130"/>
      <c r="U117" s="130"/>
      <c r="V117" s="130"/>
      <c r="W117" s="130" t="s">
        <v>27</v>
      </c>
    </row>
    <row r="118" spans="1:23">
      <c r="A118" s="130">
        <v>45903</v>
      </c>
      <c r="B118" s="130" t="s">
        <v>1381</v>
      </c>
      <c r="C118" s="130" t="s">
        <v>1382</v>
      </c>
      <c r="D118" s="130" t="s">
        <v>125</v>
      </c>
      <c r="E118" s="130">
        <v>85257</v>
      </c>
      <c r="F118" s="130" t="s">
        <v>310</v>
      </c>
      <c r="G118" s="130" t="s">
        <v>1329</v>
      </c>
      <c r="H118" s="130" t="s">
        <v>27</v>
      </c>
      <c r="I118" s="130"/>
      <c r="J118" s="130"/>
      <c r="K118" s="130"/>
      <c r="L118" s="130"/>
      <c r="M118" s="130"/>
      <c r="N118" s="130"/>
      <c r="O118" s="130"/>
      <c r="P118" s="130"/>
      <c r="Q118" s="130"/>
      <c r="R118" s="130"/>
      <c r="S118" s="130"/>
      <c r="T118" s="130"/>
      <c r="U118" s="130"/>
      <c r="V118" s="130"/>
      <c r="W118" s="130" t="s">
        <v>27</v>
      </c>
    </row>
    <row r="119" spans="1:23">
      <c r="A119" s="130">
        <v>45903</v>
      </c>
      <c r="B119" s="130" t="s">
        <v>1390</v>
      </c>
      <c r="C119" s="130" t="s">
        <v>1391</v>
      </c>
      <c r="D119" s="130" t="s">
        <v>63</v>
      </c>
      <c r="E119" s="130">
        <v>85037</v>
      </c>
      <c r="F119" s="130" t="s">
        <v>310</v>
      </c>
      <c r="G119" s="130" t="s">
        <v>1329</v>
      </c>
      <c r="H119" s="130" t="s">
        <v>90</v>
      </c>
      <c r="I119" s="130"/>
      <c r="J119" s="130"/>
      <c r="K119" s="130"/>
      <c r="L119" s="130"/>
      <c r="M119" s="130"/>
      <c r="N119" s="130"/>
      <c r="O119" s="130"/>
      <c r="P119" s="130"/>
      <c r="Q119" s="130"/>
      <c r="R119" s="130"/>
      <c r="S119" s="130"/>
      <c r="T119" s="130"/>
      <c r="U119" s="130"/>
      <c r="V119" s="130"/>
      <c r="W119" s="130" t="s">
        <v>90</v>
      </c>
    </row>
    <row r="120" spans="1:23">
      <c r="A120" s="130">
        <v>45903</v>
      </c>
      <c r="B120" s="130" t="s">
        <v>1399</v>
      </c>
      <c r="C120" s="130" t="s">
        <v>1400</v>
      </c>
      <c r="D120" s="130" t="s">
        <v>129</v>
      </c>
      <c r="E120" s="130">
        <v>85298</v>
      </c>
      <c r="F120" s="130" t="s">
        <v>310</v>
      </c>
      <c r="G120" s="130" t="s">
        <v>1329</v>
      </c>
      <c r="H120" s="130" t="s">
        <v>27</v>
      </c>
      <c r="I120" s="130"/>
      <c r="J120" s="130"/>
      <c r="K120" s="130"/>
      <c r="L120" s="130"/>
      <c r="M120" s="130"/>
      <c r="N120" s="130"/>
      <c r="O120" s="130"/>
      <c r="P120" s="130"/>
      <c r="Q120" s="130"/>
      <c r="R120" s="130"/>
      <c r="S120" s="130"/>
      <c r="T120" s="130"/>
      <c r="U120" s="130"/>
      <c r="V120" s="130"/>
      <c r="W120" s="130" t="s">
        <v>27</v>
      </c>
    </row>
    <row r="121" spans="1:23">
      <c r="A121" s="130">
        <v>45903</v>
      </c>
      <c r="B121" s="130" t="s">
        <v>1401</v>
      </c>
      <c r="C121" s="130" t="s">
        <v>1402</v>
      </c>
      <c r="D121" s="130" t="s">
        <v>63</v>
      </c>
      <c r="E121" s="130">
        <v>85053</v>
      </c>
      <c r="F121" s="130" t="s">
        <v>310</v>
      </c>
      <c r="G121" s="130" t="s">
        <v>1329</v>
      </c>
      <c r="H121" s="130" t="s">
        <v>90</v>
      </c>
      <c r="I121" s="130"/>
      <c r="J121" s="130"/>
      <c r="K121" s="130"/>
      <c r="L121" s="130"/>
      <c r="M121" s="130"/>
      <c r="N121" s="130"/>
      <c r="O121" s="130"/>
      <c r="P121" s="130"/>
      <c r="Q121" s="130"/>
      <c r="R121" s="130"/>
      <c r="S121" s="130"/>
      <c r="T121" s="130"/>
      <c r="U121" s="130"/>
      <c r="V121" s="130"/>
      <c r="W121" s="130" t="s">
        <v>90</v>
      </c>
    </row>
    <row r="122" spans="1:23">
      <c r="A122" s="130">
        <v>45903</v>
      </c>
      <c r="B122" s="130" t="s">
        <v>930</v>
      </c>
      <c r="C122" s="130" t="s">
        <v>328</v>
      </c>
      <c r="D122" s="130" t="s">
        <v>125</v>
      </c>
      <c r="E122" s="130">
        <v>85251</v>
      </c>
      <c r="F122" s="130" t="s">
        <v>31</v>
      </c>
      <c r="G122" s="130" t="s">
        <v>1329</v>
      </c>
      <c r="H122" s="130" t="s">
        <v>27</v>
      </c>
      <c r="I122" s="130"/>
      <c r="J122" s="130"/>
      <c r="K122" s="130"/>
      <c r="L122" s="130"/>
      <c r="M122" s="130"/>
      <c r="N122" s="130"/>
      <c r="O122" s="130"/>
      <c r="P122" s="130"/>
      <c r="Q122" s="130"/>
      <c r="R122" s="130"/>
      <c r="S122" s="130"/>
      <c r="T122" s="130"/>
      <c r="U122" s="130"/>
      <c r="V122" s="130"/>
      <c r="W122" s="130" t="s">
        <v>27</v>
      </c>
    </row>
    <row r="123" spans="1:23">
      <c r="A123" s="130">
        <v>45903</v>
      </c>
      <c r="B123" s="130" t="s">
        <v>1411</v>
      </c>
      <c r="C123" s="130" t="s">
        <v>1412</v>
      </c>
      <c r="D123" s="130" t="s">
        <v>202</v>
      </c>
      <c r="E123" s="130">
        <v>85383</v>
      </c>
      <c r="F123" s="130" t="s">
        <v>310</v>
      </c>
      <c r="G123" s="130" t="s">
        <v>1329</v>
      </c>
      <c r="H123" s="130" t="s">
        <v>27</v>
      </c>
      <c r="I123" s="130"/>
      <c r="J123" s="130"/>
      <c r="K123" s="130"/>
      <c r="L123" s="130"/>
      <c r="M123" s="130"/>
      <c r="N123" s="130"/>
      <c r="O123" s="130"/>
      <c r="P123" s="130"/>
      <c r="Q123" s="130"/>
      <c r="R123" s="130"/>
      <c r="S123" s="130"/>
      <c r="T123" s="130"/>
      <c r="U123" s="130"/>
      <c r="V123" s="130"/>
      <c r="W123" s="130" t="s">
        <v>27</v>
      </c>
    </row>
    <row r="124" spans="1:23">
      <c r="A124" s="130">
        <v>45903</v>
      </c>
      <c r="B124" s="130" t="s">
        <v>1147</v>
      </c>
      <c r="C124" s="130" t="s">
        <v>1430</v>
      </c>
      <c r="D124" s="130" t="s">
        <v>63</v>
      </c>
      <c r="E124" s="130">
        <v>85032</v>
      </c>
      <c r="F124" s="130" t="s">
        <v>31</v>
      </c>
      <c r="G124" s="130" t="s">
        <v>1329</v>
      </c>
      <c r="H124" s="130" t="s">
        <v>90</v>
      </c>
      <c r="I124" s="130"/>
      <c r="J124" s="130"/>
      <c r="K124" s="130"/>
      <c r="L124" s="130"/>
      <c r="M124" s="130"/>
      <c r="N124" s="130"/>
      <c r="O124" s="130"/>
      <c r="P124" s="130"/>
      <c r="Q124" s="130"/>
      <c r="R124" s="130"/>
      <c r="S124" s="130"/>
      <c r="T124" s="130"/>
      <c r="U124" s="130"/>
      <c r="V124" s="130"/>
      <c r="W124" s="130" t="s">
        <v>90</v>
      </c>
    </row>
    <row r="125" spans="1:23">
      <c r="A125" s="130">
        <v>45903</v>
      </c>
      <c r="B125" s="130" t="s">
        <v>1446</v>
      </c>
      <c r="C125" s="130" t="s">
        <v>312</v>
      </c>
      <c r="D125" s="130" t="s">
        <v>63</v>
      </c>
      <c r="E125" s="130">
        <v>85053</v>
      </c>
      <c r="F125" s="130" t="s">
        <v>310</v>
      </c>
      <c r="G125" s="130" t="s">
        <v>1329</v>
      </c>
      <c r="H125" s="130" t="s">
        <v>27</v>
      </c>
      <c r="I125" s="130"/>
      <c r="J125" s="130"/>
      <c r="K125" s="130"/>
      <c r="L125" s="130"/>
      <c r="M125" s="130"/>
      <c r="N125" s="130"/>
      <c r="O125" s="130"/>
      <c r="P125" s="130"/>
      <c r="Q125" s="130"/>
      <c r="R125" s="130"/>
      <c r="S125" s="130"/>
      <c r="T125" s="130"/>
      <c r="U125" s="130"/>
      <c r="V125" s="130"/>
      <c r="W125" s="130" t="s">
        <v>27</v>
      </c>
    </row>
    <row r="126" spans="1:23">
      <c r="A126" s="130">
        <v>45903</v>
      </c>
      <c r="B126" s="130" t="s">
        <v>1454</v>
      </c>
      <c r="C126" s="130" t="s">
        <v>1455</v>
      </c>
      <c r="D126" s="130" t="s">
        <v>202</v>
      </c>
      <c r="E126" s="130">
        <v>85383</v>
      </c>
      <c r="F126" s="130" t="s">
        <v>310</v>
      </c>
      <c r="G126" s="130" t="s">
        <v>1329</v>
      </c>
      <c r="H126" s="130" t="s">
        <v>27</v>
      </c>
      <c r="I126" s="130"/>
      <c r="J126" s="130"/>
      <c r="K126" s="130"/>
      <c r="L126" s="130"/>
      <c r="M126" s="130"/>
      <c r="N126" s="130"/>
      <c r="O126" s="130"/>
      <c r="P126" s="130"/>
      <c r="Q126" s="130"/>
      <c r="R126" s="130"/>
      <c r="S126" s="130"/>
      <c r="T126" s="130"/>
      <c r="U126" s="130"/>
      <c r="V126" s="130"/>
      <c r="W126" s="130" t="s">
        <v>27</v>
      </c>
    </row>
    <row r="127" spans="1:23">
      <c r="A127" s="130">
        <v>45903</v>
      </c>
      <c r="B127" s="130" t="s">
        <v>1456</v>
      </c>
      <c r="C127" s="130" t="s">
        <v>1457</v>
      </c>
      <c r="D127" s="130" t="s">
        <v>202</v>
      </c>
      <c r="E127" s="130">
        <v>85383</v>
      </c>
      <c r="F127" s="130" t="s">
        <v>310</v>
      </c>
      <c r="G127" s="130" t="s">
        <v>1329</v>
      </c>
      <c r="H127" s="130" t="s">
        <v>27</v>
      </c>
      <c r="I127" s="130"/>
      <c r="J127" s="130"/>
      <c r="K127" s="130"/>
      <c r="L127" s="130"/>
      <c r="M127" s="130"/>
      <c r="N127" s="130"/>
      <c r="O127" s="130"/>
      <c r="P127" s="130"/>
      <c r="Q127" s="130"/>
      <c r="R127" s="130"/>
      <c r="S127" s="130"/>
      <c r="T127" s="130"/>
      <c r="U127" s="130"/>
      <c r="V127" s="130"/>
      <c r="W127" s="130" t="s">
        <v>27</v>
      </c>
    </row>
    <row r="128" spans="1:23">
      <c r="A128" s="130">
        <v>45903</v>
      </c>
      <c r="B128" s="130" t="s">
        <v>1461</v>
      </c>
      <c r="C128" s="130" t="s">
        <v>42</v>
      </c>
      <c r="D128" s="130" t="s">
        <v>240</v>
      </c>
      <c r="E128" s="130">
        <v>85340</v>
      </c>
      <c r="F128" s="130" t="s">
        <v>31</v>
      </c>
      <c r="G128" s="130" t="s">
        <v>1329</v>
      </c>
      <c r="H128" s="130" t="s">
        <v>27</v>
      </c>
      <c r="I128" s="130"/>
      <c r="J128" s="130"/>
      <c r="K128" s="130"/>
      <c r="L128" s="130"/>
      <c r="M128" s="130"/>
      <c r="N128" s="130"/>
      <c r="O128" s="130"/>
      <c r="P128" s="130"/>
      <c r="Q128" s="130"/>
      <c r="R128" s="130"/>
      <c r="S128" s="130"/>
      <c r="T128" s="130"/>
      <c r="U128" s="130"/>
      <c r="V128" s="130"/>
      <c r="W128" s="130" t="s">
        <v>27</v>
      </c>
    </row>
    <row r="129" spans="1:23">
      <c r="A129" s="130">
        <v>45903</v>
      </c>
      <c r="B129" s="130" t="s">
        <v>1465</v>
      </c>
      <c r="C129" s="130" t="s">
        <v>145</v>
      </c>
      <c r="D129" s="130" t="s">
        <v>169</v>
      </c>
      <c r="E129" s="130">
        <v>85338</v>
      </c>
      <c r="F129" s="130" t="s">
        <v>31</v>
      </c>
      <c r="G129" s="130" t="s">
        <v>1329</v>
      </c>
      <c r="H129" s="130" t="s">
        <v>27</v>
      </c>
      <c r="I129" s="130"/>
      <c r="J129" s="130"/>
      <c r="K129" s="130"/>
      <c r="L129" s="130"/>
      <c r="M129" s="130"/>
      <c r="N129" s="130"/>
      <c r="O129" s="130"/>
      <c r="P129" s="130"/>
      <c r="Q129" s="130"/>
      <c r="R129" s="130"/>
      <c r="S129" s="130"/>
      <c r="T129" s="130"/>
      <c r="U129" s="130"/>
      <c r="V129" s="130"/>
      <c r="W129" s="130" t="s">
        <v>27</v>
      </c>
    </row>
    <row r="130" spans="1:23">
      <c r="A130" s="130">
        <v>45903</v>
      </c>
      <c r="B130" s="130" t="s">
        <v>1469</v>
      </c>
      <c r="C130" s="130" t="s">
        <v>1470</v>
      </c>
      <c r="D130" s="130" t="s">
        <v>202</v>
      </c>
      <c r="E130" s="130">
        <v>85382</v>
      </c>
      <c r="F130" s="130" t="s">
        <v>31</v>
      </c>
      <c r="G130" s="130" t="s">
        <v>1329</v>
      </c>
      <c r="H130" s="130" t="s">
        <v>27</v>
      </c>
      <c r="I130" s="130"/>
      <c r="J130" s="130"/>
      <c r="K130" s="130"/>
      <c r="L130" s="130"/>
      <c r="M130" s="130"/>
      <c r="N130" s="130"/>
      <c r="O130" s="130"/>
      <c r="P130" s="130"/>
      <c r="Q130" s="130"/>
      <c r="R130" s="130"/>
      <c r="S130" s="130"/>
      <c r="T130" s="130"/>
      <c r="U130" s="130"/>
      <c r="V130" s="130"/>
      <c r="W130" s="130" t="s">
        <v>27</v>
      </c>
    </row>
    <row r="131" spans="1:23">
      <c r="A131" s="130">
        <v>45903</v>
      </c>
      <c r="B131" s="130" t="s">
        <v>1489</v>
      </c>
      <c r="C131" s="130" t="s">
        <v>1490</v>
      </c>
      <c r="D131" s="130" t="s">
        <v>169</v>
      </c>
      <c r="E131" s="130">
        <v>85338</v>
      </c>
      <c r="F131" s="130" t="s">
        <v>31</v>
      </c>
      <c r="G131" s="130" t="s">
        <v>1329</v>
      </c>
      <c r="H131" s="130" t="s">
        <v>27</v>
      </c>
      <c r="I131" s="130"/>
      <c r="J131" s="130"/>
      <c r="K131" s="130"/>
      <c r="L131" s="130"/>
      <c r="M131" s="130"/>
      <c r="N131" s="130"/>
      <c r="O131" s="130"/>
      <c r="P131" s="130"/>
      <c r="Q131" s="130"/>
      <c r="R131" s="130"/>
      <c r="S131" s="130"/>
      <c r="T131" s="130"/>
      <c r="U131" s="130"/>
      <c r="V131" s="130"/>
      <c r="W131" s="130" t="s">
        <v>27</v>
      </c>
    </row>
    <row r="132" spans="1:23">
      <c r="A132" s="130">
        <v>45903</v>
      </c>
      <c r="B132" s="130" t="s">
        <v>1512</v>
      </c>
      <c r="C132" s="130" t="s">
        <v>75</v>
      </c>
      <c r="D132" s="130" t="s">
        <v>63</v>
      </c>
      <c r="E132" s="130">
        <v>85013</v>
      </c>
      <c r="F132" s="130" t="s">
        <v>310</v>
      </c>
      <c r="G132" s="130" t="s">
        <v>1329</v>
      </c>
      <c r="H132" s="130" t="s">
        <v>27</v>
      </c>
      <c r="I132" s="130"/>
      <c r="J132" s="130"/>
      <c r="K132" s="130"/>
      <c r="L132" s="130"/>
      <c r="M132" s="130"/>
      <c r="N132" s="130"/>
      <c r="O132" s="130"/>
      <c r="P132" s="130"/>
      <c r="Q132" s="130"/>
      <c r="R132" s="130"/>
      <c r="S132" s="130"/>
      <c r="T132" s="130"/>
      <c r="U132" s="130"/>
      <c r="V132" s="130"/>
      <c r="W132" s="130" t="s">
        <v>27</v>
      </c>
    </row>
    <row r="133" spans="1:23">
      <c r="A133" s="130">
        <v>45903</v>
      </c>
      <c r="B133" s="130" t="s">
        <v>1513</v>
      </c>
      <c r="C133" s="130" t="s">
        <v>1514</v>
      </c>
      <c r="D133" s="130" t="s">
        <v>63</v>
      </c>
      <c r="E133" s="130">
        <v>85014</v>
      </c>
      <c r="F133" s="130" t="s">
        <v>310</v>
      </c>
      <c r="G133" s="130" t="s">
        <v>1329</v>
      </c>
      <c r="H133" s="130" t="s">
        <v>27</v>
      </c>
      <c r="I133" s="130"/>
      <c r="J133" s="130"/>
      <c r="K133" s="130"/>
      <c r="L133" s="130"/>
      <c r="M133" s="130"/>
      <c r="N133" s="130"/>
      <c r="O133" s="130"/>
      <c r="P133" s="130"/>
      <c r="Q133" s="130"/>
      <c r="R133" s="130"/>
      <c r="S133" s="130"/>
      <c r="T133" s="130"/>
      <c r="U133" s="130"/>
      <c r="V133" s="130"/>
      <c r="W133" s="130" t="s">
        <v>27</v>
      </c>
    </row>
    <row r="134" spans="1:23">
      <c r="A134" s="130">
        <v>45903</v>
      </c>
      <c r="B134" s="130" t="s">
        <v>1549</v>
      </c>
      <c r="C134" s="130" t="s">
        <v>760</v>
      </c>
      <c r="D134" s="130" t="s">
        <v>523</v>
      </c>
      <c r="E134" s="130">
        <v>85392</v>
      </c>
      <c r="F134" s="130" t="s">
        <v>1550</v>
      </c>
      <c r="G134" s="130" t="s">
        <v>1329</v>
      </c>
      <c r="H134" s="130" t="s">
        <v>27</v>
      </c>
      <c r="I134" s="130"/>
      <c r="J134" s="130"/>
      <c r="K134" s="130"/>
      <c r="L134" s="130"/>
      <c r="M134" s="130"/>
      <c r="N134" s="130"/>
      <c r="O134" s="130"/>
      <c r="P134" s="130"/>
      <c r="Q134" s="130"/>
      <c r="R134" s="130"/>
      <c r="S134" s="130"/>
      <c r="T134" s="130"/>
      <c r="U134" s="130"/>
      <c r="V134" s="130"/>
      <c r="W134" s="130" t="s">
        <v>27</v>
      </c>
    </row>
    <row r="135" spans="1:23">
      <c r="A135" s="130">
        <v>45903</v>
      </c>
      <c r="B135" s="130" t="s">
        <v>1551</v>
      </c>
      <c r="C135" s="130" t="s">
        <v>1552</v>
      </c>
      <c r="D135" s="130" t="s">
        <v>635</v>
      </c>
      <c r="E135" s="130">
        <v>85281</v>
      </c>
      <c r="F135" s="130" t="s">
        <v>1553</v>
      </c>
      <c r="G135" s="130" t="s">
        <v>1329</v>
      </c>
      <c r="H135" s="130" t="s">
        <v>27</v>
      </c>
      <c r="I135" s="130"/>
      <c r="J135" s="130"/>
      <c r="K135" s="130"/>
      <c r="L135" s="130"/>
      <c r="M135" s="130"/>
      <c r="N135" s="130"/>
      <c r="O135" s="130"/>
      <c r="P135" s="130"/>
      <c r="Q135" s="130"/>
      <c r="R135" s="130"/>
      <c r="S135" s="130"/>
      <c r="T135" s="130"/>
      <c r="U135" s="130"/>
      <c r="V135" s="130"/>
      <c r="W135" s="130" t="s">
        <v>27</v>
      </c>
    </row>
    <row r="136" spans="1:23">
      <c r="A136" s="130">
        <v>45903</v>
      </c>
      <c r="B136" s="130" t="s">
        <v>1590</v>
      </c>
      <c r="C136" s="130" t="s">
        <v>1591</v>
      </c>
      <c r="D136" s="130" t="s">
        <v>202</v>
      </c>
      <c r="E136" s="130">
        <v>85383</v>
      </c>
      <c r="F136" s="130" t="s">
        <v>31</v>
      </c>
      <c r="G136" s="130" t="s">
        <v>1329</v>
      </c>
      <c r="H136" s="130" t="s">
        <v>27</v>
      </c>
      <c r="I136" s="130"/>
      <c r="J136" s="130"/>
      <c r="K136" s="130"/>
      <c r="L136" s="130"/>
      <c r="M136" s="130"/>
      <c r="N136" s="130"/>
      <c r="O136" s="130"/>
      <c r="P136" s="130"/>
      <c r="Q136" s="130"/>
      <c r="R136" s="130"/>
      <c r="S136" s="130"/>
      <c r="T136" s="130"/>
      <c r="U136" s="130"/>
      <c r="V136" s="130"/>
      <c r="W136" s="130" t="s">
        <v>27</v>
      </c>
    </row>
    <row r="137" spans="1:23">
      <c r="A137" s="130">
        <v>45903</v>
      </c>
      <c r="B137" s="130" t="s">
        <v>1134</v>
      </c>
      <c r="C137" s="130" t="s">
        <v>1606</v>
      </c>
      <c r="D137" s="130" t="s">
        <v>880</v>
      </c>
      <c r="E137" s="130">
        <v>85086</v>
      </c>
      <c r="F137" s="130" t="s">
        <v>31</v>
      </c>
      <c r="G137" s="130" t="s">
        <v>1593</v>
      </c>
      <c r="H137" s="130" t="s">
        <v>27</v>
      </c>
      <c r="I137" s="130"/>
      <c r="J137" s="130"/>
      <c r="K137" s="130"/>
      <c r="L137" s="130"/>
      <c r="M137" s="130"/>
      <c r="N137" s="130"/>
      <c r="O137" s="130"/>
      <c r="P137" s="130"/>
      <c r="Q137" s="130"/>
      <c r="R137" s="130"/>
      <c r="S137" s="130"/>
      <c r="T137" s="130"/>
      <c r="U137" s="130"/>
      <c r="V137" s="130"/>
      <c r="W137" s="130" t="s">
        <v>27</v>
      </c>
    </row>
    <row r="138" spans="1:23">
      <c r="A138" s="130">
        <v>45903</v>
      </c>
      <c r="B138" s="130" t="s">
        <v>1063</v>
      </c>
      <c r="C138" s="130" t="s">
        <v>624</v>
      </c>
      <c r="D138" s="130" t="s">
        <v>202</v>
      </c>
      <c r="E138" s="130">
        <v>85345</v>
      </c>
      <c r="F138" s="130" t="s">
        <v>310</v>
      </c>
      <c r="G138" s="130" t="s">
        <v>1593</v>
      </c>
      <c r="H138" s="130" t="s">
        <v>27</v>
      </c>
      <c r="I138" s="130"/>
      <c r="J138" s="130"/>
      <c r="K138" s="130"/>
      <c r="L138" s="130"/>
      <c r="M138" s="130"/>
      <c r="N138" s="130"/>
      <c r="O138" s="130"/>
      <c r="P138" s="130"/>
      <c r="Q138" s="130"/>
      <c r="R138" s="130"/>
      <c r="S138" s="130"/>
      <c r="T138" s="130"/>
      <c r="U138" s="130"/>
      <c r="V138" s="130"/>
      <c r="W138" s="130" t="s">
        <v>27</v>
      </c>
    </row>
    <row r="139" spans="1:23">
      <c r="A139" s="130">
        <v>45903</v>
      </c>
      <c r="B139" s="130" t="s">
        <v>1613</v>
      </c>
      <c r="C139" s="130" t="s">
        <v>1614</v>
      </c>
      <c r="D139" s="130" t="s">
        <v>1615</v>
      </c>
      <c r="E139" s="130">
        <v>85131</v>
      </c>
      <c r="F139" s="130" t="s">
        <v>31</v>
      </c>
      <c r="G139" s="130" t="s">
        <v>1593</v>
      </c>
      <c r="H139" s="130" t="s">
        <v>27</v>
      </c>
      <c r="I139" s="130"/>
      <c r="J139" s="130"/>
      <c r="K139" s="130"/>
      <c r="L139" s="130"/>
      <c r="M139" s="130"/>
      <c r="N139" s="130"/>
      <c r="O139" s="130"/>
      <c r="P139" s="130"/>
      <c r="Q139" s="130"/>
      <c r="R139" s="130"/>
      <c r="S139" s="130"/>
      <c r="T139" s="130"/>
      <c r="U139" s="130"/>
      <c r="V139" s="130"/>
      <c r="W139" s="130" t="s">
        <v>27</v>
      </c>
    </row>
    <row r="140" spans="1:23">
      <c r="A140" s="130">
        <v>45903</v>
      </c>
      <c r="B140" s="130" t="s">
        <v>1626</v>
      </c>
      <c r="C140" s="130" t="s">
        <v>1238</v>
      </c>
      <c r="D140" s="130" t="s">
        <v>63</v>
      </c>
      <c r="E140" s="130">
        <v>85020</v>
      </c>
      <c r="F140" s="130" t="s">
        <v>31</v>
      </c>
      <c r="G140" s="130" t="s">
        <v>1593</v>
      </c>
      <c r="H140" s="130" t="s">
        <v>90</v>
      </c>
      <c r="I140" s="130"/>
      <c r="J140" s="130"/>
      <c r="K140" s="130"/>
      <c r="L140" s="130"/>
      <c r="M140" s="130"/>
      <c r="N140" s="130"/>
      <c r="O140" s="130"/>
      <c r="P140" s="130"/>
      <c r="Q140" s="130"/>
      <c r="R140" s="130"/>
      <c r="S140" s="130"/>
      <c r="T140" s="130"/>
      <c r="U140" s="130"/>
      <c r="V140" s="130"/>
      <c r="W140" s="130" t="s">
        <v>90</v>
      </c>
    </row>
    <row r="141" spans="1:23">
      <c r="A141" s="130">
        <v>45903</v>
      </c>
      <c r="B141" s="130" t="s">
        <v>1633</v>
      </c>
      <c r="C141" s="130" t="s">
        <v>1634</v>
      </c>
      <c r="D141" s="130" t="s">
        <v>63</v>
      </c>
      <c r="E141" s="130">
        <v>85024</v>
      </c>
      <c r="F141" s="130" t="s">
        <v>1635</v>
      </c>
      <c r="G141" s="130" t="s">
        <v>1593</v>
      </c>
      <c r="H141" s="130" t="s">
        <v>27</v>
      </c>
      <c r="I141" s="130"/>
      <c r="J141" s="130"/>
      <c r="K141" s="130"/>
      <c r="L141" s="130"/>
      <c r="M141" s="130"/>
      <c r="N141" s="130"/>
      <c r="O141" s="130"/>
      <c r="P141" s="130"/>
      <c r="Q141" s="130"/>
      <c r="R141" s="130"/>
      <c r="S141" s="130"/>
      <c r="T141" s="130"/>
      <c r="U141" s="130"/>
      <c r="V141" s="130"/>
      <c r="W141" s="130" t="s">
        <v>27</v>
      </c>
    </row>
    <row r="142" spans="1:23">
      <c r="A142" s="130">
        <v>45903</v>
      </c>
      <c r="B142" s="130" t="s">
        <v>1636</v>
      </c>
      <c r="C142" s="130" t="s">
        <v>1637</v>
      </c>
      <c r="D142" s="130" t="s">
        <v>174</v>
      </c>
      <c r="E142" s="130">
        <v>85396</v>
      </c>
      <c r="F142" s="130" t="s">
        <v>31</v>
      </c>
      <c r="G142" s="130" t="s">
        <v>1593</v>
      </c>
      <c r="H142" s="130" t="s">
        <v>27</v>
      </c>
      <c r="I142" s="130"/>
      <c r="J142" s="130"/>
      <c r="K142" s="130"/>
      <c r="L142" s="130"/>
      <c r="M142" s="130"/>
      <c r="N142" s="130"/>
      <c r="O142" s="130"/>
      <c r="P142" s="130"/>
      <c r="Q142" s="130"/>
      <c r="R142" s="130"/>
      <c r="S142" s="130"/>
      <c r="T142" s="130"/>
      <c r="U142" s="130"/>
      <c r="V142" s="130"/>
      <c r="W142" s="130" t="s">
        <v>27</v>
      </c>
    </row>
    <row r="143" spans="1:23">
      <c r="A143" s="130">
        <v>45904</v>
      </c>
      <c r="B143" s="130" t="s">
        <v>1673</v>
      </c>
      <c r="C143" s="130" t="s">
        <v>1674</v>
      </c>
      <c r="D143" s="130" t="s">
        <v>63</v>
      </c>
      <c r="E143" s="130">
        <v>85085</v>
      </c>
      <c r="F143" s="130" t="s">
        <v>31</v>
      </c>
      <c r="G143" s="130" t="s">
        <v>1593</v>
      </c>
      <c r="H143" s="130" t="s">
        <v>27</v>
      </c>
      <c r="I143" s="130"/>
      <c r="J143" s="130"/>
      <c r="K143" s="130"/>
      <c r="L143" s="130"/>
      <c r="M143" s="130"/>
      <c r="N143" s="130"/>
      <c r="O143" s="130"/>
      <c r="P143" s="130"/>
      <c r="Q143" s="130"/>
      <c r="R143" s="130"/>
      <c r="S143" s="130"/>
      <c r="T143" s="130"/>
      <c r="U143" s="130"/>
      <c r="V143" s="130"/>
      <c r="W143" s="130" t="s">
        <v>27</v>
      </c>
    </row>
    <row r="144" spans="1:23">
      <c r="A144" s="130">
        <v>45904</v>
      </c>
      <c r="B144" s="130" t="s">
        <v>1678</v>
      </c>
      <c r="C144" s="130" t="s">
        <v>420</v>
      </c>
      <c r="D144" s="130" t="s">
        <v>24</v>
      </c>
      <c r="E144" s="130">
        <v>85310</v>
      </c>
      <c r="F144" s="130" t="s">
        <v>31</v>
      </c>
      <c r="G144" s="130" t="s">
        <v>1593</v>
      </c>
      <c r="H144" s="130" t="s">
        <v>27</v>
      </c>
      <c r="I144" s="130"/>
      <c r="J144" s="130"/>
      <c r="K144" s="130"/>
      <c r="L144" s="130"/>
      <c r="M144" s="130"/>
      <c r="N144" s="130"/>
      <c r="O144" s="130"/>
      <c r="P144" s="130"/>
      <c r="Q144" s="130"/>
      <c r="R144" s="130"/>
      <c r="S144" s="130"/>
      <c r="T144" s="130"/>
      <c r="U144" s="130"/>
      <c r="V144" s="130"/>
      <c r="W144" s="130" t="s">
        <v>27</v>
      </c>
    </row>
    <row r="145" spans="1:23">
      <c r="A145" s="130">
        <v>45904</v>
      </c>
      <c r="B145" s="130" t="s">
        <v>1692</v>
      </c>
      <c r="C145" s="130" t="s">
        <v>1475</v>
      </c>
      <c r="D145" s="130" t="s">
        <v>1693</v>
      </c>
      <c r="E145" s="130">
        <v>85373</v>
      </c>
      <c r="F145" s="130" t="s">
        <v>310</v>
      </c>
      <c r="G145" s="130" t="s">
        <v>1593</v>
      </c>
      <c r="H145" s="130" t="s">
        <v>27</v>
      </c>
      <c r="I145" s="130"/>
      <c r="J145" s="130"/>
      <c r="K145" s="130"/>
      <c r="L145" s="130"/>
      <c r="M145" s="130"/>
      <c r="N145" s="130"/>
      <c r="O145" s="130"/>
      <c r="P145" s="130"/>
      <c r="Q145" s="130"/>
      <c r="R145" s="130"/>
      <c r="S145" s="130"/>
      <c r="T145" s="130"/>
      <c r="U145" s="130"/>
      <c r="V145" s="130"/>
      <c r="W145" s="130" t="s">
        <v>27</v>
      </c>
    </row>
    <row r="146" spans="1:23">
      <c r="A146" s="130">
        <v>55766</v>
      </c>
      <c r="B146" s="130" t="s">
        <v>1703</v>
      </c>
      <c r="C146" s="130" t="s">
        <v>1704</v>
      </c>
      <c r="D146" s="130" t="s">
        <v>24</v>
      </c>
      <c r="E146" s="130">
        <v>85310</v>
      </c>
      <c r="F146" s="130" t="s">
        <v>31</v>
      </c>
      <c r="G146" s="130" t="s">
        <v>1705</v>
      </c>
      <c r="H146" s="130" t="s">
        <v>27</v>
      </c>
      <c r="I146" s="130"/>
      <c r="J146" s="130"/>
      <c r="K146" s="130"/>
      <c r="L146" s="130"/>
      <c r="M146" s="130"/>
      <c r="N146" s="130"/>
      <c r="O146" s="130"/>
      <c r="P146" s="130"/>
      <c r="Q146" s="130"/>
      <c r="R146" s="130"/>
      <c r="S146" s="130"/>
      <c r="T146" s="130"/>
      <c r="U146" s="130"/>
      <c r="V146" s="130"/>
      <c r="W146" s="130" t="s">
        <v>27</v>
      </c>
    </row>
    <row r="147" spans="1:23">
      <c r="A147" s="130">
        <v>45904</v>
      </c>
      <c r="B147" s="130" t="s">
        <v>1708</v>
      </c>
      <c r="C147" s="130" t="s">
        <v>1709</v>
      </c>
      <c r="D147" s="130" t="s">
        <v>63</v>
      </c>
      <c r="E147" s="130"/>
      <c r="F147" s="130"/>
      <c r="G147" s="130" t="s">
        <v>1705</v>
      </c>
      <c r="H147" s="130" t="s">
        <v>90</v>
      </c>
      <c r="I147" s="130"/>
      <c r="J147" s="130"/>
      <c r="K147" s="130"/>
      <c r="L147" s="130"/>
      <c r="M147" s="130"/>
      <c r="N147" s="130"/>
      <c r="O147" s="130"/>
      <c r="P147" s="130"/>
      <c r="Q147" s="130"/>
      <c r="R147" s="130"/>
      <c r="S147" s="130"/>
      <c r="T147" s="130"/>
      <c r="U147" s="130"/>
      <c r="V147" s="130"/>
      <c r="W147" s="130" t="s">
        <v>90</v>
      </c>
    </row>
    <row r="148" spans="1:23">
      <c r="A148" s="130">
        <v>45904</v>
      </c>
      <c r="B148" s="130" t="s">
        <v>1715</v>
      </c>
      <c r="C148" s="130" t="s">
        <v>1716</v>
      </c>
      <c r="D148" s="130"/>
      <c r="E148" s="130"/>
      <c r="F148" s="130"/>
      <c r="G148" s="130" t="s">
        <v>1705</v>
      </c>
      <c r="H148" s="130" t="s">
        <v>27</v>
      </c>
      <c r="I148" s="130"/>
      <c r="J148" s="130"/>
      <c r="K148" s="130"/>
      <c r="L148" s="130"/>
      <c r="M148" s="130"/>
      <c r="N148" s="130"/>
      <c r="O148" s="130"/>
      <c r="P148" s="130"/>
      <c r="Q148" s="130"/>
      <c r="R148" s="130"/>
      <c r="S148" s="130"/>
      <c r="T148" s="130"/>
      <c r="U148" s="130" t="s">
        <v>1717</v>
      </c>
      <c r="V148" s="130"/>
      <c r="W148" s="130" t="s">
        <v>27</v>
      </c>
    </row>
    <row r="149" spans="1:23">
      <c r="A149" s="130">
        <v>45905</v>
      </c>
      <c r="B149" s="130" t="s">
        <v>1724</v>
      </c>
      <c r="C149" s="130" t="s">
        <v>479</v>
      </c>
      <c r="D149" s="130" t="s">
        <v>125</v>
      </c>
      <c r="E149" s="130">
        <v>85254</v>
      </c>
      <c r="F149" s="130" t="s">
        <v>310</v>
      </c>
      <c r="G149" s="130" t="s">
        <v>1723</v>
      </c>
      <c r="H149" s="130" t="s">
        <v>27</v>
      </c>
      <c r="I149" s="130"/>
      <c r="J149" s="130"/>
      <c r="K149" s="130"/>
      <c r="L149" s="130"/>
      <c r="M149" s="130"/>
      <c r="N149" s="130"/>
      <c r="O149" s="130"/>
      <c r="P149" s="130"/>
      <c r="Q149" s="130"/>
      <c r="R149" s="130"/>
      <c r="S149" s="130"/>
      <c r="T149" s="130"/>
      <c r="U149" s="130"/>
      <c r="V149" s="130"/>
      <c r="W149" s="130" t="s">
        <v>27</v>
      </c>
    </row>
    <row r="150" spans="1:23">
      <c r="A150" s="130">
        <v>45905</v>
      </c>
      <c r="B150" s="130" t="s">
        <v>1752</v>
      </c>
      <c r="C150" s="130" t="s">
        <v>1753</v>
      </c>
      <c r="D150" s="130" t="s">
        <v>169</v>
      </c>
      <c r="E150" s="130">
        <v>85395</v>
      </c>
      <c r="F150" s="130" t="s">
        <v>25</v>
      </c>
      <c r="G150" s="130" t="s">
        <v>1723</v>
      </c>
      <c r="H150" s="130" t="s">
        <v>27</v>
      </c>
      <c r="I150" s="130"/>
      <c r="J150" s="130"/>
      <c r="K150" s="130"/>
      <c r="L150" s="130"/>
      <c r="M150" s="130"/>
      <c r="N150" s="130"/>
      <c r="O150" s="130"/>
      <c r="P150" s="130"/>
      <c r="Q150" s="130"/>
      <c r="R150" s="130"/>
      <c r="S150" s="130"/>
      <c r="T150" s="130"/>
      <c r="U150" s="130"/>
      <c r="V150" s="130"/>
      <c r="W150" s="130" t="s">
        <v>27</v>
      </c>
    </row>
    <row r="151" spans="1:23">
      <c r="A151" s="130">
        <v>45905</v>
      </c>
      <c r="B151" s="130" t="s">
        <v>1757</v>
      </c>
      <c r="C151" s="130" t="s">
        <v>1758</v>
      </c>
      <c r="D151" s="130" t="s">
        <v>202</v>
      </c>
      <c r="E151" s="130">
        <v>85383</v>
      </c>
      <c r="F151" s="130" t="s">
        <v>310</v>
      </c>
      <c r="G151" s="130" t="s">
        <v>1723</v>
      </c>
      <c r="H151" s="130" t="s">
        <v>27</v>
      </c>
      <c r="I151" s="130"/>
      <c r="J151" s="130"/>
      <c r="K151" s="130"/>
      <c r="L151" s="130"/>
      <c r="M151" s="130"/>
      <c r="N151" s="130"/>
      <c r="O151" s="130"/>
      <c r="P151" s="130"/>
      <c r="Q151" s="130"/>
      <c r="R151" s="130"/>
      <c r="S151" s="130"/>
      <c r="T151" s="130"/>
      <c r="U151" s="130"/>
      <c r="V151" s="130"/>
      <c r="W151" s="130" t="s">
        <v>27</v>
      </c>
    </row>
    <row r="152" spans="1:23">
      <c r="A152" s="130">
        <v>45905</v>
      </c>
      <c r="B152" s="130" t="s">
        <v>1775</v>
      </c>
      <c r="C152" s="130" t="s">
        <v>911</v>
      </c>
      <c r="D152" s="130" t="s">
        <v>63</v>
      </c>
      <c r="E152" s="130">
        <v>85085</v>
      </c>
      <c r="F152" s="130" t="s">
        <v>310</v>
      </c>
      <c r="G152" s="130" t="s">
        <v>1723</v>
      </c>
      <c r="H152" s="130" t="s">
        <v>27</v>
      </c>
      <c r="I152" s="130"/>
      <c r="J152" s="130"/>
      <c r="K152" s="130"/>
      <c r="L152" s="130"/>
      <c r="M152" s="130"/>
      <c r="N152" s="130"/>
      <c r="O152" s="130"/>
      <c r="P152" s="130"/>
      <c r="Q152" s="130"/>
      <c r="R152" s="130"/>
      <c r="S152" s="130"/>
      <c r="T152" s="130"/>
      <c r="U152" s="130"/>
      <c r="V152" s="130"/>
      <c r="W152" s="130" t="s">
        <v>27</v>
      </c>
    </row>
    <row r="153" spans="1:23">
      <c r="A153" s="130">
        <v>45905</v>
      </c>
      <c r="B153" s="130" t="s">
        <v>886</v>
      </c>
      <c r="C153" s="130" t="s">
        <v>1785</v>
      </c>
      <c r="D153" s="130" t="s">
        <v>63</v>
      </c>
      <c r="E153" s="130">
        <v>85029</v>
      </c>
      <c r="F153" s="130" t="s">
        <v>31</v>
      </c>
      <c r="G153" s="130" t="s">
        <v>1723</v>
      </c>
      <c r="H153" s="130" t="s">
        <v>27</v>
      </c>
      <c r="I153" s="130"/>
      <c r="J153" s="130"/>
      <c r="K153" s="130"/>
      <c r="L153" s="130"/>
      <c r="M153" s="130"/>
      <c r="N153" s="130"/>
      <c r="O153" s="130"/>
      <c r="P153" s="130"/>
      <c r="Q153" s="130"/>
      <c r="R153" s="130"/>
      <c r="S153" s="130"/>
      <c r="T153" s="130"/>
      <c r="U153" s="130"/>
      <c r="V153" s="130"/>
      <c r="W153" s="130" t="s">
        <v>27</v>
      </c>
    </row>
    <row r="154" spans="1:23">
      <c r="A154" s="130">
        <v>45905</v>
      </c>
      <c r="B154" s="130" t="s">
        <v>1801</v>
      </c>
      <c r="C154" s="130" t="s">
        <v>1802</v>
      </c>
      <c r="D154" s="130" t="s">
        <v>63</v>
      </c>
      <c r="E154" s="130">
        <v>85024</v>
      </c>
      <c r="F154" s="130" t="s">
        <v>310</v>
      </c>
      <c r="G154" s="130" t="s">
        <v>1723</v>
      </c>
      <c r="H154" s="130" t="s">
        <v>27</v>
      </c>
      <c r="I154" s="130"/>
      <c r="J154" s="130"/>
      <c r="K154" s="130"/>
      <c r="L154" s="130"/>
      <c r="M154" s="130"/>
      <c r="N154" s="130"/>
      <c r="O154" s="130"/>
      <c r="P154" s="130"/>
      <c r="Q154" s="130"/>
      <c r="R154" s="130"/>
      <c r="S154" s="130"/>
      <c r="T154" s="130"/>
      <c r="U154" s="130"/>
      <c r="V154" s="130"/>
      <c r="W154" s="130" t="s">
        <v>27</v>
      </c>
    </row>
    <row r="155" spans="1:23">
      <c r="A155" s="130">
        <v>45905</v>
      </c>
      <c r="B155" s="130" t="s">
        <v>1811</v>
      </c>
      <c r="C155" s="130" t="s">
        <v>733</v>
      </c>
      <c r="D155" s="130" t="s">
        <v>63</v>
      </c>
      <c r="E155" s="130">
        <v>85054</v>
      </c>
      <c r="F155" s="130" t="s">
        <v>310</v>
      </c>
      <c r="G155" s="130" t="s">
        <v>1723</v>
      </c>
      <c r="H155" s="130" t="s">
        <v>27</v>
      </c>
      <c r="I155" s="130"/>
      <c r="J155" s="130"/>
      <c r="K155" s="130"/>
      <c r="L155" s="130"/>
      <c r="M155" s="130"/>
      <c r="N155" s="130"/>
      <c r="O155" s="130"/>
      <c r="P155" s="130"/>
      <c r="Q155" s="130"/>
      <c r="R155" s="130"/>
      <c r="S155" s="130"/>
      <c r="T155" s="130"/>
      <c r="U155" s="130"/>
      <c r="V155" s="130"/>
      <c r="W155" s="130" t="s">
        <v>27</v>
      </c>
    </row>
    <row r="156" spans="1:23">
      <c r="A156" s="130">
        <v>45905</v>
      </c>
      <c r="B156" s="130" t="s">
        <v>1838</v>
      </c>
      <c r="C156" s="130" t="s">
        <v>346</v>
      </c>
      <c r="D156" s="130" t="s">
        <v>63</v>
      </c>
      <c r="E156" s="130">
        <v>85087</v>
      </c>
      <c r="F156" s="130" t="s">
        <v>310</v>
      </c>
      <c r="G156" s="130" t="s">
        <v>1723</v>
      </c>
      <c r="H156" s="130" t="s">
        <v>27</v>
      </c>
      <c r="I156" s="130"/>
      <c r="J156" s="130"/>
      <c r="K156" s="130"/>
      <c r="L156" s="130"/>
      <c r="M156" s="130"/>
      <c r="N156" s="130"/>
      <c r="O156" s="130"/>
      <c r="P156" s="130"/>
      <c r="Q156" s="130"/>
      <c r="R156" s="130"/>
      <c r="S156" s="130"/>
      <c r="T156" s="130"/>
      <c r="U156" s="130"/>
      <c r="V156" s="130"/>
      <c r="W156" s="130" t="s">
        <v>27</v>
      </c>
    </row>
    <row r="157" spans="1:23">
      <c r="A157" s="130">
        <v>45905</v>
      </c>
      <c r="B157" s="130" t="s">
        <v>1843</v>
      </c>
      <c r="C157" s="130" t="s">
        <v>1844</v>
      </c>
      <c r="D157" s="130" t="s">
        <v>63</v>
      </c>
      <c r="E157" s="130">
        <v>85028</v>
      </c>
      <c r="F157" s="130" t="s">
        <v>1845</v>
      </c>
      <c r="G157" s="130" t="s">
        <v>1723</v>
      </c>
      <c r="H157" s="130" t="s">
        <v>90</v>
      </c>
      <c r="I157" s="130"/>
      <c r="J157" s="130"/>
      <c r="K157" s="130"/>
      <c r="L157" s="130"/>
      <c r="M157" s="130"/>
      <c r="N157" s="130"/>
      <c r="O157" s="130"/>
      <c r="P157" s="130"/>
      <c r="Q157" s="130"/>
      <c r="R157" s="130"/>
      <c r="S157" s="130"/>
      <c r="T157" s="130"/>
      <c r="U157" s="130"/>
      <c r="V157" s="130"/>
      <c r="W157" s="130" t="s">
        <v>90</v>
      </c>
    </row>
    <row r="158" spans="1:23">
      <c r="A158" s="130">
        <v>45905</v>
      </c>
      <c r="B158" s="130" t="s">
        <v>1182</v>
      </c>
      <c r="C158" s="130" t="s">
        <v>1868</v>
      </c>
      <c r="D158" s="130" t="s">
        <v>63</v>
      </c>
      <c r="E158" s="130">
        <v>85054</v>
      </c>
      <c r="F158" s="130" t="s">
        <v>31</v>
      </c>
      <c r="G158" s="130" t="s">
        <v>1723</v>
      </c>
      <c r="H158" s="130" t="s">
        <v>27</v>
      </c>
      <c r="I158" s="130"/>
      <c r="J158" s="130"/>
      <c r="K158" s="130"/>
      <c r="L158" s="130"/>
      <c r="M158" s="130"/>
      <c r="N158" s="130"/>
      <c r="O158" s="130"/>
      <c r="P158" s="130"/>
      <c r="Q158" s="130"/>
      <c r="R158" s="130"/>
      <c r="S158" s="130"/>
      <c r="T158" s="130"/>
      <c r="U158" s="130"/>
      <c r="V158" s="130"/>
      <c r="W158" s="130" t="s">
        <v>27</v>
      </c>
    </row>
    <row r="159" spans="1:23">
      <c r="A159" s="130">
        <v>45905</v>
      </c>
      <c r="B159" s="130" t="s">
        <v>1869</v>
      </c>
      <c r="C159" s="130" t="s">
        <v>1870</v>
      </c>
      <c r="D159" s="130" t="s">
        <v>619</v>
      </c>
      <c r="E159" s="130">
        <v>85365</v>
      </c>
      <c r="F159" s="130" t="s">
        <v>310</v>
      </c>
      <c r="G159" s="130" t="s">
        <v>1723</v>
      </c>
      <c r="H159" s="130" t="s">
        <v>27</v>
      </c>
      <c r="I159" s="130"/>
      <c r="J159" s="130"/>
      <c r="K159" s="130"/>
      <c r="L159" s="130"/>
      <c r="M159" s="130"/>
      <c r="N159" s="130"/>
      <c r="O159" s="130"/>
      <c r="P159" s="130"/>
      <c r="Q159" s="130"/>
      <c r="R159" s="130"/>
      <c r="S159" s="130"/>
      <c r="T159" s="130"/>
      <c r="U159" s="130"/>
      <c r="V159" s="130"/>
      <c r="W159" s="130" t="s">
        <v>27</v>
      </c>
    </row>
    <row r="160" spans="1:23">
      <c r="A160" s="130">
        <v>45905</v>
      </c>
      <c r="B160" s="130" t="s">
        <v>1888</v>
      </c>
      <c r="C160" s="130" t="s">
        <v>1889</v>
      </c>
      <c r="D160" s="130" t="s">
        <v>125</v>
      </c>
      <c r="E160" s="130">
        <v>85254</v>
      </c>
      <c r="F160" s="130" t="s">
        <v>31</v>
      </c>
      <c r="G160" s="130" t="s">
        <v>1723</v>
      </c>
      <c r="H160" s="130" t="s">
        <v>27</v>
      </c>
      <c r="I160" s="130"/>
      <c r="J160" s="130"/>
      <c r="K160" s="130"/>
      <c r="L160" s="130"/>
      <c r="M160" s="130"/>
      <c r="N160" s="130"/>
      <c r="O160" s="130"/>
      <c r="P160" s="130"/>
      <c r="Q160" s="130"/>
      <c r="R160" s="130"/>
      <c r="S160" s="130"/>
      <c r="T160" s="130"/>
      <c r="U160" s="130"/>
      <c r="V160" s="130"/>
      <c r="W160" s="130" t="s">
        <v>27</v>
      </c>
    </row>
    <row r="161" spans="1:23">
      <c r="A161" s="130">
        <v>45905</v>
      </c>
      <c r="B161" s="130" t="s">
        <v>1913</v>
      </c>
      <c r="C161" s="130" t="s">
        <v>1914</v>
      </c>
      <c r="D161" s="130" t="s">
        <v>169</v>
      </c>
      <c r="E161" s="130">
        <v>85338</v>
      </c>
      <c r="F161" s="130" t="s">
        <v>310</v>
      </c>
      <c r="G161" s="130" t="s">
        <v>1723</v>
      </c>
      <c r="H161" s="130" t="s">
        <v>27</v>
      </c>
      <c r="I161" s="130"/>
      <c r="J161" s="130"/>
      <c r="K161" s="130"/>
      <c r="L161" s="130"/>
      <c r="M161" s="130"/>
      <c r="N161" s="130"/>
      <c r="O161" s="130"/>
      <c r="P161" s="130"/>
      <c r="Q161" s="130"/>
      <c r="R161" s="130"/>
      <c r="S161" s="130"/>
      <c r="T161" s="130"/>
      <c r="U161" s="130"/>
      <c r="V161" s="130"/>
      <c r="W161" s="130" t="s">
        <v>27</v>
      </c>
    </row>
    <row r="162" spans="1:23">
      <c r="A162" s="130">
        <v>45905</v>
      </c>
      <c r="B162" s="130" t="s">
        <v>1917</v>
      </c>
      <c r="C162" s="130" t="s">
        <v>1918</v>
      </c>
      <c r="D162" s="130" t="s">
        <v>1919</v>
      </c>
      <c r="E162" s="130">
        <v>85202</v>
      </c>
      <c r="F162" s="130" t="s">
        <v>31</v>
      </c>
      <c r="G162" s="130" t="s">
        <v>1723</v>
      </c>
      <c r="H162" s="130" t="s">
        <v>90</v>
      </c>
      <c r="I162" s="130"/>
      <c r="J162" s="130"/>
      <c r="K162" s="130"/>
      <c r="L162" s="130"/>
      <c r="M162" s="130"/>
      <c r="N162" s="130"/>
      <c r="O162" s="130"/>
      <c r="P162" s="130"/>
      <c r="Q162" s="130"/>
      <c r="R162" s="130"/>
      <c r="S162" s="130"/>
      <c r="T162" s="130"/>
      <c r="U162" s="130"/>
      <c r="V162" s="130"/>
      <c r="W162" s="130" t="s">
        <v>90</v>
      </c>
    </row>
    <row r="163" spans="1:23">
      <c r="A163" s="130">
        <v>45905</v>
      </c>
      <c r="B163" s="130" t="s">
        <v>1208</v>
      </c>
      <c r="C163" s="130" t="s">
        <v>1209</v>
      </c>
      <c r="D163" s="130" t="s">
        <v>202</v>
      </c>
      <c r="E163" s="130">
        <v>85383</v>
      </c>
      <c r="F163" s="130" t="s">
        <v>1966</v>
      </c>
      <c r="G163" s="130" t="s">
        <v>1723</v>
      </c>
      <c r="H163" s="130" t="s">
        <v>90</v>
      </c>
      <c r="I163" s="130"/>
      <c r="J163" s="130"/>
      <c r="K163" s="130"/>
      <c r="L163" s="130"/>
      <c r="M163" s="130"/>
      <c r="N163" s="130"/>
      <c r="O163" s="130"/>
      <c r="P163" s="130"/>
      <c r="Q163" s="130"/>
      <c r="R163" s="130"/>
      <c r="S163" s="130"/>
      <c r="T163" s="130"/>
      <c r="U163" s="130"/>
      <c r="V163" s="130"/>
      <c r="W163" s="130" t="s">
        <v>90</v>
      </c>
    </row>
    <row r="164" spans="1:23">
      <c r="A164" s="130">
        <v>45905</v>
      </c>
      <c r="B164" s="130" t="s">
        <v>1984</v>
      </c>
      <c r="C164" s="130" t="s">
        <v>1985</v>
      </c>
      <c r="D164" s="130" t="s">
        <v>202</v>
      </c>
      <c r="E164" s="130">
        <v>85383</v>
      </c>
      <c r="F164" s="130" t="s">
        <v>310</v>
      </c>
      <c r="G164" s="130" t="s">
        <v>1723</v>
      </c>
      <c r="H164" s="130" t="s">
        <v>27</v>
      </c>
      <c r="I164" s="130"/>
      <c r="J164" s="130"/>
      <c r="K164" s="130"/>
      <c r="L164" s="130"/>
      <c r="M164" s="130"/>
      <c r="N164" s="130"/>
      <c r="O164" s="130"/>
      <c r="P164" s="130"/>
      <c r="Q164" s="130"/>
      <c r="R164" s="130"/>
      <c r="S164" s="130"/>
      <c r="T164" s="130"/>
      <c r="U164" s="130"/>
      <c r="V164" s="130"/>
      <c r="W164" s="130" t="s">
        <v>27</v>
      </c>
    </row>
    <row r="165" spans="1:23">
      <c r="A165" s="130">
        <v>45905</v>
      </c>
      <c r="B165" s="130" t="s">
        <v>1686</v>
      </c>
      <c r="C165" s="130" t="s">
        <v>548</v>
      </c>
      <c r="D165" s="130" t="s">
        <v>63</v>
      </c>
      <c r="E165" s="130">
        <v>85007</v>
      </c>
      <c r="F165" s="130" t="s">
        <v>310</v>
      </c>
      <c r="G165" s="130" t="s">
        <v>1723</v>
      </c>
      <c r="H165" s="130" t="s">
        <v>27</v>
      </c>
      <c r="I165" s="130"/>
      <c r="J165" s="130"/>
      <c r="K165" s="130"/>
      <c r="L165" s="130"/>
      <c r="M165" s="130"/>
      <c r="N165" s="130"/>
      <c r="O165" s="130"/>
      <c r="P165" s="130"/>
      <c r="Q165" s="130"/>
      <c r="R165" s="130"/>
      <c r="S165" s="130"/>
      <c r="T165" s="130"/>
      <c r="U165" s="130"/>
      <c r="V165" s="130"/>
      <c r="W165" s="130" t="s">
        <v>27</v>
      </c>
    </row>
    <row r="166" spans="1:23">
      <c r="A166" s="130">
        <v>45905</v>
      </c>
      <c r="B166" s="130" t="s">
        <v>2033</v>
      </c>
      <c r="C166" s="130" t="s">
        <v>2034</v>
      </c>
      <c r="D166" s="130" t="s">
        <v>112</v>
      </c>
      <c r="E166" s="130">
        <v>85374</v>
      </c>
      <c r="F166" s="130" t="s">
        <v>310</v>
      </c>
      <c r="G166" s="130" t="s">
        <v>1723</v>
      </c>
      <c r="H166" s="130" t="s">
        <v>90</v>
      </c>
      <c r="I166" s="130"/>
      <c r="J166" s="130"/>
      <c r="K166" s="130"/>
      <c r="L166" s="130"/>
      <c r="M166" s="130"/>
      <c r="N166" s="130"/>
      <c r="O166" s="130"/>
      <c r="P166" s="130"/>
      <c r="Q166" s="130"/>
      <c r="R166" s="130"/>
      <c r="S166" s="130"/>
      <c r="T166" s="130"/>
      <c r="U166" s="130"/>
      <c r="V166" s="130"/>
      <c r="W166" s="130" t="s">
        <v>90</v>
      </c>
    </row>
    <row r="167" spans="1:23">
      <c r="A167" s="130">
        <v>45905</v>
      </c>
      <c r="B167" s="130" t="s">
        <v>2039</v>
      </c>
      <c r="C167" s="130" t="s">
        <v>2040</v>
      </c>
      <c r="D167" s="130" t="s">
        <v>125</v>
      </c>
      <c r="E167" s="130">
        <v>85254</v>
      </c>
      <c r="F167" s="130" t="s">
        <v>310</v>
      </c>
      <c r="G167" s="130" t="s">
        <v>1723</v>
      </c>
      <c r="H167" s="130" t="s">
        <v>27</v>
      </c>
      <c r="I167" s="130"/>
      <c r="J167" s="130"/>
      <c r="K167" s="130"/>
      <c r="L167" s="130"/>
      <c r="M167" s="130"/>
      <c r="N167" s="130"/>
      <c r="O167" s="130"/>
      <c r="P167" s="130"/>
      <c r="Q167" s="130"/>
      <c r="R167" s="130"/>
      <c r="S167" s="130"/>
      <c r="T167" s="130"/>
      <c r="U167" s="130"/>
      <c r="V167" s="130"/>
      <c r="W167" s="130" t="s">
        <v>27</v>
      </c>
    </row>
    <row r="168" spans="1:23">
      <c r="A168" s="130">
        <v>45905</v>
      </c>
      <c r="B168" s="130" t="s">
        <v>2061</v>
      </c>
      <c r="C168" s="130" t="s">
        <v>755</v>
      </c>
      <c r="D168" s="130" t="s">
        <v>619</v>
      </c>
      <c r="E168" s="130">
        <v>85365</v>
      </c>
      <c r="F168" s="130" t="s">
        <v>310</v>
      </c>
      <c r="G168" s="130" t="s">
        <v>1723</v>
      </c>
      <c r="H168" s="130" t="s">
        <v>27</v>
      </c>
      <c r="I168" s="130"/>
      <c r="J168" s="130"/>
      <c r="K168" s="130"/>
      <c r="L168" s="130"/>
      <c r="M168" s="130"/>
      <c r="N168" s="130"/>
      <c r="O168" s="130"/>
      <c r="P168" s="130"/>
      <c r="Q168" s="130"/>
      <c r="R168" s="130"/>
      <c r="S168" s="130"/>
      <c r="T168" s="130"/>
      <c r="U168" s="130"/>
      <c r="V168" s="130"/>
      <c r="W168" s="130" t="s">
        <v>27</v>
      </c>
    </row>
    <row r="169" spans="1:23">
      <c r="A169" s="130">
        <v>45905</v>
      </c>
      <c r="B169" s="130" t="s">
        <v>2062</v>
      </c>
      <c r="C169" s="130" t="s">
        <v>2063</v>
      </c>
      <c r="D169" s="130" t="s">
        <v>539</v>
      </c>
      <c r="E169" s="130">
        <v>85122</v>
      </c>
      <c r="F169" s="130" t="s">
        <v>31</v>
      </c>
      <c r="G169" s="130" t="s">
        <v>1723</v>
      </c>
      <c r="H169" s="130" t="s">
        <v>27</v>
      </c>
      <c r="I169" s="130"/>
      <c r="J169" s="130"/>
      <c r="K169" s="130"/>
      <c r="L169" s="130"/>
      <c r="M169" s="130"/>
      <c r="N169" s="130"/>
      <c r="O169" s="130"/>
      <c r="P169" s="130"/>
      <c r="Q169" s="130"/>
      <c r="R169" s="130"/>
      <c r="S169" s="130"/>
      <c r="T169" s="130"/>
      <c r="U169" s="130"/>
      <c r="V169" s="130"/>
      <c r="W169" s="130" t="s">
        <v>27</v>
      </c>
    </row>
    <row r="170" spans="1:23">
      <c r="A170" s="130">
        <v>45905</v>
      </c>
      <c r="B170" s="130" t="s">
        <v>2033</v>
      </c>
      <c r="C170" s="130" t="s">
        <v>2070</v>
      </c>
      <c r="D170" s="130" t="s">
        <v>112</v>
      </c>
      <c r="E170" s="130">
        <v>85374</v>
      </c>
      <c r="F170" s="130" t="s">
        <v>310</v>
      </c>
      <c r="G170" s="130" t="s">
        <v>1723</v>
      </c>
      <c r="H170" s="130" t="s">
        <v>27</v>
      </c>
      <c r="I170" s="130"/>
      <c r="J170" s="130"/>
      <c r="K170" s="130"/>
      <c r="L170" s="130"/>
      <c r="M170" s="130"/>
      <c r="N170" s="130"/>
      <c r="O170" s="130"/>
      <c r="P170" s="130"/>
      <c r="Q170" s="130"/>
      <c r="R170" s="130"/>
      <c r="S170" s="130"/>
      <c r="T170" s="130"/>
      <c r="U170" s="130"/>
      <c r="V170" s="130"/>
      <c r="W170" s="130" t="s">
        <v>27</v>
      </c>
    </row>
    <row r="171" spans="1:23">
      <c r="A171" s="130">
        <v>45905</v>
      </c>
      <c r="B171" s="130" t="s">
        <v>1959</v>
      </c>
      <c r="C171" s="130" t="s">
        <v>1647</v>
      </c>
      <c r="D171" s="130" t="s">
        <v>169</v>
      </c>
      <c r="E171" s="130">
        <v>85395</v>
      </c>
      <c r="F171" s="130" t="s">
        <v>31</v>
      </c>
      <c r="G171" s="130" t="s">
        <v>1723</v>
      </c>
      <c r="H171" s="130" t="s">
        <v>27</v>
      </c>
      <c r="I171" s="130"/>
      <c r="J171" s="130"/>
      <c r="K171" s="130"/>
      <c r="L171" s="130"/>
      <c r="M171" s="130"/>
      <c r="N171" s="130"/>
      <c r="O171" s="130"/>
      <c r="P171" s="130"/>
      <c r="Q171" s="130"/>
      <c r="R171" s="130"/>
      <c r="S171" s="130"/>
      <c r="T171" s="130"/>
      <c r="U171" s="130"/>
      <c r="V171" s="130"/>
      <c r="W171" s="130" t="s">
        <v>27</v>
      </c>
    </row>
    <row r="172" spans="1:23">
      <c r="A172" s="130">
        <v>45905</v>
      </c>
      <c r="B172" s="130" t="s">
        <v>2115</v>
      </c>
      <c r="C172" s="130" t="s">
        <v>2116</v>
      </c>
      <c r="D172" s="130" t="s">
        <v>112</v>
      </c>
      <c r="E172" s="130">
        <v>85387</v>
      </c>
      <c r="F172" s="130" t="s">
        <v>2117</v>
      </c>
      <c r="G172" s="130" t="s">
        <v>1723</v>
      </c>
      <c r="H172" s="130" t="s">
        <v>27</v>
      </c>
      <c r="I172" s="130"/>
      <c r="J172" s="130"/>
      <c r="K172" s="130"/>
      <c r="L172" s="130"/>
      <c r="M172" s="130"/>
      <c r="N172" s="130"/>
      <c r="O172" s="130"/>
      <c r="P172" s="130"/>
      <c r="Q172" s="130"/>
      <c r="R172" s="130"/>
      <c r="S172" s="130"/>
      <c r="T172" s="130"/>
      <c r="U172" s="130"/>
      <c r="V172" s="130"/>
      <c r="W172" s="130" t="s">
        <v>27</v>
      </c>
    </row>
    <row r="173" spans="1:23">
      <c r="A173" s="130">
        <v>45905</v>
      </c>
      <c r="B173" s="130" t="s">
        <v>2160</v>
      </c>
      <c r="C173" s="130" t="s">
        <v>2161</v>
      </c>
      <c r="D173" s="130" t="s">
        <v>63</v>
      </c>
      <c r="E173" s="130">
        <v>85053</v>
      </c>
      <c r="F173" s="130" t="s">
        <v>310</v>
      </c>
      <c r="G173" s="130" t="s">
        <v>2130</v>
      </c>
      <c r="H173" s="130" t="s">
        <v>27</v>
      </c>
      <c r="I173" s="130"/>
      <c r="J173" s="130"/>
      <c r="K173" s="130"/>
      <c r="L173" s="130"/>
      <c r="M173" s="130"/>
      <c r="N173" s="130"/>
      <c r="O173" s="130"/>
      <c r="P173" s="130"/>
      <c r="Q173" s="130"/>
      <c r="R173" s="130"/>
      <c r="S173" s="130"/>
      <c r="T173" s="130"/>
      <c r="U173" s="130"/>
      <c r="V173" s="130"/>
      <c r="W173" s="130" t="s">
        <v>27</v>
      </c>
    </row>
    <row r="174" spans="1:23">
      <c r="A174" s="130">
        <v>45905</v>
      </c>
      <c r="B174" s="130" t="s">
        <v>2175</v>
      </c>
      <c r="C174" s="130" t="s">
        <v>2176</v>
      </c>
      <c r="D174" s="130" t="s">
        <v>112</v>
      </c>
      <c r="E174" s="130">
        <v>85388</v>
      </c>
      <c r="F174" s="130" t="s">
        <v>310</v>
      </c>
      <c r="G174" s="130" t="s">
        <v>2130</v>
      </c>
      <c r="H174" s="130" t="s">
        <v>27</v>
      </c>
      <c r="I174" s="130"/>
      <c r="J174" s="130"/>
      <c r="K174" s="130"/>
      <c r="L174" s="130"/>
      <c r="M174" s="130"/>
      <c r="N174" s="130"/>
      <c r="O174" s="130"/>
      <c r="P174" s="130"/>
      <c r="Q174" s="130"/>
      <c r="R174" s="130"/>
      <c r="S174" s="130"/>
      <c r="T174" s="130"/>
      <c r="U174" s="130"/>
      <c r="V174" s="130"/>
      <c r="W174" s="130" t="s">
        <v>27</v>
      </c>
    </row>
    <row r="175" spans="1:23">
      <c r="A175" s="130">
        <v>45905</v>
      </c>
      <c r="B175" s="130" t="s">
        <v>2177</v>
      </c>
      <c r="C175" s="130" t="s">
        <v>1815</v>
      </c>
      <c r="D175" s="130" t="s">
        <v>112</v>
      </c>
      <c r="E175" s="130">
        <v>85388</v>
      </c>
      <c r="F175" s="130" t="s">
        <v>310</v>
      </c>
      <c r="G175" s="130" t="s">
        <v>2130</v>
      </c>
      <c r="H175" s="130" t="s">
        <v>90</v>
      </c>
      <c r="I175" s="130"/>
      <c r="J175" s="130"/>
      <c r="K175" s="130"/>
      <c r="L175" s="130"/>
      <c r="M175" s="130"/>
      <c r="N175" s="130"/>
      <c r="O175" s="130"/>
      <c r="P175" s="130"/>
      <c r="Q175" s="130"/>
      <c r="R175" s="130"/>
      <c r="S175" s="130"/>
      <c r="T175" s="130"/>
      <c r="U175" s="130"/>
      <c r="V175" s="130"/>
      <c r="W175" s="130" t="s">
        <v>90</v>
      </c>
    </row>
    <row r="176" spans="1:23">
      <c r="A176" s="130">
        <v>45905</v>
      </c>
      <c r="B176" s="130" t="s">
        <v>2221</v>
      </c>
      <c r="C176" s="130" t="s">
        <v>1182</v>
      </c>
      <c r="D176" s="130" t="s">
        <v>63</v>
      </c>
      <c r="E176" s="130">
        <v>85022</v>
      </c>
      <c r="F176" s="130" t="s">
        <v>31</v>
      </c>
      <c r="G176" s="130" t="s">
        <v>2130</v>
      </c>
      <c r="H176" s="130" t="s">
        <v>27</v>
      </c>
      <c r="I176" s="130"/>
      <c r="J176" s="130"/>
      <c r="K176" s="130"/>
      <c r="L176" s="130"/>
      <c r="M176" s="130"/>
      <c r="N176" s="130"/>
      <c r="O176" s="130"/>
      <c r="P176" s="130"/>
      <c r="Q176" s="130"/>
      <c r="R176" s="130"/>
      <c r="S176" s="130"/>
      <c r="T176" s="130"/>
      <c r="U176" s="130"/>
      <c r="V176" s="130"/>
      <c r="W176" s="130" t="s">
        <v>27</v>
      </c>
    </row>
    <row r="177" spans="1:23">
      <c r="A177" s="130">
        <v>45905</v>
      </c>
      <c r="B177" s="130" t="s">
        <v>2253</v>
      </c>
      <c r="C177" s="130" t="s">
        <v>124</v>
      </c>
      <c r="D177" s="130" t="s">
        <v>539</v>
      </c>
      <c r="E177" s="130">
        <v>85122</v>
      </c>
      <c r="F177" s="130" t="s">
        <v>2254</v>
      </c>
      <c r="G177" s="130" t="s">
        <v>2130</v>
      </c>
      <c r="H177" s="130" t="s">
        <v>27</v>
      </c>
      <c r="I177" s="130"/>
      <c r="J177" s="130"/>
      <c r="K177" s="130"/>
      <c r="L177" s="130"/>
      <c r="M177" s="130"/>
      <c r="N177" s="130"/>
      <c r="O177" s="130"/>
      <c r="P177" s="130"/>
      <c r="Q177" s="130"/>
      <c r="R177" s="130"/>
      <c r="S177" s="130"/>
      <c r="T177" s="130"/>
      <c r="U177" s="130"/>
      <c r="V177" s="130"/>
      <c r="W177" s="130" t="s">
        <v>27</v>
      </c>
    </row>
    <row r="178" spans="1:23">
      <c r="A178" s="130">
        <v>45905</v>
      </c>
      <c r="B178" s="130" t="s">
        <v>2255</v>
      </c>
      <c r="C178" s="130" t="s">
        <v>2256</v>
      </c>
      <c r="D178" s="130" t="s">
        <v>1204</v>
      </c>
      <c r="E178" s="130">
        <v>85355</v>
      </c>
      <c r="F178" s="130" t="s">
        <v>310</v>
      </c>
      <c r="G178" s="130" t="s">
        <v>2130</v>
      </c>
      <c r="H178" s="130" t="s">
        <v>27</v>
      </c>
      <c r="I178" s="130"/>
      <c r="J178" s="130"/>
      <c r="K178" s="130"/>
      <c r="L178" s="130"/>
      <c r="M178" s="130"/>
      <c r="N178" s="130"/>
      <c r="O178" s="130"/>
      <c r="P178" s="130"/>
      <c r="Q178" s="130"/>
      <c r="R178" s="130"/>
      <c r="S178" s="130"/>
      <c r="T178" s="130"/>
      <c r="U178" s="130"/>
      <c r="V178" s="130"/>
      <c r="W178" s="130" t="s">
        <v>27</v>
      </c>
    </row>
    <row r="179" spans="1:23">
      <c r="A179" s="130">
        <v>45905</v>
      </c>
      <c r="B179" s="130" t="s">
        <v>1873</v>
      </c>
      <c r="C179" s="130" t="s">
        <v>153</v>
      </c>
      <c r="D179" s="130" t="s">
        <v>63</v>
      </c>
      <c r="E179" s="130">
        <v>85020</v>
      </c>
      <c r="F179" s="130" t="s">
        <v>660</v>
      </c>
      <c r="G179" s="130" t="s">
        <v>2130</v>
      </c>
      <c r="H179" s="130" t="s">
        <v>90</v>
      </c>
      <c r="I179" s="130"/>
      <c r="J179" s="130"/>
      <c r="K179" s="130"/>
      <c r="L179" s="130"/>
      <c r="M179" s="130"/>
      <c r="N179" s="130"/>
      <c r="O179" s="130"/>
      <c r="P179" s="130"/>
      <c r="Q179" s="130"/>
      <c r="R179" s="130"/>
      <c r="S179" s="130"/>
      <c r="T179" s="130"/>
      <c r="U179" s="130"/>
      <c r="V179" s="130"/>
      <c r="W179" s="130" t="s">
        <v>90</v>
      </c>
    </row>
    <row r="180" spans="1:23">
      <c r="A180" s="130">
        <v>45905</v>
      </c>
      <c r="B180" s="130" t="s">
        <v>2257</v>
      </c>
      <c r="C180" s="130" t="s">
        <v>324</v>
      </c>
      <c r="D180" s="130" t="s">
        <v>63</v>
      </c>
      <c r="E180" s="130">
        <v>85013</v>
      </c>
      <c r="F180" s="130" t="s">
        <v>31</v>
      </c>
      <c r="G180" s="130" t="s">
        <v>2130</v>
      </c>
      <c r="H180" s="130" t="s">
        <v>27</v>
      </c>
      <c r="I180" s="130"/>
      <c r="J180" s="130"/>
      <c r="K180" s="130"/>
      <c r="L180" s="130"/>
      <c r="M180" s="130"/>
      <c r="N180" s="130"/>
      <c r="O180" s="130"/>
      <c r="P180" s="130"/>
      <c r="Q180" s="130"/>
      <c r="R180" s="130"/>
      <c r="S180" s="130"/>
      <c r="T180" s="130"/>
      <c r="U180" s="130"/>
      <c r="V180" s="130"/>
      <c r="W180" s="130" t="s">
        <v>27</v>
      </c>
    </row>
    <row r="181" spans="1:23">
      <c r="A181" s="130">
        <v>45905</v>
      </c>
      <c r="B181" s="130" t="s">
        <v>2267</v>
      </c>
      <c r="C181" s="130" t="s">
        <v>2268</v>
      </c>
      <c r="D181" s="130" t="s">
        <v>63</v>
      </c>
      <c r="E181" s="130">
        <v>85086</v>
      </c>
      <c r="F181" s="130" t="s">
        <v>31</v>
      </c>
      <c r="G181" s="130" t="s">
        <v>2130</v>
      </c>
      <c r="H181" s="130" t="s">
        <v>27</v>
      </c>
      <c r="I181" s="130"/>
      <c r="J181" s="130"/>
      <c r="K181" s="130"/>
      <c r="L181" s="130"/>
      <c r="M181" s="130"/>
      <c r="N181" s="130"/>
      <c r="O181" s="130"/>
      <c r="P181" s="130"/>
      <c r="Q181" s="130"/>
      <c r="R181" s="130"/>
      <c r="S181" s="130"/>
      <c r="T181" s="130"/>
      <c r="U181" s="130"/>
      <c r="V181" s="130"/>
      <c r="W181" s="130" t="s">
        <v>27</v>
      </c>
    </row>
    <row r="182" spans="1:23">
      <c r="A182" s="130">
        <v>45905</v>
      </c>
      <c r="B182" s="130" t="s">
        <v>2285</v>
      </c>
      <c r="C182" s="130" t="s">
        <v>2286</v>
      </c>
      <c r="D182" s="130" t="s">
        <v>202</v>
      </c>
      <c r="E182" s="130">
        <v>85383</v>
      </c>
      <c r="F182" s="130" t="s">
        <v>2287</v>
      </c>
      <c r="G182" s="130" t="s">
        <v>2130</v>
      </c>
      <c r="H182" s="130" t="s">
        <v>27</v>
      </c>
      <c r="I182" s="130"/>
      <c r="J182" s="130"/>
      <c r="K182" s="130"/>
      <c r="L182" s="130"/>
      <c r="M182" s="130"/>
      <c r="N182" s="130"/>
      <c r="O182" s="130"/>
      <c r="P182" s="130"/>
      <c r="Q182" s="130"/>
      <c r="R182" s="130"/>
      <c r="S182" s="130"/>
      <c r="T182" s="130"/>
      <c r="U182" s="130"/>
      <c r="V182" s="130"/>
      <c r="W182" s="130" t="s">
        <v>27</v>
      </c>
    </row>
    <row r="183" spans="1:23">
      <c r="A183" s="130">
        <v>45905</v>
      </c>
      <c r="B183" s="130" t="s">
        <v>2288</v>
      </c>
      <c r="C183" s="130" t="s">
        <v>2289</v>
      </c>
      <c r="D183" s="130" t="s">
        <v>63</v>
      </c>
      <c r="E183" s="130">
        <v>85013</v>
      </c>
      <c r="F183" s="130" t="s">
        <v>31</v>
      </c>
      <c r="G183" s="130" t="s">
        <v>2130</v>
      </c>
      <c r="H183" s="130" t="s">
        <v>27</v>
      </c>
      <c r="I183" s="130"/>
      <c r="J183" s="130"/>
      <c r="K183" s="130"/>
      <c r="L183" s="130"/>
      <c r="M183" s="130"/>
      <c r="N183" s="130"/>
      <c r="O183" s="130"/>
      <c r="P183" s="130"/>
      <c r="Q183" s="130"/>
      <c r="R183" s="130"/>
      <c r="S183" s="130"/>
      <c r="T183" s="130"/>
      <c r="U183" s="130"/>
      <c r="V183" s="130"/>
      <c r="W183" s="130" t="s">
        <v>27</v>
      </c>
    </row>
    <row r="184" spans="1:23">
      <c r="A184" s="130">
        <v>45905</v>
      </c>
      <c r="B184" s="130" t="s">
        <v>2297</v>
      </c>
      <c r="C184" s="130" t="s">
        <v>2298</v>
      </c>
      <c r="D184" s="130" t="s">
        <v>85</v>
      </c>
      <c r="E184" s="130">
        <v>86323</v>
      </c>
      <c r="F184" s="130" t="s">
        <v>1933</v>
      </c>
      <c r="G184" s="130" t="s">
        <v>2130</v>
      </c>
      <c r="H184" s="130" t="s">
        <v>27</v>
      </c>
      <c r="I184" s="130"/>
      <c r="J184" s="130"/>
      <c r="K184" s="130"/>
      <c r="L184" s="130"/>
      <c r="M184" s="130"/>
      <c r="N184" s="130"/>
      <c r="O184" s="130"/>
      <c r="P184" s="130"/>
      <c r="Q184" s="130"/>
      <c r="R184" s="130"/>
      <c r="S184" s="130"/>
      <c r="T184" s="130"/>
      <c r="U184" s="130"/>
      <c r="V184" s="130"/>
      <c r="W184" s="130" t="s">
        <v>27</v>
      </c>
    </row>
    <row r="185" spans="1:23">
      <c r="A185" s="130">
        <v>45905</v>
      </c>
      <c r="B185" s="130" t="s">
        <v>2299</v>
      </c>
      <c r="C185" s="130" t="s">
        <v>2300</v>
      </c>
      <c r="D185" s="130" t="s">
        <v>63</v>
      </c>
      <c r="E185" s="130">
        <v>85014</v>
      </c>
      <c r="F185" s="130" t="s">
        <v>310</v>
      </c>
      <c r="G185" s="130" t="s">
        <v>2130</v>
      </c>
      <c r="H185" s="130" t="s">
        <v>27</v>
      </c>
      <c r="I185" s="130"/>
      <c r="J185" s="130"/>
      <c r="K185" s="130"/>
      <c r="L185" s="130"/>
      <c r="M185" s="130"/>
      <c r="N185" s="130"/>
      <c r="O185" s="130"/>
      <c r="P185" s="130"/>
      <c r="Q185" s="130"/>
      <c r="R185" s="130"/>
      <c r="S185" s="130"/>
      <c r="T185" s="130"/>
      <c r="U185" s="130"/>
      <c r="V185" s="130"/>
      <c r="W185" s="130" t="s">
        <v>27</v>
      </c>
    </row>
    <row r="186" spans="1:23">
      <c r="A186" s="130">
        <v>45905</v>
      </c>
      <c r="B186" s="130" t="s">
        <v>2310</v>
      </c>
      <c r="C186" s="130" t="s">
        <v>2311</v>
      </c>
      <c r="D186" s="130" t="s">
        <v>63</v>
      </c>
      <c r="E186" s="130">
        <v>85043</v>
      </c>
      <c r="F186" s="130" t="s">
        <v>2312</v>
      </c>
      <c r="G186" s="130" t="s">
        <v>2130</v>
      </c>
      <c r="H186" s="130" t="s">
        <v>27</v>
      </c>
      <c r="I186" s="130"/>
      <c r="J186" s="130"/>
      <c r="K186" s="130"/>
      <c r="L186" s="130"/>
      <c r="M186" s="130"/>
      <c r="N186" s="130"/>
      <c r="O186" s="130"/>
      <c r="P186" s="130"/>
      <c r="Q186" s="130"/>
      <c r="R186" s="130"/>
      <c r="S186" s="130"/>
      <c r="T186" s="130"/>
      <c r="U186" s="130"/>
      <c r="V186" s="130"/>
      <c r="W186" s="130" t="s">
        <v>27</v>
      </c>
    </row>
    <row r="187" spans="1:23">
      <c r="A187" s="130">
        <v>45905</v>
      </c>
      <c r="B187" s="130" t="s">
        <v>2335</v>
      </c>
      <c r="C187" s="130" t="s">
        <v>2336</v>
      </c>
      <c r="D187" s="130" t="s">
        <v>63</v>
      </c>
      <c r="E187" s="130">
        <v>85032</v>
      </c>
      <c r="F187" s="130" t="s">
        <v>2337</v>
      </c>
      <c r="G187" s="130" t="s">
        <v>2130</v>
      </c>
      <c r="H187" s="130" t="s">
        <v>27</v>
      </c>
      <c r="I187" s="130"/>
      <c r="J187" s="130"/>
      <c r="K187" s="130"/>
      <c r="L187" s="130"/>
      <c r="M187" s="130"/>
      <c r="N187" s="130"/>
      <c r="O187" s="130"/>
      <c r="P187" s="130"/>
      <c r="Q187" s="130"/>
      <c r="R187" s="130"/>
      <c r="S187" s="130"/>
      <c r="T187" s="130"/>
      <c r="U187" s="130"/>
      <c r="V187" s="130"/>
      <c r="W187" s="130" t="s">
        <v>27</v>
      </c>
    </row>
    <row r="188" spans="1:23">
      <c r="A188" s="130">
        <v>45905</v>
      </c>
      <c r="B188" s="130" t="s">
        <v>2338</v>
      </c>
      <c r="C188" s="130" t="s">
        <v>2339</v>
      </c>
      <c r="D188" s="130" t="s">
        <v>635</v>
      </c>
      <c r="E188" s="130">
        <v>85281</v>
      </c>
      <c r="F188" s="130" t="s">
        <v>310</v>
      </c>
      <c r="G188" s="130" t="s">
        <v>2130</v>
      </c>
      <c r="H188" s="130" t="s">
        <v>90</v>
      </c>
      <c r="I188" s="130"/>
      <c r="J188" s="130"/>
      <c r="K188" s="130"/>
      <c r="L188" s="130"/>
      <c r="M188" s="130"/>
      <c r="N188" s="130"/>
      <c r="O188" s="130"/>
      <c r="P188" s="130"/>
      <c r="Q188" s="130"/>
      <c r="R188" s="130"/>
      <c r="S188" s="130"/>
      <c r="T188" s="130"/>
      <c r="U188" s="130"/>
      <c r="V188" s="130"/>
      <c r="W188" s="130" t="s">
        <v>90</v>
      </c>
    </row>
    <row r="189" spans="1:23">
      <c r="A189" s="130">
        <v>45905</v>
      </c>
      <c r="B189" s="130" t="s">
        <v>2359</v>
      </c>
      <c r="C189" s="130" t="s">
        <v>2360</v>
      </c>
      <c r="D189" s="130" t="s">
        <v>2361</v>
      </c>
      <c r="E189" s="130">
        <v>86335</v>
      </c>
      <c r="F189" s="130" t="s">
        <v>31</v>
      </c>
      <c r="G189" s="130" t="s">
        <v>2362</v>
      </c>
      <c r="H189" s="130" t="s">
        <v>27</v>
      </c>
      <c r="I189" s="130"/>
      <c r="J189" s="130"/>
      <c r="K189" s="130"/>
      <c r="L189" s="130"/>
      <c r="M189" s="130"/>
      <c r="N189" s="130"/>
      <c r="O189" s="130"/>
      <c r="P189" s="130"/>
      <c r="Q189" s="130"/>
      <c r="R189" s="130"/>
      <c r="S189" s="130"/>
      <c r="T189" s="130"/>
      <c r="U189" s="130"/>
      <c r="V189" s="130"/>
      <c r="W189" s="130" t="s">
        <v>27</v>
      </c>
    </row>
    <row r="190" spans="1:23">
      <c r="A190" s="130">
        <v>45906</v>
      </c>
      <c r="B190" s="130" t="s">
        <v>2363</v>
      </c>
      <c r="C190" s="130" t="s">
        <v>879</v>
      </c>
      <c r="D190" s="130" t="s">
        <v>112</v>
      </c>
      <c r="E190" s="130">
        <v>85388</v>
      </c>
      <c r="F190" s="130" t="s">
        <v>310</v>
      </c>
      <c r="G190" s="130" t="s">
        <v>2364</v>
      </c>
      <c r="H190" s="130" t="s">
        <v>27</v>
      </c>
      <c r="I190" s="130"/>
      <c r="J190" s="130"/>
      <c r="K190" s="130"/>
      <c r="L190" s="130"/>
      <c r="M190" s="130"/>
      <c r="N190" s="130"/>
      <c r="O190" s="130"/>
      <c r="P190" s="130"/>
      <c r="Q190" s="130"/>
      <c r="R190" s="130"/>
      <c r="S190" s="130"/>
      <c r="T190" s="130"/>
      <c r="U190" s="130"/>
      <c r="V190" s="130"/>
      <c r="W190" s="130" t="s">
        <v>27</v>
      </c>
    </row>
    <row r="191" spans="1:23">
      <c r="A191" s="130">
        <v>45906</v>
      </c>
      <c r="B191" s="130" t="s">
        <v>2376</v>
      </c>
      <c r="C191" s="130" t="s">
        <v>2377</v>
      </c>
      <c r="D191" s="130" t="s">
        <v>880</v>
      </c>
      <c r="E191" s="130">
        <v>85086</v>
      </c>
      <c r="F191" s="130" t="s">
        <v>2378</v>
      </c>
      <c r="G191" s="130" t="s">
        <v>2364</v>
      </c>
      <c r="H191" s="130" t="s">
        <v>27</v>
      </c>
      <c r="I191" s="130"/>
      <c r="J191" s="130"/>
      <c r="K191" s="130"/>
      <c r="L191" s="130"/>
      <c r="M191" s="130"/>
      <c r="N191" s="130"/>
      <c r="O191" s="130"/>
      <c r="P191" s="130"/>
      <c r="Q191" s="130"/>
      <c r="R191" s="130"/>
      <c r="S191" s="130"/>
      <c r="T191" s="130"/>
      <c r="U191" s="130"/>
      <c r="V191" s="130"/>
      <c r="W191" s="130" t="s">
        <v>27</v>
      </c>
    </row>
    <row r="192" spans="1:23">
      <c r="A192" s="130">
        <v>45906</v>
      </c>
      <c r="B192" s="130" t="s">
        <v>2389</v>
      </c>
      <c r="C192" s="130" t="s">
        <v>2390</v>
      </c>
      <c r="D192" s="130" t="s">
        <v>63</v>
      </c>
      <c r="E192" s="130">
        <v>85023</v>
      </c>
      <c r="F192" s="130" t="s">
        <v>310</v>
      </c>
      <c r="G192" s="130" t="s">
        <v>2364</v>
      </c>
      <c r="H192" s="130" t="s">
        <v>27</v>
      </c>
      <c r="I192" s="130"/>
      <c r="J192" s="130"/>
      <c r="K192" s="130"/>
      <c r="L192" s="130"/>
      <c r="M192" s="130"/>
      <c r="N192" s="130"/>
      <c r="O192" s="130"/>
      <c r="P192" s="130"/>
      <c r="Q192" s="130"/>
      <c r="R192" s="130"/>
      <c r="S192" s="130"/>
      <c r="T192" s="130"/>
      <c r="U192" s="130"/>
      <c r="V192" s="130"/>
      <c r="W192" s="130" t="s">
        <v>27</v>
      </c>
    </row>
    <row r="193" spans="1:23">
      <c r="A193" s="130">
        <v>45906</v>
      </c>
      <c r="B193" s="130" t="s">
        <v>2399</v>
      </c>
      <c r="C193" s="130" t="s">
        <v>2400</v>
      </c>
      <c r="D193" s="130" t="s">
        <v>169</v>
      </c>
      <c r="E193" s="130">
        <v>85338</v>
      </c>
      <c r="F193" s="130" t="s">
        <v>310</v>
      </c>
      <c r="G193" s="130" t="s">
        <v>2364</v>
      </c>
      <c r="H193" s="130" t="s">
        <v>27</v>
      </c>
      <c r="I193" s="130"/>
      <c r="J193" s="130"/>
      <c r="K193" s="130"/>
      <c r="L193" s="130"/>
      <c r="M193" s="130"/>
      <c r="N193" s="130"/>
      <c r="O193" s="130"/>
      <c r="P193" s="130"/>
      <c r="Q193" s="130"/>
      <c r="R193" s="130"/>
      <c r="S193" s="130"/>
      <c r="T193" s="130"/>
      <c r="U193" s="130"/>
      <c r="V193" s="130"/>
      <c r="W193" s="130" t="s">
        <v>27</v>
      </c>
    </row>
    <row r="194" spans="1:23">
      <c r="A194" s="130">
        <v>45906</v>
      </c>
      <c r="B194" s="130" t="s">
        <v>1177</v>
      </c>
      <c r="C194" s="130" t="s">
        <v>464</v>
      </c>
      <c r="D194" s="130" t="s">
        <v>63</v>
      </c>
      <c r="E194" s="130">
        <v>85022</v>
      </c>
      <c r="F194" s="130" t="s">
        <v>2407</v>
      </c>
      <c r="G194" s="130" t="s">
        <v>2364</v>
      </c>
      <c r="H194" s="130" t="s">
        <v>27</v>
      </c>
      <c r="I194" s="130"/>
      <c r="J194" s="130"/>
      <c r="K194" s="130"/>
      <c r="L194" s="130"/>
      <c r="M194" s="130"/>
      <c r="N194" s="130"/>
      <c r="O194" s="130"/>
      <c r="P194" s="130"/>
      <c r="Q194" s="130"/>
      <c r="R194" s="130"/>
      <c r="S194" s="130"/>
      <c r="T194" s="130"/>
      <c r="U194" s="130"/>
      <c r="V194" s="130"/>
      <c r="W194" s="130" t="s">
        <v>27</v>
      </c>
    </row>
    <row r="195" spans="1:23">
      <c r="A195" s="130">
        <v>45906</v>
      </c>
      <c r="B195" s="130" t="s">
        <v>2411</v>
      </c>
      <c r="C195" s="130" t="s">
        <v>2412</v>
      </c>
      <c r="D195" s="130" t="s">
        <v>63</v>
      </c>
      <c r="E195" s="130">
        <v>85027</v>
      </c>
      <c r="F195" s="130" t="s">
        <v>310</v>
      </c>
      <c r="G195" s="130" t="s">
        <v>2364</v>
      </c>
      <c r="H195" s="130" t="s">
        <v>27</v>
      </c>
      <c r="I195" s="130"/>
      <c r="J195" s="130"/>
      <c r="K195" s="130"/>
      <c r="L195" s="130"/>
      <c r="M195" s="130"/>
      <c r="N195" s="130"/>
      <c r="O195" s="130"/>
      <c r="P195" s="130"/>
      <c r="Q195" s="130"/>
      <c r="R195" s="130"/>
      <c r="S195" s="130"/>
      <c r="T195" s="130"/>
      <c r="U195" s="130"/>
      <c r="V195" s="130"/>
      <c r="W195" s="130" t="s">
        <v>27</v>
      </c>
    </row>
    <row r="196" spans="1:23">
      <c r="A196" s="130">
        <v>45906</v>
      </c>
      <c r="B196" s="130" t="s">
        <v>2452</v>
      </c>
      <c r="C196" s="130" t="s">
        <v>2395</v>
      </c>
      <c r="D196" s="130" t="s">
        <v>63</v>
      </c>
      <c r="E196" s="130">
        <v>85050</v>
      </c>
      <c r="F196" s="130" t="s">
        <v>310</v>
      </c>
      <c r="G196" s="130" t="s">
        <v>2364</v>
      </c>
      <c r="H196" s="130" t="s">
        <v>27</v>
      </c>
      <c r="I196" s="130"/>
      <c r="J196" s="130"/>
      <c r="K196" s="130"/>
      <c r="L196" s="130"/>
      <c r="M196" s="130"/>
      <c r="N196" s="130"/>
      <c r="O196" s="130"/>
      <c r="P196" s="130"/>
      <c r="Q196" s="130"/>
      <c r="R196" s="130"/>
      <c r="S196" s="130"/>
      <c r="T196" s="130"/>
      <c r="U196" s="130"/>
      <c r="V196" s="130"/>
      <c r="W196" s="130" t="s">
        <v>27</v>
      </c>
    </row>
    <row r="197" spans="1:23">
      <c r="A197" s="130">
        <v>45906</v>
      </c>
      <c r="B197" s="130" t="s">
        <v>2465</v>
      </c>
      <c r="C197" s="130" t="s">
        <v>2466</v>
      </c>
      <c r="D197" s="130" t="s">
        <v>63</v>
      </c>
      <c r="E197" s="130">
        <v>85018</v>
      </c>
      <c r="F197" s="130" t="s">
        <v>310</v>
      </c>
      <c r="G197" s="130" t="s">
        <v>2364</v>
      </c>
      <c r="H197" s="130" t="s">
        <v>27</v>
      </c>
      <c r="I197" s="130"/>
      <c r="J197" s="130"/>
      <c r="K197" s="130"/>
      <c r="L197" s="130"/>
      <c r="M197" s="130"/>
      <c r="N197" s="130"/>
      <c r="O197" s="130"/>
      <c r="P197" s="130"/>
      <c r="Q197" s="130"/>
      <c r="R197" s="130"/>
      <c r="S197" s="130"/>
      <c r="T197" s="130"/>
      <c r="U197" s="130"/>
      <c r="V197" s="130"/>
      <c r="W197" s="130" t="s">
        <v>27</v>
      </c>
    </row>
    <row r="198" spans="1:23">
      <c r="A198" s="130">
        <v>45906</v>
      </c>
      <c r="B198" s="130" t="s">
        <v>2467</v>
      </c>
      <c r="C198" s="130" t="s">
        <v>382</v>
      </c>
      <c r="D198" s="130" t="s">
        <v>63</v>
      </c>
      <c r="E198" s="130">
        <v>85023</v>
      </c>
      <c r="F198" s="130" t="s">
        <v>310</v>
      </c>
      <c r="G198" s="130" t="s">
        <v>2364</v>
      </c>
      <c r="H198" s="130" t="s">
        <v>90</v>
      </c>
      <c r="I198" s="130"/>
      <c r="J198" s="130"/>
      <c r="K198" s="130"/>
      <c r="L198" s="130"/>
      <c r="M198" s="130"/>
      <c r="N198" s="130"/>
      <c r="O198" s="130"/>
      <c r="P198" s="130"/>
      <c r="Q198" s="130"/>
      <c r="R198" s="130"/>
      <c r="S198" s="130"/>
      <c r="T198" s="130"/>
      <c r="U198" s="130"/>
      <c r="V198" s="130"/>
      <c r="W198" s="130" t="s">
        <v>90</v>
      </c>
    </row>
    <row r="199" spans="1:23">
      <c r="A199" s="130">
        <v>45906</v>
      </c>
      <c r="B199" s="130" t="s">
        <v>2484</v>
      </c>
      <c r="C199" s="130" t="s">
        <v>320</v>
      </c>
      <c r="D199" s="130" t="s">
        <v>504</v>
      </c>
      <c r="E199" s="130">
        <v>86005</v>
      </c>
      <c r="F199" s="130" t="s">
        <v>310</v>
      </c>
      <c r="G199" s="130" t="s">
        <v>2364</v>
      </c>
      <c r="H199" s="130" t="s">
        <v>27</v>
      </c>
      <c r="I199" s="130"/>
      <c r="J199" s="130"/>
      <c r="K199" s="130"/>
      <c r="L199" s="130"/>
      <c r="M199" s="130"/>
      <c r="N199" s="130"/>
      <c r="O199" s="130"/>
      <c r="P199" s="130"/>
      <c r="Q199" s="130"/>
      <c r="R199" s="130"/>
      <c r="S199" s="130"/>
      <c r="T199" s="130"/>
      <c r="U199" s="130"/>
      <c r="V199" s="130"/>
      <c r="W199" s="130" t="s">
        <v>27</v>
      </c>
    </row>
    <row r="200" spans="1:23">
      <c r="A200" s="130">
        <v>45906</v>
      </c>
      <c r="B200" s="130" t="s">
        <v>419</v>
      </c>
      <c r="C200" s="130" t="s">
        <v>2487</v>
      </c>
      <c r="D200" s="130" t="s">
        <v>24</v>
      </c>
      <c r="E200" s="130">
        <v>85301</v>
      </c>
      <c r="F200" s="130" t="s">
        <v>310</v>
      </c>
      <c r="G200" s="130" t="s">
        <v>2364</v>
      </c>
      <c r="H200" s="130" t="s">
        <v>27</v>
      </c>
      <c r="I200" s="130"/>
      <c r="J200" s="130"/>
      <c r="K200" s="130"/>
      <c r="L200" s="130"/>
      <c r="M200" s="130"/>
      <c r="N200" s="130"/>
      <c r="O200" s="130"/>
      <c r="P200" s="130"/>
      <c r="Q200" s="130"/>
      <c r="R200" s="130"/>
      <c r="S200" s="130"/>
      <c r="T200" s="130"/>
      <c r="U200" s="130"/>
      <c r="V200" s="130"/>
      <c r="W200" s="130" t="s">
        <v>27</v>
      </c>
    </row>
    <row r="201" spans="1:23">
      <c r="A201" s="130">
        <v>45906</v>
      </c>
      <c r="B201" s="130" t="s">
        <v>2512</v>
      </c>
      <c r="C201" s="130" t="s">
        <v>575</v>
      </c>
      <c r="D201" s="130" t="s">
        <v>68</v>
      </c>
      <c r="E201" s="130">
        <v>85331</v>
      </c>
      <c r="F201" s="130" t="s">
        <v>310</v>
      </c>
      <c r="G201" s="130" t="s">
        <v>2364</v>
      </c>
      <c r="H201" s="130" t="s">
        <v>27</v>
      </c>
      <c r="I201" s="130"/>
      <c r="J201" s="130"/>
      <c r="K201" s="130"/>
      <c r="L201" s="130"/>
      <c r="M201" s="130"/>
      <c r="N201" s="130"/>
      <c r="O201" s="130"/>
      <c r="P201" s="130"/>
      <c r="Q201" s="130"/>
      <c r="R201" s="130"/>
      <c r="S201" s="130"/>
      <c r="T201" s="130"/>
      <c r="U201" s="130"/>
      <c r="V201" s="130"/>
      <c r="W201" s="130" t="s">
        <v>27</v>
      </c>
    </row>
    <row r="202" spans="1:23">
      <c r="A202" s="130">
        <v>45906</v>
      </c>
      <c r="B202" s="130" t="s">
        <v>2520</v>
      </c>
      <c r="C202" s="130" t="s">
        <v>2521</v>
      </c>
      <c r="D202" s="130" t="s">
        <v>169</v>
      </c>
      <c r="E202" s="130">
        <v>85338</v>
      </c>
      <c r="F202" s="130" t="s">
        <v>2522</v>
      </c>
      <c r="G202" s="130" t="s">
        <v>2364</v>
      </c>
      <c r="H202" s="130" t="s">
        <v>27</v>
      </c>
      <c r="I202" s="130"/>
      <c r="J202" s="130"/>
      <c r="K202" s="130"/>
      <c r="L202" s="130"/>
      <c r="M202" s="130"/>
      <c r="N202" s="130"/>
      <c r="O202" s="130"/>
      <c r="P202" s="130"/>
      <c r="Q202" s="130"/>
      <c r="R202" s="130"/>
      <c r="S202" s="130"/>
      <c r="T202" s="130"/>
      <c r="U202" s="130"/>
      <c r="V202" s="130"/>
      <c r="W202" s="130" t="s">
        <v>27</v>
      </c>
    </row>
    <row r="203" spans="1:23">
      <c r="A203" s="130">
        <v>45906</v>
      </c>
      <c r="B203" s="130" t="s">
        <v>2566</v>
      </c>
      <c r="C203" s="130" t="s">
        <v>440</v>
      </c>
      <c r="D203" s="130" t="s">
        <v>112</v>
      </c>
      <c r="E203" s="130">
        <v>85379</v>
      </c>
      <c r="F203" s="130" t="s">
        <v>2567</v>
      </c>
      <c r="G203" s="130" t="s">
        <v>2364</v>
      </c>
      <c r="H203" s="130" t="s">
        <v>27</v>
      </c>
      <c r="I203" s="130"/>
      <c r="J203" s="130"/>
      <c r="K203" s="130"/>
      <c r="L203" s="130"/>
      <c r="M203" s="130"/>
      <c r="N203" s="130"/>
      <c r="O203" s="130"/>
      <c r="P203" s="130"/>
      <c r="Q203" s="130"/>
      <c r="R203" s="130"/>
      <c r="S203" s="130"/>
      <c r="T203" s="130"/>
      <c r="U203" s="130"/>
      <c r="V203" s="130"/>
      <c r="W203" s="130" t="s">
        <v>27</v>
      </c>
    </row>
    <row r="204" spans="1:23">
      <c r="A204" s="130">
        <v>45907</v>
      </c>
      <c r="B204" s="130" t="s">
        <v>2583</v>
      </c>
      <c r="C204" s="130" t="s">
        <v>2476</v>
      </c>
      <c r="D204" s="130" t="s">
        <v>63</v>
      </c>
      <c r="E204" s="130">
        <v>85024</v>
      </c>
      <c r="F204" s="130" t="s">
        <v>310</v>
      </c>
      <c r="G204" s="130" t="s">
        <v>2364</v>
      </c>
      <c r="H204" s="130" t="s">
        <v>27</v>
      </c>
      <c r="I204" s="130"/>
      <c r="J204" s="130"/>
      <c r="K204" s="130"/>
      <c r="L204" s="130"/>
      <c r="M204" s="130"/>
      <c r="N204" s="130"/>
      <c r="O204" s="130"/>
      <c r="P204" s="130"/>
      <c r="Q204" s="130"/>
      <c r="R204" s="130"/>
      <c r="S204" s="130"/>
      <c r="T204" s="130"/>
      <c r="U204" s="130"/>
      <c r="V204" s="130"/>
      <c r="W204" s="130" t="s">
        <v>27</v>
      </c>
    </row>
    <row r="205" spans="1:23">
      <c r="A205" s="130">
        <v>45907</v>
      </c>
      <c r="B205" s="130" t="s">
        <v>2598</v>
      </c>
      <c r="C205" s="130" t="s">
        <v>2450</v>
      </c>
      <c r="D205" s="130" t="s">
        <v>698</v>
      </c>
      <c r="E205" s="130">
        <v>85375</v>
      </c>
      <c r="F205" s="130" t="s">
        <v>2599</v>
      </c>
      <c r="G205" s="130" t="s">
        <v>2364</v>
      </c>
      <c r="H205" s="130" t="s">
        <v>27</v>
      </c>
      <c r="I205" s="130"/>
      <c r="J205" s="130"/>
      <c r="K205" s="130"/>
      <c r="L205" s="130"/>
      <c r="M205" s="130"/>
      <c r="N205" s="130"/>
      <c r="O205" s="130"/>
      <c r="P205" s="130"/>
      <c r="Q205" s="130"/>
      <c r="R205" s="130"/>
      <c r="S205" s="130"/>
      <c r="T205" s="130"/>
      <c r="U205" s="130"/>
      <c r="V205" s="130"/>
      <c r="W205" s="130" t="s">
        <v>27</v>
      </c>
    </row>
    <row r="206" spans="1:23">
      <c r="A206" s="130">
        <v>45907</v>
      </c>
      <c r="B206" s="130" t="s">
        <v>2621</v>
      </c>
      <c r="C206" s="130" t="s">
        <v>771</v>
      </c>
      <c r="D206" s="130" t="s">
        <v>264</v>
      </c>
      <c r="E206" s="130">
        <v>85541</v>
      </c>
      <c r="F206" s="130" t="s">
        <v>310</v>
      </c>
      <c r="G206" s="130" t="s">
        <v>2364</v>
      </c>
      <c r="H206" s="130" t="s">
        <v>27</v>
      </c>
      <c r="I206" s="130"/>
      <c r="J206" s="130"/>
      <c r="K206" s="130"/>
      <c r="L206" s="130"/>
      <c r="M206" s="130"/>
      <c r="N206" s="130"/>
      <c r="O206" s="130"/>
      <c r="P206" s="130"/>
      <c r="Q206" s="130"/>
      <c r="R206" s="130"/>
      <c r="S206" s="130"/>
      <c r="T206" s="130"/>
      <c r="U206" s="130"/>
      <c r="V206" s="130"/>
      <c r="W206" s="130" t="s">
        <v>27</v>
      </c>
    </row>
    <row r="207" spans="1:23">
      <c r="A207" s="130">
        <v>45907</v>
      </c>
      <c r="B207" s="130" t="s">
        <v>2632</v>
      </c>
      <c r="C207" s="130" t="s">
        <v>2633</v>
      </c>
      <c r="D207" s="130" t="s">
        <v>125</v>
      </c>
      <c r="E207" s="130">
        <v>85259</v>
      </c>
      <c r="F207" s="130" t="s">
        <v>310</v>
      </c>
      <c r="G207" s="130" t="s">
        <v>2364</v>
      </c>
      <c r="H207" s="130" t="s">
        <v>27</v>
      </c>
      <c r="I207" s="130"/>
      <c r="J207" s="130"/>
      <c r="K207" s="130"/>
      <c r="L207" s="130"/>
      <c r="M207" s="130"/>
      <c r="N207" s="130"/>
      <c r="O207" s="130"/>
      <c r="P207" s="130"/>
      <c r="Q207" s="130"/>
      <c r="R207" s="130"/>
      <c r="S207" s="130"/>
      <c r="T207" s="130"/>
      <c r="U207" s="130"/>
      <c r="V207" s="130"/>
      <c r="W207" s="130" t="s">
        <v>27</v>
      </c>
    </row>
    <row r="208" spans="1:23">
      <c r="A208" s="130">
        <v>45907</v>
      </c>
      <c r="B208" s="130" t="s">
        <v>2649</v>
      </c>
      <c r="C208" s="130" t="s">
        <v>2650</v>
      </c>
      <c r="D208" s="130" t="s">
        <v>63</v>
      </c>
      <c r="E208" s="130">
        <v>85027</v>
      </c>
      <c r="F208" s="130" t="s">
        <v>31</v>
      </c>
      <c r="G208" s="130" t="s">
        <v>2364</v>
      </c>
      <c r="H208" s="130" t="s">
        <v>27</v>
      </c>
      <c r="I208" s="130"/>
      <c r="J208" s="130"/>
      <c r="K208" s="130"/>
      <c r="L208" s="130"/>
      <c r="M208" s="130"/>
      <c r="N208" s="130"/>
      <c r="O208" s="130"/>
      <c r="P208" s="130"/>
      <c r="Q208" s="130"/>
      <c r="R208" s="130"/>
      <c r="S208" s="130"/>
      <c r="T208" s="130"/>
      <c r="U208" s="130"/>
      <c r="V208" s="130"/>
      <c r="W208" s="130" t="s">
        <v>27</v>
      </c>
    </row>
    <row r="209" spans="1:23">
      <c r="A209" s="130">
        <v>45907</v>
      </c>
      <c r="B209" s="130" t="s">
        <v>2656</v>
      </c>
      <c r="C209" s="130" t="s">
        <v>2657</v>
      </c>
      <c r="D209" s="130" t="s">
        <v>202</v>
      </c>
      <c r="E209" s="130">
        <v>85381</v>
      </c>
      <c r="F209" s="130" t="s">
        <v>310</v>
      </c>
      <c r="G209" s="130" t="s">
        <v>2364</v>
      </c>
      <c r="H209" s="130" t="s">
        <v>27</v>
      </c>
      <c r="I209" s="130"/>
      <c r="J209" s="130"/>
      <c r="K209" s="130"/>
      <c r="L209" s="130"/>
      <c r="M209" s="130"/>
      <c r="N209" s="130"/>
      <c r="O209" s="130"/>
      <c r="P209" s="130"/>
      <c r="Q209" s="130"/>
      <c r="R209" s="130"/>
      <c r="S209" s="130"/>
      <c r="T209" s="130"/>
      <c r="U209" s="130"/>
      <c r="V209" s="130"/>
      <c r="W209" s="130" t="s">
        <v>27</v>
      </c>
    </row>
    <row r="210" spans="1:23">
      <c r="A210" s="130">
        <v>45907</v>
      </c>
      <c r="B210" s="130" t="s">
        <v>2666</v>
      </c>
      <c r="C210" s="130" t="s">
        <v>2667</v>
      </c>
      <c r="D210" s="130" t="s">
        <v>2668</v>
      </c>
      <c r="E210" s="130">
        <v>85086</v>
      </c>
      <c r="F210" s="130" t="s">
        <v>2669</v>
      </c>
      <c r="G210" s="130" t="s">
        <v>2364</v>
      </c>
      <c r="H210" s="130" t="s">
        <v>27</v>
      </c>
      <c r="I210" s="130"/>
      <c r="J210" s="130"/>
      <c r="K210" s="130"/>
      <c r="L210" s="130"/>
      <c r="M210" s="130"/>
      <c r="N210" s="130"/>
      <c r="O210" s="130"/>
      <c r="P210" s="130"/>
      <c r="Q210" s="130"/>
      <c r="R210" s="130"/>
      <c r="S210" s="130"/>
      <c r="T210" s="130"/>
      <c r="U210" s="130"/>
      <c r="V210" s="130"/>
      <c r="W210" s="130" t="s">
        <v>27</v>
      </c>
    </row>
    <row r="211" spans="1:23">
      <c r="A211" s="130">
        <v>45907</v>
      </c>
      <c r="B211" s="130" t="s">
        <v>2679</v>
      </c>
      <c r="C211" s="130" t="s">
        <v>2680</v>
      </c>
      <c r="D211" s="130" t="s">
        <v>2681</v>
      </c>
      <c r="E211" s="130">
        <v>85342</v>
      </c>
      <c r="F211" s="130" t="s">
        <v>31</v>
      </c>
      <c r="G211" s="130" t="s">
        <v>2364</v>
      </c>
      <c r="H211" s="130" t="s">
        <v>27</v>
      </c>
      <c r="I211" s="130"/>
      <c r="J211" s="130"/>
      <c r="K211" s="130"/>
      <c r="L211" s="130"/>
      <c r="M211" s="130"/>
      <c r="N211" s="130"/>
      <c r="O211" s="130"/>
      <c r="P211" s="130"/>
      <c r="Q211" s="130"/>
      <c r="R211" s="130"/>
      <c r="S211" s="130"/>
      <c r="T211" s="130"/>
      <c r="U211" s="130"/>
      <c r="V211" s="130"/>
      <c r="W211" s="130" t="s">
        <v>27</v>
      </c>
    </row>
    <row r="212" spans="1:23">
      <c r="A212" s="130">
        <v>45907</v>
      </c>
      <c r="B212" s="130" t="s">
        <v>2688</v>
      </c>
      <c r="C212" s="130" t="s">
        <v>2689</v>
      </c>
      <c r="D212" s="130" t="s">
        <v>63</v>
      </c>
      <c r="E212" s="130">
        <v>85028</v>
      </c>
      <c r="F212" s="130" t="s">
        <v>310</v>
      </c>
      <c r="G212" s="130" t="s">
        <v>2364</v>
      </c>
      <c r="H212" s="130" t="s">
        <v>27</v>
      </c>
      <c r="I212" s="130"/>
      <c r="J212" s="130"/>
      <c r="K212" s="130"/>
      <c r="L212" s="130"/>
      <c r="M212" s="130"/>
      <c r="N212" s="130"/>
      <c r="O212" s="130"/>
      <c r="P212" s="130"/>
      <c r="Q212" s="130"/>
      <c r="R212" s="130"/>
      <c r="S212" s="130"/>
      <c r="T212" s="130"/>
      <c r="U212" s="130"/>
      <c r="V212" s="130"/>
      <c r="W212" s="130" t="s">
        <v>27</v>
      </c>
    </row>
    <row r="213" spans="1:23">
      <c r="A213" s="130">
        <v>45907</v>
      </c>
      <c r="B213" s="130" t="s">
        <v>2716</v>
      </c>
      <c r="C213" s="130" t="s">
        <v>2717</v>
      </c>
      <c r="D213" s="130" t="s">
        <v>63</v>
      </c>
      <c r="E213" s="130">
        <v>85006</v>
      </c>
      <c r="F213" s="130" t="s">
        <v>31</v>
      </c>
      <c r="G213" s="130" t="s">
        <v>2364</v>
      </c>
      <c r="H213" s="130" t="s">
        <v>90</v>
      </c>
      <c r="I213" s="130"/>
      <c r="J213" s="130"/>
      <c r="K213" s="130"/>
      <c r="L213" s="130"/>
      <c r="M213" s="130"/>
      <c r="N213" s="130"/>
      <c r="O213" s="130"/>
      <c r="P213" s="130"/>
      <c r="Q213" s="130"/>
      <c r="R213" s="130"/>
      <c r="S213" s="130"/>
      <c r="T213" s="130"/>
      <c r="U213" s="130"/>
      <c r="V213" s="130"/>
      <c r="W213" s="130" t="s">
        <v>90</v>
      </c>
    </row>
    <row r="214" spans="1:23">
      <c r="A214" s="130">
        <v>45907</v>
      </c>
      <c r="B214" s="130" t="s">
        <v>2718</v>
      </c>
      <c r="C214" s="130" t="s">
        <v>2719</v>
      </c>
      <c r="D214" s="130" t="s">
        <v>63</v>
      </c>
      <c r="E214" s="130">
        <v>85006</v>
      </c>
      <c r="F214" s="130" t="s">
        <v>2720</v>
      </c>
      <c r="G214" s="130" t="s">
        <v>2364</v>
      </c>
      <c r="H214" s="130" t="s">
        <v>27</v>
      </c>
      <c r="I214" s="130"/>
      <c r="J214" s="130"/>
      <c r="K214" s="130"/>
      <c r="L214" s="130"/>
      <c r="M214" s="130"/>
      <c r="N214" s="130"/>
      <c r="O214" s="130"/>
      <c r="P214" s="130"/>
      <c r="Q214" s="130"/>
      <c r="R214" s="130"/>
      <c r="S214" s="130"/>
      <c r="T214" s="130"/>
      <c r="U214" s="130"/>
      <c r="V214" s="130"/>
      <c r="W214" s="130" t="s">
        <v>27</v>
      </c>
    </row>
    <row r="215" spans="1:23">
      <c r="A215" s="130">
        <v>45907</v>
      </c>
      <c r="B215" s="130" t="s">
        <v>2726</v>
      </c>
      <c r="C215" s="130" t="s">
        <v>611</v>
      </c>
      <c r="D215" s="130" t="s">
        <v>2429</v>
      </c>
      <c r="E215" s="130">
        <v>85132</v>
      </c>
      <c r="F215" s="130" t="s">
        <v>31</v>
      </c>
      <c r="G215" s="130" t="s">
        <v>2364</v>
      </c>
      <c r="H215" s="130" t="s">
        <v>27</v>
      </c>
      <c r="I215" s="130"/>
      <c r="J215" s="130"/>
      <c r="K215" s="130"/>
      <c r="L215" s="130"/>
      <c r="M215" s="130"/>
      <c r="N215" s="130"/>
      <c r="O215" s="130"/>
      <c r="P215" s="130"/>
      <c r="Q215" s="130"/>
      <c r="R215" s="130"/>
      <c r="S215" s="130"/>
      <c r="T215" s="130"/>
      <c r="U215" s="130"/>
      <c r="V215" s="130"/>
      <c r="W215" s="130" t="s">
        <v>27</v>
      </c>
    </row>
    <row r="216" spans="1:23">
      <c r="A216" s="130">
        <v>45907</v>
      </c>
      <c r="B216" s="130" t="s">
        <v>2738</v>
      </c>
      <c r="C216" s="130" t="s">
        <v>199</v>
      </c>
      <c r="D216" s="130" t="s">
        <v>504</v>
      </c>
      <c r="E216" s="130">
        <v>86001</v>
      </c>
      <c r="F216" s="130" t="s">
        <v>31</v>
      </c>
      <c r="G216" s="130" t="s">
        <v>2364</v>
      </c>
      <c r="H216" s="130" t="s">
        <v>90</v>
      </c>
      <c r="I216" s="130"/>
      <c r="J216" s="130"/>
      <c r="K216" s="130"/>
      <c r="L216" s="130"/>
      <c r="M216" s="130"/>
      <c r="N216" s="130"/>
      <c r="O216" s="130"/>
      <c r="P216" s="130"/>
      <c r="Q216" s="130"/>
      <c r="R216" s="130"/>
      <c r="S216" s="130"/>
      <c r="T216" s="130"/>
      <c r="U216" s="130"/>
      <c r="V216" s="130"/>
      <c r="W216" s="130" t="s">
        <v>90</v>
      </c>
    </row>
    <row r="217" spans="1:23">
      <c r="A217" s="130">
        <v>45907</v>
      </c>
      <c r="B217" s="130" t="s">
        <v>2774</v>
      </c>
      <c r="C217" s="130" t="s">
        <v>2395</v>
      </c>
      <c r="D217" s="130" t="s">
        <v>30</v>
      </c>
      <c r="E217" s="130" t="s">
        <v>30</v>
      </c>
      <c r="F217" s="130" t="s">
        <v>31</v>
      </c>
      <c r="G217" s="130" t="s">
        <v>2364</v>
      </c>
      <c r="H217" s="130" t="s">
        <v>27</v>
      </c>
      <c r="I217" s="130"/>
      <c r="J217" s="130"/>
      <c r="K217" s="130"/>
      <c r="L217" s="130"/>
      <c r="M217" s="130"/>
      <c r="N217" s="130"/>
      <c r="O217" s="130"/>
      <c r="P217" s="130"/>
      <c r="Q217" s="130"/>
      <c r="R217" s="130"/>
      <c r="S217" s="130"/>
      <c r="T217" s="130"/>
      <c r="U217" s="130"/>
      <c r="V217" s="130"/>
      <c r="W217" s="130" t="s">
        <v>27</v>
      </c>
    </row>
    <row r="218" spans="1:23">
      <c r="A218" s="130">
        <v>45907</v>
      </c>
      <c r="B218" s="130" t="s">
        <v>2776</v>
      </c>
      <c r="C218" s="130" t="s">
        <v>922</v>
      </c>
      <c r="D218" s="130" t="s">
        <v>30</v>
      </c>
      <c r="E218" s="130" t="s">
        <v>30</v>
      </c>
      <c r="F218" s="130" t="s">
        <v>310</v>
      </c>
      <c r="G218" s="130" t="s">
        <v>2364</v>
      </c>
      <c r="H218" s="130" t="s">
        <v>27</v>
      </c>
      <c r="I218" s="130"/>
      <c r="J218" s="130"/>
      <c r="K218" s="130"/>
      <c r="L218" s="130"/>
      <c r="M218" s="130"/>
      <c r="N218" s="130"/>
      <c r="O218" s="130"/>
      <c r="P218" s="130"/>
      <c r="Q218" s="130"/>
      <c r="R218" s="130"/>
      <c r="S218" s="130"/>
      <c r="T218" s="130"/>
      <c r="U218" s="130"/>
      <c r="V218" s="130"/>
      <c r="W218" s="130" t="s">
        <v>27</v>
      </c>
    </row>
    <row r="219" spans="1:23">
      <c r="A219" s="130">
        <v>45907</v>
      </c>
      <c r="B219" s="130" t="s">
        <v>2777</v>
      </c>
      <c r="C219" s="130" t="s">
        <v>2125</v>
      </c>
      <c r="D219" s="130" t="s">
        <v>30</v>
      </c>
      <c r="E219" s="130" t="s">
        <v>30</v>
      </c>
      <c r="F219" s="130" t="s">
        <v>310</v>
      </c>
      <c r="G219" s="130" t="s">
        <v>2364</v>
      </c>
      <c r="H219" s="130" t="s">
        <v>27</v>
      </c>
      <c r="I219" s="130"/>
      <c r="J219" s="130"/>
      <c r="K219" s="130"/>
      <c r="L219" s="130"/>
      <c r="M219" s="130"/>
      <c r="N219" s="130"/>
      <c r="O219" s="130"/>
      <c r="P219" s="130"/>
      <c r="Q219" s="130"/>
      <c r="R219" s="130"/>
      <c r="S219" s="130"/>
      <c r="T219" s="130"/>
      <c r="U219" s="130"/>
      <c r="V219" s="130"/>
      <c r="W219" s="130" t="s">
        <v>27</v>
      </c>
    </row>
    <row r="220" spans="1:23">
      <c r="A220" s="130">
        <v>45909</v>
      </c>
      <c r="B220" s="130" t="s">
        <v>1703</v>
      </c>
      <c r="C220" s="130" t="s">
        <v>2793</v>
      </c>
      <c r="D220" s="130" t="s">
        <v>63</v>
      </c>
      <c r="E220" s="130">
        <v>85032</v>
      </c>
      <c r="F220" s="130" t="s">
        <v>310</v>
      </c>
      <c r="G220" s="130" t="s">
        <v>2782</v>
      </c>
      <c r="H220" s="130" t="s">
        <v>27</v>
      </c>
      <c r="I220" s="130"/>
      <c r="J220" s="130"/>
      <c r="K220" s="130"/>
      <c r="L220" s="130"/>
      <c r="M220" s="130"/>
      <c r="N220" s="130"/>
      <c r="O220" s="130"/>
      <c r="P220" s="130"/>
      <c r="Q220" s="130"/>
      <c r="R220" s="130"/>
      <c r="S220" s="130"/>
      <c r="T220" s="130"/>
      <c r="U220" s="130"/>
      <c r="V220" s="130"/>
      <c r="W220" s="130" t="s">
        <v>27</v>
      </c>
    </row>
    <row r="221" spans="1:23">
      <c r="A221" s="130">
        <v>45909</v>
      </c>
      <c r="B221" s="130" t="s">
        <v>312</v>
      </c>
      <c r="C221" s="130" t="s">
        <v>553</v>
      </c>
      <c r="D221" s="130" t="s">
        <v>24</v>
      </c>
      <c r="E221" s="130">
        <v>85308</v>
      </c>
      <c r="F221" s="130" t="s">
        <v>2129</v>
      </c>
      <c r="G221" s="130" t="s">
        <v>2782</v>
      </c>
      <c r="H221" s="130" t="s">
        <v>27</v>
      </c>
      <c r="I221" s="130"/>
      <c r="J221" s="130"/>
      <c r="K221" s="130"/>
      <c r="L221" s="130"/>
      <c r="M221" s="130"/>
      <c r="N221" s="130"/>
      <c r="O221" s="130"/>
      <c r="P221" s="130"/>
      <c r="Q221" s="130"/>
      <c r="R221" s="130"/>
      <c r="S221" s="130"/>
      <c r="T221" s="130"/>
      <c r="U221" s="130"/>
      <c r="V221" s="130"/>
      <c r="W221" s="130" t="s">
        <v>27</v>
      </c>
    </row>
    <row r="222" spans="1:23">
      <c r="A222" s="130">
        <v>45909</v>
      </c>
      <c r="B222" s="130" t="s">
        <v>2825</v>
      </c>
      <c r="C222" s="130" t="s">
        <v>2587</v>
      </c>
      <c r="D222" s="130" t="s">
        <v>63</v>
      </c>
      <c r="E222" s="130">
        <v>85006</v>
      </c>
      <c r="F222" s="130" t="s">
        <v>31</v>
      </c>
      <c r="G222" s="130" t="s">
        <v>2812</v>
      </c>
      <c r="H222" s="130" t="s">
        <v>27</v>
      </c>
      <c r="I222" s="130"/>
      <c r="J222" s="130"/>
      <c r="K222" s="130"/>
      <c r="L222" s="130"/>
      <c r="M222" s="130"/>
      <c r="N222" s="130"/>
      <c r="O222" s="130"/>
      <c r="P222" s="130"/>
      <c r="Q222" s="130"/>
      <c r="R222" s="130"/>
      <c r="S222" s="130"/>
      <c r="T222" s="130"/>
      <c r="U222" s="130"/>
      <c r="V222" s="130"/>
      <c r="W222" s="130" t="s">
        <v>27</v>
      </c>
    </row>
    <row r="223" spans="1:23">
      <c r="A223" s="130">
        <v>45909</v>
      </c>
      <c r="B223" s="130" t="s">
        <v>2594</v>
      </c>
      <c r="C223" s="130" t="s">
        <v>206</v>
      </c>
      <c r="D223" s="130" t="s">
        <v>30</v>
      </c>
      <c r="E223" s="130" t="s">
        <v>30</v>
      </c>
      <c r="F223" s="130" t="s">
        <v>2831</v>
      </c>
      <c r="G223" s="130" t="s">
        <v>2812</v>
      </c>
      <c r="H223" s="130" t="s">
        <v>27</v>
      </c>
      <c r="I223" s="130"/>
      <c r="J223" s="130"/>
      <c r="K223" s="130"/>
      <c r="L223" s="130"/>
      <c r="M223" s="130"/>
      <c r="N223" s="130"/>
      <c r="O223" s="130"/>
      <c r="P223" s="130"/>
      <c r="Q223" s="130"/>
      <c r="R223" s="130"/>
      <c r="S223" s="130"/>
      <c r="T223" s="130"/>
      <c r="U223" s="130"/>
      <c r="V223" s="130"/>
      <c r="W223" s="130" t="s">
        <v>27</v>
      </c>
    </row>
    <row r="224" spans="1:23">
      <c r="A224" s="130">
        <v>45909</v>
      </c>
      <c r="B224" s="130" t="s">
        <v>2371</v>
      </c>
      <c r="C224" s="130" t="s">
        <v>2832</v>
      </c>
      <c r="D224" s="130" t="s">
        <v>30</v>
      </c>
      <c r="E224" s="130" t="s">
        <v>30</v>
      </c>
      <c r="F224" s="130" t="s">
        <v>310</v>
      </c>
      <c r="G224" s="130" t="s">
        <v>2812</v>
      </c>
      <c r="H224" s="130" t="s">
        <v>27</v>
      </c>
      <c r="I224" s="130"/>
      <c r="J224" s="130"/>
      <c r="K224" s="130"/>
      <c r="L224" s="130"/>
      <c r="M224" s="130"/>
      <c r="N224" s="130"/>
      <c r="O224" s="130"/>
      <c r="P224" s="130"/>
      <c r="Q224" s="130"/>
      <c r="R224" s="130"/>
      <c r="S224" s="130"/>
      <c r="T224" s="130"/>
      <c r="U224" s="130"/>
      <c r="V224" s="130"/>
      <c r="W224" s="130" t="s">
        <v>27</v>
      </c>
    </row>
    <row r="225" spans="1:23">
      <c r="A225" s="130">
        <v>45909</v>
      </c>
      <c r="B225" s="130" t="s">
        <v>930</v>
      </c>
      <c r="C225" s="130" t="s">
        <v>2169</v>
      </c>
      <c r="D225" s="130" t="s">
        <v>880</v>
      </c>
      <c r="E225" s="130">
        <v>85086</v>
      </c>
      <c r="F225" s="130" t="s">
        <v>2834</v>
      </c>
      <c r="G225" s="130" t="s">
        <v>2812</v>
      </c>
      <c r="H225" s="130" t="s">
        <v>27</v>
      </c>
      <c r="I225" s="130"/>
      <c r="J225" s="130"/>
      <c r="K225" s="130"/>
      <c r="L225" s="130"/>
      <c r="M225" s="130"/>
      <c r="N225" s="130"/>
      <c r="O225" s="130"/>
      <c r="P225" s="130"/>
      <c r="Q225" s="130"/>
      <c r="R225" s="130"/>
      <c r="S225" s="130"/>
      <c r="T225" s="130"/>
      <c r="U225" s="130"/>
      <c r="V225" s="130"/>
      <c r="W225" s="130" t="s">
        <v>27</v>
      </c>
    </row>
    <row r="226" spans="1:23">
      <c r="A226" s="130">
        <v>45909</v>
      </c>
      <c r="B226" s="130" t="s">
        <v>1013</v>
      </c>
      <c r="C226" s="130" t="s">
        <v>2835</v>
      </c>
      <c r="D226" s="130" t="s">
        <v>30</v>
      </c>
      <c r="E226" s="130" t="s">
        <v>30</v>
      </c>
      <c r="F226" s="130" t="s">
        <v>310</v>
      </c>
      <c r="G226" s="130" t="s">
        <v>2812</v>
      </c>
      <c r="H226" s="130" t="s">
        <v>27</v>
      </c>
      <c r="I226" s="130"/>
      <c r="J226" s="130"/>
      <c r="K226" s="130"/>
      <c r="L226" s="130"/>
      <c r="M226" s="130"/>
      <c r="N226" s="130"/>
      <c r="O226" s="130"/>
      <c r="P226" s="130"/>
      <c r="Q226" s="130"/>
      <c r="R226" s="130"/>
      <c r="S226" s="130"/>
      <c r="T226" s="130"/>
      <c r="U226" s="130"/>
      <c r="V226" s="130"/>
      <c r="W226" s="130" t="s">
        <v>27</v>
      </c>
    </row>
    <row r="227" spans="1:23">
      <c r="A227" s="130">
        <v>45909</v>
      </c>
      <c r="B227" s="130" t="s">
        <v>2838</v>
      </c>
      <c r="C227" s="130" t="s">
        <v>252</v>
      </c>
      <c r="D227" s="130" t="s">
        <v>30</v>
      </c>
      <c r="E227" s="130" t="s">
        <v>30</v>
      </c>
      <c r="F227" s="130" t="s">
        <v>310</v>
      </c>
      <c r="G227" s="130" t="s">
        <v>2812</v>
      </c>
      <c r="H227" s="130" t="s">
        <v>27</v>
      </c>
      <c r="I227" s="130"/>
      <c r="J227" s="130"/>
      <c r="K227" s="130"/>
      <c r="L227" s="130"/>
      <c r="M227" s="130"/>
      <c r="N227" s="130"/>
      <c r="O227" s="130"/>
      <c r="P227" s="130"/>
      <c r="Q227" s="130"/>
      <c r="R227" s="130"/>
      <c r="S227" s="130"/>
      <c r="T227" s="130"/>
      <c r="U227" s="130"/>
      <c r="V227" s="130"/>
      <c r="W227" s="130" t="s">
        <v>27</v>
      </c>
    </row>
    <row r="228" spans="1:23">
      <c r="A228" s="130">
        <v>45909</v>
      </c>
      <c r="B228" s="130" t="s">
        <v>2855</v>
      </c>
      <c r="C228" s="130" t="s">
        <v>780</v>
      </c>
      <c r="D228" s="130" t="s">
        <v>24</v>
      </c>
      <c r="E228" s="130">
        <v>85306</v>
      </c>
      <c r="F228" s="130" t="s">
        <v>2856</v>
      </c>
      <c r="G228" s="130" t="s">
        <v>2812</v>
      </c>
      <c r="H228" s="130" t="s">
        <v>27</v>
      </c>
      <c r="I228" s="130"/>
      <c r="J228" s="130"/>
      <c r="K228" s="130"/>
      <c r="L228" s="130"/>
      <c r="M228" s="130"/>
      <c r="N228" s="130"/>
      <c r="O228" s="130"/>
      <c r="P228" s="130"/>
      <c r="Q228" s="130"/>
      <c r="R228" s="130"/>
      <c r="S228" s="130"/>
      <c r="T228" s="130"/>
      <c r="U228" s="130"/>
      <c r="V228" s="130"/>
      <c r="W228" s="130" t="s">
        <v>27</v>
      </c>
    </row>
    <row r="229" spans="1:23">
      <c r="A229" s="130">
        <v>45909</v>
      </c>
      <c r="B229" s="130" t="s">
        <v>558</v>
      </c>
      <c r="C229" s="130" t="s">
        <v>135</v>
      </c>
      <c r="D229" s="130" t="s">
        <v>30</v>
      </c>
      <c r="E229" s="130" t="s">
        <v>30</v>
      </c>
      <c r="F229" s="130" t="s">
        <v>31</v>
      </c>
      <c r="G229" s="130" t="s">
        <v>2812</v>
      </c>
      <c r="H229" s="130" t="s">
        <v>27</v>
      </c>
      <c r="I229" s="130"/>
      <c r="J229" s="130"/>
      <c r="K229" s="130"/>
      <c r="L229" s="130"/>
      <c r="M229" s="130"/>
      <c r="N229" s="130"/>
      <c r="O229" s="130"/>
      <c r="P229" s="130"/>
      <c r="Q229" s="130"/>
      <c r="R229" s="130"/>
      <c r="S229" s="130"/>
      <c r="T229" s="130"/>
      <c r="U229" s="130"/>
      <c r="V229" s="130"/>
      <c r="W229" s="130" t="s">
        <v>27</v>
      </c>
    </row>
    <row r="230" spans="1:23">
      <c r="A230" s="130">
        <v>45909</v>
      </c>
      <c r="B230" s="130" t="s">
        <v>2867</v>
      </c>
      <c r="C230" s="130" t="s">
        <v>2868</v>
      </c>
      <c r="D230" s="130" t="s">
        <v>63</v>
      </c>
      <c r="E230" s="130">
        <v>85022</v>
      </c>
      <c r="F230" s="130" t="s">
        <v>31</v>
      </c>
      <c r="G230" s="130" t="s">
        <v>2812</v>
      </c>
      <c r="H230" s="130" t="s">
        <v>27</v>
      </c>
      <c r="I230" s="130"/>
      <c r="J230" s="130"/>
      <c r="K230" s="130"/>
      <c r="L230" s="130"/>
      <c r="M230" s="130"/>
      <c r="N230" s="130"/>
      <c r="O230" s="130"/>
      <c r="P230" s="130"/>
      <c r="Q230" s="130"/>
      <c r="R230" s="130"/>
      <c r="S230" s="130"/>
      <c r="T230" s="130"/>
      <c r="U230" s="130"/>
      <c r="V230" s="130"/>
      <c r="W230" s="130" t="s">
        <v>27</v>
      </c>
    </row>
    <row r="231" spans="1:23">
      <c r="A231" s="130">
        <v>45909</v>
      </c>
      <c r="B231" s="130" t="s">
        <v>2886</v>
      </c>
      <c r="C231" s="130" t="s">
        <v>135</v>
      </c>
      <c r="D231" s="130" t="s">
        <v>24</v>
      </c>
      <c r="E231" s="130">
        <v>85310</v>
      </c>
      <c r="F231" s="130" t="s">
        <v>2887</v>
      </c>
      <c r="G231" s="130" t="s">
        <v>2888</v>
      </c>
      <c r="H231" s="130" t="s">
        <v>27</v>
      </c>
      <c r="I231" s="130"/>
      <c r="J231" s="130"/>
      <c r="K231" s="130"/>
      <c r="L231" s="130"/>
      <c r="M231" s="130"/>
      <c r="N231" s="130"/>
      <c r="O231" s="130"/>
      <c r="P231" s="130"/>
      <c r="Q231" s="130"/>
      <c r="R231" s="130"/>
      <c r="S231" s="130"/>
      <c r="T231" s="130"/>
      <c r="U231" s="130"/>
      <c r="V231" s="130"/>
      <c r="W231" s="130" t="s">
        <v>27</v>
      </c>
    </row>
    <row r="232" spans="1:23">
      <c r="A232" s="130">
        <v>45909</v>
      </c>
      <c r="B232" s="130" t="s">
        <v>2896</v>
      </c>
      <c r="C232" s="130" t="s">
        <v>1375</v>
      </c>
      <c r="D232" s="130" t="s">
        <v>619</v>
      </c>
      <c r="E232" s="130">
        <v>85365</v>
      </c>
      <c r="F232" s="130" t="s">
        <v>2897</v>
      </c>
      <c r="G232" s="130" t="s">
        <v>2898</v>
      </c>
      <c r="H232" s="130" t="s">
        <v>27</v>
      </c>
      <c r="I232" s="130"/>
      <c r="J232" s="130"/>
      <c r="K232" s="130"/>
      <c r="L232" s="130"/>
      <c r="M232" s="130"/>
      <c r="N232" s="130"/>
      <c r="O232" s="130"/>
      <c r="P232" s="130"/>
      <c r="Q232" s="130"/>
      <c r="R232" s="130"/>
      <c r="S232" s="130"/>
      <c r="T232" s="130"/>
      <c r="U232" s="130"/>
      <c r="V232" s="130"/>
      <c r="W232" s="130" t="s">
        <v>27</v>
      </c>
    </row>
    <row r="233" spans="1:23">
      <c r="A233" s="130">
        <v>45910</v>
      </c>
      <c r="B233" s="130" t="s">
        <v>2899</v>
      </c>
      <c r="C233" s="130" t="s">
        <v>2769</v>
      </c>
      <c r="D233" s="130" t="s">
        <v>30</v>
      </c>
      <c r="E233" s="130" t="s">
        <v>30</v>
      </c>
      <c r="F233" s="130" t="s">
        <v>2900</v>
      </c>
      <c r="G233" s="130" t="s">
        <v>2901</v>
      </c>
      <c r="H233" s="130" t="s">
        <v>27</v>
      </c>
      <c r="I233" s="130"/>
      <c r="J233" s="130"/>
      <c r="K233" s="130"/>
      <c r="L233" s="130"/>
      <c r="M233" s="130"/>
      <c r="N233" s="130"/>
      <c r="O233" s="130"/>
      <c r="P233" s="130"/>
      <c r="Q233" s="130"/>
      <c r="R233" s="130"/>
      <c r="S233" s="130"/>
      <c r="T233" s="130"/>
      <c r="U233" s="130"/>
      <c r="V233" s="130"/>
      <c r="W233" s="130" t="s">
        <v>27</v>
      </c>
    </row>
    <row r="234" spans="1:23">
      <c r="A234" s="130">
        <v>45910</v>
      </c>
      <c r="B234" s="130" t="s">
        <v>2913</v>
      </c>
      <c r="C234" s="130" t="s">
        <v>135</v>
      </c>
      <c r="D234" s="130" t="s">
        <v>68</v>
      </c>
      <c r="E234" s="130">
        <v>85331</v>
      </c>
      <c r="F234" s="130" t="s">
        <v>310</v>
      </c>
      <c r="G234" s="130" t="s">
        <v>2901</v>
      </c>
      <c r="H234" s="130" t="s">
        <v>27</v>
      </c>
      <c r="I234" s="130"/>
      <c r="J234" s="130"/>
      <c r="K234" s="130"/>
      <c r="L234" s="130"/>
      <c r="M234" s="130"/>
      <c r="N234" s="130"/>
      <c r="O234" s="130"/>
      <c r="P234" s="130"/>
      <c r="Q234" s="130"/>
      <c r="R234" s="130"/>
      <c r="S234" s="130"/>
      <c r="T234" s="130"/>
      <c r="U234" s="130"/>
      <c r="V234" s="130"/>
      <c r="W234" s="130" t="s">
        <v>27</v>
      </c>
    </row>
    <row r="235" spans="1:23">
      <c r="A235" s="130">
        <v>45910</v>
      </c>
      <c r="B235" s="130" t="s">
        <v>2726</v>
      </c>
      <c r="C235" s="130" t="s">
        <v>479</v>
      </c>
      <c r="D235" s="130" t="s">
        <v>2927</v>
      </c>
      <c r="E235" s="130">
        <v>85344</v>
      </c>
      <c r="F235" s="130" t="s">
        <v>2928</v>
      </c>
      <c r="G235" s="130" t="s">
        <v>2920</v>
      </c>
      <c r="H235" s="130" t="s">
        <v>27</v>
      </c>
      <c r="I235" s="130"/>
      <c r="J235" s="130"/>
      <c r="K235" s="130"/>
      <c r="L235" s="130"/>
      <c r="M235" s="130"/>
      <c r="N235" s="130"/>
      <c r="O235" s="130"/>
      <c r="P235" s="130"/>
      <c r="Q235" s="130"/>
      <c r="R235" s="130"/>
      <c r="S235" s="130"/>
      <c r="T235" s="130"/>
      <c r="U235" s="130"/>
      <c r="V235" s="130"/>
      <c r="W235" s="130" t="s">
        <v>27</v>
      </c>
    </row>
    <row r="236" spans="1:23">
      <c r="A236" s="130">
        <v>45910</v>
      </c>
      <c r="B236" s="130" t="s">
        <v>2726</v>
      </c>
      <c r="C236" s="130" t="s">
        <v>1941</v>
      </c>
      <c r="D236" s="130" t="s">
        <v>2929</v>
      </c>
      <c r="E236" s="130">
        <v>85356</v>
      </c>
      <c r="F236" s="130" t="s">
        <v>31</v>
      </c>
      <c r="G236" s="130" t="s">
        <v>2920</v>
      </c>
      <c r="H236" s="130" t="s">
        <v>27</v>
      </c>
      <c r="I236" s="130"/>
      <c r="J236" s="130"/>
      <c r="K236" s="130"/>
      <c r="L236" s="130"/>
      <c r="M236" s="130"/>
      <c r="N236" s="130"/>
      <c r="O236" s="130"/>
      <c r="P236" s="130"/>
      <c r="Q236" s="130"/>
      <c r="R236" s="130"/>
      <c r="S236" s="130"/>
      <c r="T236" s="130"/>
      <c r="U236" s="130"/>
      <c r="V236" s="130"/>
      <c r="W236" s="130" t="s">
        <v>27</v>
      </c>
    </row>
    <row r="237" spans="1:23">
      <c r="A237" s="130">
        <v>45910</v>
      </c>
      <c r="B237" s="130" t="s">
        <v>2188</v>
      </c>
      <c r="C237" s="130" t="s">
        <v>2188</v>
      </c>
      <c r="D237" s="130" t="s">
        <v>30</v>
      </c>
      <c r="E237" s="130" t="s">
        <v>30</v>
      </c>
      <c r="F237" s="130" t="s">
        <v>2948</v>
      </c>
      <c r="G237" s="130" t="s">
        <v>2933</v>
      </c>
      <c r="H237" s="130" t="s">
        <v>27</v>
      </c>
      <c r="I237" s="130"/>
      <c r="J237" s="130"/>
      <c r="K237" s="130"/>
      <c r="L237" s="130"/>
      <c r="M237" s="130"/>
      <c r="N237" s="130"/>
      <c r="O237" s="130"/>
      <c r="P237" s="130"/>
      <c r="Q237" s="130"/>
      <c r="R237" s="130"/>
      <c r="S237" s="130"/>
      <c r="T237" s="130"/>
      <c r="U237" s="130"/>
      <c r="V237" s="130"/>
      <c r="W237" s="130" t="s">
        <v>27</v>
      </c>
    </row>
    <row r="238" spans="1:23">
      <c r="A238" s="130">
        <v>45911</v>
      </c>
      <c r="B238" s="130" t="s">
        <v>2955</v>
      </c>
      <c r="C238" s="130" t="s">
        <v>2956</v>
      </c>
      <c r="D238" s="130" t="s">
        <v>30</v>
      </c>
      <c r="E238" s="130" t="s">
        <v>30</v>
      </c>
      <c r="F238" s="130" t="s">
        <v>2957</v>
      </c>
      <c r="G238" s="130" t="s">
        <v>2949</v>
      </c>
      <c r="H238" s="130" t="s">
        <v>27</v>
      </c>
      <c r="I238" s="130"/>
      <c r="J238" s="130"/>
      <c r="K238" s="130"/>
      <c r="L238" s="130"/>
      <c r="M238" s="130"/>
      <c r="N238" s="130"/>
      <c r="O238" s="130"/>
      <c r="P238" s="130"/>
      <c r="Q238" s="130"/>
      <c r="R238" s="130"/>
      <c r="S238" s="130"/>
      <c r="T238" s="130"/>
      <c r="U238" s="130"/>
      <c r="V238" s="130"/>
      <c r="W238" s="130" t="s">
        <v>27</v>
      </c>
    </row>
    <row r="239" spans="1:23">
      <c r="A239" s="130">
        <v>45911</v>
      </c>
      <c r="B239" s="130" t="s">
        <v>2960</v>
      </c>
      <c r="C239" s="130" t="s">
        <v>2961</v>
      </c>
      <c r="D239" s="130" t="s">
        <v>30</v>
      </c>
      <c r="E239" s="130" t="s">
        <v>30</v>
      </c>
      <c r="F239" s="130" t="s">
        <v>310</v>
      </c>
      <c r="G239" s="130" t="s">
        <v>2949</v>
      </c>
      <c r="H239" s="130" t="s">
        <v>27</v>
      </c>
      <c r="I239" s="130"/>
      <c r="J239" s="130"/>
      <c r="K239" s="130"/>
      <c r="L239" s="130"/>
      <c r="M239" s="130"/>
      <c r="N239" s="130"/>
      <c r="O239" s="130"/>
      <c r="P239" s="130"/>
      <c r="Q239" s="130"/>
      <c r="R239" s="130"/>
      <c r="S239" s="130"/>
      <c r="T239" s="130"/>
      <c r="U239" s="130"/>
      <c r="V239" s="130"/>
      <c r="W239" s="130" t="s">
        <v>27</v>
      </c>
    </row>
    <row r="240" spans="1:23">
      <c r="A240" s="130">
        <v>45912</v>
      </c>
      <c r="B240" s="130" t="s">
        <v>2968</v>
      </c>
      <c r="C240" s="130" t="s">
        <v>2969</v>
      </c>
      <c r="D240" s="130" t="s">
        <v>30</v>
      </c>
      <c r="E240" s="130" t="s">
        <v>30</v>
      </c>
      <c r="F240" s="130" t="s">
        <v>31</v>
      </c>
      <c r="G240" s="130" t="s">
        <v>2970</v>
      </c>
      <c r="H240" s="130" t="s">
        <v>27</v>
      </c>
      <c r="I240" s="130"/>
      <c r="J240" s="130"/>
      <c r="K240" s="130"/>
      <c r="L240" s="130"/>
      <c r="M240" s="130"/>
      <c r="N240" s="130"/>
      <c r="O240" s="130"/>
      <c r="P240" s="130"/>
      <c r="Q240" s="130"/>
      <c r="R240" s="130"/>
      <c r="S240" s="130"/>
      <c r="T240" s="130"/>
      <c r="U240" s="130"/>
      <c r="V240" s="130"/>
      <c r="W240" s="130" t="s">
        <v>27</v>
      </c>
    </row>
    <row r="241" spans="1:23">
      <c r="A241" s="130">
        <v>45912</v>
      </c>
      <c r="B241" s="130" t="s">
        <v>2983</v>
      </c>
      <c r="C241" s="130" t="s">
        <v>2984</v>
      </c>
      <c r="D241" s="130" t="s">
        <v>63</v>
      </c>
      <c r="E241" s="130">
        <v>85014</v>
      </c>
      <c r="F241" s="130" t="s">
        <v>310</v>
      </c>
      <c r="G241" s="130" t="s">
        <v>2985</v>
      </c>
      <c r="H241" s="130" t="s">
        <v>27</v>
      </c>
      <c r="I241" s="130"/>
      <c r="J241" s="130"/>
      <c r="K241" s="130"/>
      <c r="L241" s="130"/>
      <c r="M241" s="130"/>
      <c r="N241" s="130"/>
      <c r="O241" s="130"/>
      <c r="P241" s="130"/>
      <c r="Q241" s="130"/>
      <c r="R241" s="130"/>
      <c r="S241" s="130"/>
      <c r="T241" s="130"/>
      <c r="U241" s="130"/>
      <c r="V241" s="130"/>
      <c r="W241" s="130" t="s">
        <v>27</v>
      </c>
    </row>
    <row r="242" spans="1:23">
      <c r="A242" s="130">
        <v>45912</v>
      </c>
      <c r="B242" s="130" t="s">
        <v>2989</v>
      </c>
      <c r="C242" s="130" t="s">
        <v>1815</v>
      </c>
      <c r="D242" s="130" t="s">
        <v>63</v>
      </c>
      <c r="E242" s="130">
        <v>85002</v>
      </c>
      <c r="F242" s="130" t="s">
        <v>2990</v>
      </c>
      <c r="G242" s="130" t="s">
        <v>2985</v>
      </c>
      <c r="H242" s="130" t="s">
        <v>27</v>
      </c>
      <c r="I242" s="130"/>
      <c r="J242" s="130"/>
      <c r="K242" s="130"/>
      <c r="L242" s="130"/>
      <c r="M242" s="130"/>
      <c r="N242" s="130"/>
      <c r="O242" s="130"/>
      <c r="P242" s="130"/>
      <c r="Q242" s="130"/>
      <c r="R242" s="130"/>
      <c r="S242" s="130"/>
      <c r="T242" s="130"/>
      <c r="U242" s="130"/>
      <c r="V242" s="130"/>
      <c r="W242" s="130" t="s">
        <v>27</v>
      </c>
    </row>
    <row r="243" spans="1:23">
      <c r="A243" s="130">
        <v>45912</v>
      </c>
      <c r="B243" s="130" t="s">
        <v>2991</v>
      </c>
      <c r="C243" s="130" t="s">
        <v>312</v>
      </c>
      <c r="D243" s="130" t="s">
        <v>63</v>
      </c>
      <c r="E243" s="130">
        <v>85013</v>
      </c>
      <c r="F243" s="130" t="s">
        <v>31</v>
      </c>
      <c r="G243" s="130" t="s">
        <v>2985</v>
      </c>
      <c r="H243" s="130" t="s">
        <v>27</v>
      </c>
      <c r="I243" s="130"/>
      <c r="J243" s="130"/>
      <c r="K243" s="130"/>
      <c r="L243" s="130"/>
      <c r="M243" s="130"/>
      <c r="N243" s="130"/>
      <c r="O243" s="130"/>
      <c r="P243" s="130"/>
      <c r="Q243" s="130"/>
      <c r="R243" s="130"/>
      <c r="S243" s="130"/>
      <c r="T243" s="130"/>
      <c r="U243" s="130"/>
      <c r="V243" s="130"/>
      <c r="W243" s="130" t="s">
        <v>27</v>
      </c>
    </row>
    <row r="244" spans="1:23">
      <c r="A244" s="130">
        <v>45913</v>
      </c>
      <c r="B244" s="130" t="s">
        <v>3025</v>
      </c>
      <c r="C244" s="130" t="s">
        <v>1634</v>
      </c>
      <c r="D244" s="130" t="s">
        <v>63</v>
      </c>
      <c r="E244" s="130">
        <v>85032</v>
      </c>
      <c r="F244" s="130" t="s">
        <v>31</v>
      </c>
      <c r="G244" s="130" t="s">
        <v>2985</v>
      </c>
      <c r="H244" s="130" t="s">
        <v>27</v>
      </c>
      <c r="I244" s="130"/>
      <c r="J244" s="130"/>
      <c r="K244" s="130"/>
      <c r="L244" s="130"/>
      <c r="M244" s="130"/>
      <c r="N244" s="130"/>
      <c r="O244" s="130"/>
      <c r="P244" s="130"/>
      <c r="Q244" s="130"/>
      <c r="R244" s="130"/>
      <c r="S244" s="130"/>
      <c r="T244" s="130"/>
      <c r="U244" s="130"/>
      <c r="V244" s="130"/>
      <c r="W244" s="130" t="s">
        <v>27</v>
      </c>
    </row>
    <row r="245" spans="1:23">
      <c r="A245" s="130">
        <v>45913</v>
      </c>
      <c r="B245" s="130" t="s">
        <v>3026</v>
      </c>
      <c r="C245" s="130" t="s">
        <v>3006</v>
      </c>
      <c r="D245" s="130" t="s">
        <v>63</v>
      </c>
      <c r="E245" s="130">
        <v>85003</v>
      </c>
      <c r="F245" s="130" t="s">
        <v>31</v>
      </c>
      <c r="G245" s="130" t="s">
        <v>2985</v>
      </c>
      <c r="H245" s="130" t="s">
        <v>27</v>
      </c>
      <c r="I245" s="130"/>
      <c r="J245" s="130"/>
      <c r="K245" s="130"/>
      <c r="L245" s="130"/>
      <c r="M245" s="130"/>
      <c r="N245" s="130"/>
      <c r="O245" s="130"/>
      <c r="P245" s="130"/>
      <c r="Q245" s="130"/>
      <c r="R245" s="130"/>
      <c r="S245" s="130"/>
      <c r="T245" s="130"/>
      <c r="U245" s="130"/>
      <c r="V245" s="130"/>
      <c r="W245" s="130" t="s">
        <v>27</v>
      </c>
    </row>
    <row r="246" spans="1:23">
      <c r="A246" s="130">
        <v>45913</v>
      </c>
      <c r="B246" s="130" t="s">
        <v>3027</v>
      </c>
      <c r="C246" s="130" t="s">
        <v>3028</v>
      </c>
      <c r="D246" s="130" t="s">
        <v>112</v>
      </c>
      <c r="E246" s="130">
        <v>85374</v>
      </c>
      <c r="F246" s="130" t="s">
        <v>31</v>
      </c>
      <c r="G246" s="130" t="s">
        <v>2985</v>
      </c>
      <c r="H246" s="130" t="s">
        <v>27</v>
      </c>
      <c r="I246" s="130"/>
      <c r="J246" s="130"/>
      <c r="K246" s="130"/>
      <c r="L246" s="130"/>
      <c r="M246" s="130"/>
      <c r="N246" s="130"/>
      <c r="O246" s="130"/>
      <c r="P246" s="130"/>
      <c r="Q246" s="130"/>
      <c r="R246" s="130"/>
      <c r="S246" s="130"/>
      <c r="T246" s="130"/>
      <c r="U246" s="130"/>
      <c r="V246" s="130"/>
      <c r="W246" s="130" t="s">
        <v>27</v>
      </c>
    </row>
    <row r="247" spans="1:23">
      <c r="A247" s="130">
        <v>45914</v>
      </c>
      <c r="B247" s="130" t="s">
        <v>3048</v>
      </c>
      <c r="C247" s="130" t="s">
        <v>1472</v>
      </c>
      <c r="D247" s="130" t="s">
        <v>202</v>
      </c>
      <c r="E247" s="130">
        <v>85383</v>
      </c>
      <c r="F247" s="130" t="s">
        <v>3049</v>
      </c>
      <c r="G247" s="130" t="s">
        <v>2985</v>
      </c>
      <c r="H247" s="130" t="s">
        <v>27</v>
      </c>
      <c r="I247" s="130"/>
      <c r="J247" s="130"/>
      <c r="K247" s="130"/>
      <c r="L247" s="130"/>
      <c r="M247" s="130"/>
      <c r="N247" s="130"/>
      <c r="O247" s="130"/>
      <c r="P247" s="130"/>
      <c r="Q247" s="130"/>
      <c r="R247" s="130"/>
      <c r="S247" s="130"/>
      <c r="T247" s="130"/>
      <c r="U247" s="130"/>
      <c r="V247" s="130"/>
      <c r="W247" s="130" t="s">
        <v>27</v>
      </c>
    </row>
    <row r="248" spans="1:23">
      <c r="A248" s="130">
        <v>45918</v>
      </c>
      <c r="B248" s="130" t="s">
        <v>3085</v>
      </c>
      <c r="C248" s="130" t="s">
        <v>399</v>
      </c>
      <c r="D248" s="130" t="s">
        <v>24</v>
      </c>
      <c r="E248" s="130">
        <v>85310</v>
      </c>
      <c r="F248" s="130" t="s">
        <v>3086</v>
      </c>
      <c r="G248" s="130" t="s">
        <v>3083</v>
      </c>
      <c r="H248" s="130" t="s">
        <v>27</v>
      </c>
      <c r="I248" s="130"/>
      <c r="J248" s="130"/>
      <c r="K248" s="130"/>
      <c r="L248" s="130"/>
      <c r="M248" s="130"/>
      <c r="N248" s="130"/>
      <c r="O248" s="130"/>
      <c r="P248" s="130"/>
      <c r="Q248" s="130"/>
      <c r="R248" s="130"/>
      <c r="S248" s="130"/>
      <c r="T248" s="130"/>
      <c r="U248" s="130"/>
      <c r="V248" s="130"/>
      <c r="W248" s="130" t="s">
        <v>27</v>
      </c>
    </row>
    <row r="249" spans="1:23">
      <c r="A249" s="130">
        <v>45918</v>
      </c>
      <c r="B249" s="130" t="s">
        <v>1148</v>
      </c>
      <c r="C249" s="130" t="s">
        <v>821</v>
      </c>
      <c r="D249" s="130" t="s">
        <v>169</v>
      </c>
      <c r="E249" s="130">
        <v>85338</v>
      </c>
      <c r="F249" s="130" t="s">
        <v>3087</v>
      </c>
      <c r="G249" s="130" t="s">
        <v>3083</v>
      </c>
      <c r="H249" s="130" t="s">
        <v>27</v>
      </c>
      <c r="I249" s="130"/>
      <c r="J249" s="130"/>
      <c r="K249" s="130"/>
      <c r="L249" s="130"/>
      <c r="M249" s="130"/>
      <c r="N249" s="130"/>
      <c r="O249" s="130"/>
      <c r="P249" s="130"/>
      <c r="Q249" s="130"/>
      <c r="R249" s="130"/>
      <c r="S249" s="130"/>
      <c r="T249" s="130"/>
      <c r="U249" s="130"/>
      <c r="V249" s="130"/>
      <c r="W249" s="130" t="s">
        <v>27</v>
      </c>
    </row>
    <row r="250" spans="1:23">
      <c r="A250" s="130">
        <v>45918</v>
      </c>
      <c r="B250" s="130" t="s">
        <v>3095</v>
      </c>
      <c r="C250" s="130" t="s">
        <v>747</v>
      </c>
      <c r="D250" s="130" t="s">
        <v>63</v>
      </c>
      <c r="E250" s="130">
        <v>85024</v>
      </c>
      <c r="F250" s="130" t="s">
        <v>3096</v>
      </c>
      <c r="G250" s="130" t="s">
        <v>3083</v>
      </c>
      <c r="H250" s="130" t="s">
        <v>27</v>
      </c>
      <c r="I250" s="130"/>
      <c r="J250" s="130"/>
      <c r="K250" s="130"/>
      <c r="L250" s="130"/>
      <c r="M250" s="130"/>
      <c r="N250" s="130"/>
      <c r="O250" s="130"/>
      <c r="P250" s="130"/>
      <c r="Q250" s="130"/>
      <c r="R250" s="130"/>
      <c r="S250" s="130"/>
      <c r="T250" s="130"/>
      <c r="U250" s="130"/>
      <c r="V250" s="130"/>
      <c r="W250" s="130" t="s">
        <v>27</v>
      </c>
    </row>
    <row r="251" spans="1:23">
      <c r="A251" s="130">
        <v>45918</v>
      </c>
      <c r="B251" s="130" t="s">
        <v>3104</v>
      </c>
      <c r="C251" s="130" t="s">
        <v>481</v>
      </c>
      <c r="D251" s="130" t="s">
        <v>1198</v>
      </c>
      <c r="E251" s="130">
        <v>85607</v>
      </c>
      <c r="F251" s="130" t="s">
        <v>3105</v>
      </c>
      <c r="G251" s="130" t="s">
        <v>3083</v>
      </c>
      <c r="H251" s="130" t="s">
        <v>90</v>
      </c>
      <c r="I251" s="130"/>
      <c r="J251" s="130"/>
      <c r="K251" s="130"/>
      <c r="L251" s="130"/>
      <c r="M251" s="130"/>
      <c r="N251" s="130"/>
      <c r="O251" s="130"/>
      <c r="P251" s="130"/>
      <c r="Q251" s="130"/>
      <c r="R251" s="130"/>
      <c r="S251" s="130"/>
      <c r="T251" s="130"/>
      <c r="U251" s="130"/>
      <c r="V251" s="130"/>
      <c r="W251" s="130" t="s">
        <v>90</v>
      </c>
    </row>
    <row r="252" spans="1:23">
      <c r="A252" s="130">
        <v>45918</v>
      </c>
      <c r="B252" s="130" t="s">
        <v>655</v>
      </c>
      <c r="C252" s="130" t="s">
        <v>3121</v>
      </c>
      <c r="D252" s="130" t="s">
        <v>202</v>
      </c>
      <c r="E252" s="130">
        <v>85383</v>
      </c>
      <c r="F252" s="130" t="s">
        <v>3122</v>
      </c>
      <c r="G252" s="130" t="s">
        <v>3083</v>
      </c>
      <c r="H252" s="130" t="s">
        <v>27</v>
      </c>
      <c r="I252" s="130"/>
      <c r="J252" s="130"/>
      <c r="K252" s="130"/>
      <c r="L252" s="130"/>
      <c r="M252" s="130"/>
      <c r="N252" s="130"/>
      <c r="O252" s="130"/>
      <c r="P252" s="130"/>
      <c r="Q252" s="130"/>
      <c r="R252" s="130"/>
      <c r="S252" s="130"/>
      <c r="T252" s="130"/>
      <c r="U252" s="130"/>
      <c r="V252" s="130"/>
      <c r="W252" s="130" t="s">
        <v>27</v>
      </c>
    </row>
    <row r="253" spans="1:23">
      <c r="A253" s="130">
        <v>45919</v>
      </c>
      <c r="B253" s="130" t="s">
        <v>930</v>
      </c>
      <c r="C253" s="130" t="s">
        <v>135</v>
      </c>
      <c r="D253" s="130" t="s">
        <v>112</v>
      </c>
      <c r="E253" s="130">
        <v>85379</v>
      </c>
      <c r="F253" s="130" t="s">
        <v>3161</v>
      </c>
      <c r="G253" s="130" t="s">
        <v>3155</v>
      </c>
      <c r="H253" s="130" t="s">
        <v>27</v>
      </c>
      <c r="I253" s="130"/>
      <c r="J253" s="130"/>
      <c r="K253" s="130"/>
      <c r="L253" s="130"/>
      <c r="M253" s="130"/>
      <c r="N253" s="130"/>
      <c r="O253" s="130"/>
      <c r="P253" s="130"/>
      <c r="Q253" s="130"/>
      <c r="R253" s="130"/>
      <c r="S253" s="130"/>
      <c r="T253" s="130"/>
      <c r="U253" s="130"/>
      <c r="V253" s="130"/>
      <c r="W253" s="130" t="s">
        <v>27</v>
      </c>
    </row>
    <row r="254" spans="1:23">
      <c r="A254" s="130">
        <v>45919</v>
      </c>
      <c r="B254" s="130" t="s">
        <v>3166</v>
      </c>
      <c r="C254" s="130" t="s">
        <v>481</v>
      </c>
      <c r="D254" s="130" t="s">
        <v>136</v>
      </c>
      <c r="E254" s="130">
        <v>85377</v>
      </c>
      <c r="F254" s="130" t="s">
        <v>3167</v>
      </c>
      <c r="G254" s="130" t="s">
        <v>3155</v>
      </c>
      <c r="H254" s="130" t="s">
        <v>27</v>
      </c>
      <c r="I254" s="130"/>
      <c r="J254" s="130"/>
      <c r="K254" s="130"/>
      <c r="L254" s="130"/>
      <c r="M254" s="130"/>
      <c r="N254" s="130"/>
      <c r="O254" s="130"/>
      <c r="P254" s="130"/>
      <c r="Q254" s="130"/>
      <c r="R254" s="130"/>
      <c r="S254" s="130"/>
      <c r="T254" s="130"/>
      <c r="U254" s="130"/>
      <c r="V254" s="130"/>
      <c r="W254" s="130" t="s">
        <v>27</v>
      </c>
    </row>
    <row r="255" spans="1:23">
      <c r="A255" s="130">
        <v>45919</v>
      </c>
      <c r="B255" s="130" t="s">
        <v>3168</v>
      </c>
      <c r="C255" s="130" t="s">
        <v>835</v>
      </c>
      <c r="D255" s="130" t="s">
        <v>169</v>
      </c>
      <c r="E255" s="130">
        <v>85339</v>
      </c>
      <c r="F255" s="130" t="s">
        <v>3169</v>
      </c>
      <c r="G255" s="130" t="s">
        <v>3155</v>
      </c>
      <c r="H255" s="130" t="s">
        <v>27</v>
      </c>
      <c r="I255" s="130"/>
      <c r="J255" s="130"/>
      <c r="K255" s="130"/>
      <c r="L255" s="130"/>
      <c r="M255" s="130"/>
      <c r="N255" s="130"/>
      <c r="O255" s="130"/>
      <c r="P255" s="130"/>
      <c r="Q255" s="130"/>
      <c r="R255" s="130"/>
      <c r="S255" s="130"/>
      <c r="T255" s="130"/>
      <c r="U255" s="130"/>
      <c r="V255" s="130"/>
      <c r="W255" s="130" t="s">
        <v>27</v>
      </c>
    </row>
    <row r="256" spans="1:23">
      <c r="A256" s="130">
        <v>45919</v>
      </c>
      <c r="B256" s="130" t="s">
        <v>3170</v>
      </c>
      <c r="C256" s="130" t="s">
        <v>3171</v>
      </c>
      <c r="D256" s="130" t="s">
        <v>63</v>
      </c>
      <c r="E256" s="130">
        <v>85032</v>
      </c>
      <c r="F256" s="130" t="s">
        <v>3172</v>
      </c>
      <c r="G256" s="130" t="s">
        <v>3155</v>
      </c>
      <c r="H256" s="130" t="s">
        <v>27</v>
      </c>
      <c r="I256" s="130"/>
      <c r="J256" s="130"/>
      <c r="K256" s="130"/>
      <c r="L256" s="130"/>
      <c r="M256" s="130"/>
      <c r="N256" s="130"/>
      <c r="O256" s="130"/>
      <c r="P256" s="130"/>
      <c r="Q256" s="130"/>
      <c r="R256" s="130"/>
      <c r="S256" s="130"/>
      <c r="T256" s="130"/>
      <c r="U256" s="130"/>
      <c r="V256" s="130"/>
      <c r="W256" s="130" t="s">
        <v>27</v>
      </c>
    </row>
    <row r="257" spans="1:23">
      <c r="A257" s="130">
        <v>45919</v>
      </c>
      <c r="B257" s="130" t="s">
        <v>399</v>
      </c>
      <c r="C257" s="130" t="s">
        <v>3198</v>
      </c>
      <c r="D257" s="130" t="s">
        <v>3192</v>
      </c>
      <c r="E257" s="130">
        <v>85253</v>
      </c>
      <c r="F257" s="130" t="s">
        <v>3199</v>
      </c>
      <c r="G257" s="130" t="s">
        <v>3189</v>
      </c>
      <c r="H257" s="130" t="s">
        <v>27</v>
      </c>
      <c r="I257" s="130"/>
      <c r="J257" s="130"/>
      <c r="K257" s="130"/>
      <c r="L257" s="130"/>
      <c r="M257" s="130"/>
      <c r="N257" s="130"/>
      <c r="O257" s="130"/>
      <c r="P257" s="130"/>
      <c r="Q257" s="130"/>
      <c r="R257" s="130"/>
      <c r="S257" s="130"/>
      <c r="T257" s="130"/>
      <c r="U257" s="130"/>
      <c r="V257" s="130"/>
      <c r="W257" s="130" t="s">
        <v>27</v>
      </c>
    </row>
    <row r="258" spans="1:23">
      <c r="A258" s="130">
        <v>45919</v>
      </c>
      <c r="B258" s="130" t="s">
        <v>3203</v>
      </c>
      <c r="C258" s="130" t="s">
        <v>3204</v>
      </c>
      <c r="D258" s="130" t="s">
        <v>3205</v>
      </c>
      <c r="E258" s="130">
        <v>85335</v>
      </c>
      <c r="F258" s="130" t="s">
        <v>3206</v>
      </c>
      <c r="G258" s="130" t="s">
        <v>3189</v>
      </c>
      <c r="H258" s="130" t="s">
        <v>27</v>
      </c>
      <c r="I258" s="130"/>
      <c r="J258" s="130"/>
      <c r="K258" s="130"/>
      <c r="L258" s="130"/>
      <c r="M258" s="130"/>
      <c r="N258" s="130"/>
      <c r="O258" s="130"/>
      <c r="P258" s="130"/>
      <c r="Q258" s="130"/>
      <c r="R258" s="130"/>
      <c r="S258" s="130"/>
      <c r="T258" s="130"/>
      <c r="U258" s="130"/>
      <c r="V258" s="130"/>
      <c r="W258" s="130" t="s">
        <v>27</v>
      </c>
    </row>
    <row r="259" spans="1:23">
      <c r="A259" s="130">
        <v>45919</v>
      </c>
      <c r="B259" s="130" t="s">
        <v>2571</v>
      </c>
      <c r="C259" s="130" t="s">
        <v>3226</v>
      </c>
      <c r="D259" s="130" t="s">
        <v>30</v>
      </c>
      <c r="E259" s="130" t="s">
        <v>30</v>
      </c>
      <c r="F259" s="130" t="s">
        <v>3227</v>
      </c>
      <c r="G259" s="130" t="s">
        <v>3189</v>
      </c>
      <c r="H259" s="130" t="s">
        <v>27</v>
      </c>
      <c r="I259" s="130"/>
      <c r="J259" s="130"/>
      <c r="K259" s="130"/>
      <c r="L259" s="130"/>
      <c r="M259" s="130"/>
      <c r="N259" s="130"/>
      <c r="O259" s="130"/>
      <c r="P259" s="130"/>
      <c r="Q259" s="130"/>
      <c r="R259" s="130"/>
      <c r="S259" s="130"/>
      <c r="T259" s="130"/>
      <c r="U259" s="130"/>
      <c r="V259" s="130"/>
      <c r="W259" s="130" t="s">
        <v>27</v>
      </c>
    </row>
    <row r="260" spans="1:23">
      <c r="A260" s="130" t="s">
        <v>3240</v>
      </c>
      <c r="B260" s="130" t="s">
        <v>160</v>
      </c>
      <c r="C260" s="130" t="s">
        <v>780</v>
      </c>
      <c r="D260" s="130" t="s">
        <v>63</v>
      </c>
      <c r="E260" s="130">
        <v>85015</v>
      </c>
      <c r="F260" s="130" t="s">
        <v>310</v>
      </c>
      <c r="G260" s="130" t="s">
        <v>2563</v>
      </c>
      <c r="H260" s="130" t="s">
        <v>27</v>
      </c>
      <c r="I260" s="130"/>
      <c r="J260" s="130"/>
      <c r="K260" s="130"/>
      <c r="L260" s="130"/>
      <c r="M260" s="130"/>
      <c r="N260" s="130"/>
      <c r="O260" s="130"/>
      <c r="P260" s="130"/>
      <c r="Q260" s="130"/>
      <c r="R260" s="130"/>
      <c r="S260" s="130"/>
      <c r="T260" s="130"/>
      <c r="U260" s="130"/>
      <c r="V260" s="130"/>
      <c r="W260" s="130" t="s">
        <v>27</v>
      </c>
    </row>
    <row r="261" spans="1:23">
      <c r="A261" s="130">
        <v>45919</v>
      </c>
      <c r="B261" s="130" t="s">
        <v>3249</v>
      </c>
      <c r="C261" s="130" t="s">
        <v>3250</v>
      </c>
      <c r="D261" s="130" t="s">
        <v>63</v>
      </c>
      <c r="E261" s="130">
        <v>85021</v>
      </c>
      <c r="F261" s="130" t="s">
        <v>3251</v>
      </c>
      <c r="G261" s="130" t="s">
        <v>2563</v>
      </c>
      <c r="H261" s="130" t="s">
        <v>27</v>
      </c>
      <c r="I261" s="130"/>
      <c r="J261" s="130"/>
      <c r="K261" s="130"/>
      <c r="L261" s="130"/>
      <c r="M261" s="130"/>
      <c r="N261" s="130"/>
      <c r="O261" s="130"/>
      <c r="P261" s="130"/>
      <c r="Q261" s="130"/>
      <c r="R261" s="130"/>
      <c r="S261" s="130"/>
      <c r="T261" s="130"/>
      <c r="U261" s="130"/>
      <c r="V261" s="130"/>
      <c r="W261" s="130" t="s">
        <v>27</v>
      </c>
    </row>
    <row r="262" spans="1:23">
      <c r="A262" s="130">
        <v>45922</v>
      </c>
      <c r="B262" s="130" t="s">
        <v>3255</v>
      </c>
      <c r="C262" s="130" t="s">
        <v>117</v>
      </c>
      <c r="D262" s="130" t="s">
        <v>3256</v>
      </c>
      <c r="E262" s="130">
        <v>85120</v>
      </c>
      <c r="F262" s="130" t="s">
        <v>3257</v>
      </c>
      <c r="G262" s="130" t="s">
        <v>2563</v>
      </c>
      <c r="H262" s="130" t="s">
        <v>27</v>
      </c>
      <c r="I262" s="130"/>
      <c r="J262" s="130"/>
      <c r="K262" s="130"/>
      <c r="L262" s="130"/>
      <c r="M262" s="130"/>
      <c r="N262" s="130"/>
      <c r="O262" s="130"/>
      <c r="P262" s="130"/>
      <c r="Q262" s="130"/>
      <c r="R262" s="130"/>
      <c r="S262" s="130"/>
      <c r="T262" s="130"/>
      <c r="U262" s="130"/>
      <c r="V262" s="130"/>
      <c r="W262" s="130" t="s">
        <v>27</v>
      </c>
    </row>
    <row r="263" spans="1:23">
      <c r="A263" s="130">
        <v>45921</v>
      </c>
      <c r="B263" s="130" t="s">
        <v>3261</v>
      </c>
      <c r="C263" s="130" t="s">
        <v>437</v>
      </c>
      <c r="D263" s="130" t="s">
        <v>112</v>
      </c>
      <c r="E263" s="130">
        <v>85379</v>
      </c>
      <c r="F263" s="130" t="s">
        <v>3262</v>
      </c>
      <c r="G263" s="130" t="s">
        <v>2563</v>
      </c>
      <c r="H263" s="130" t="s">
        <v>90</v>
      </c>
      <c r="I263" s="130"/>
      <c r="J263" s="130"/>
      <c r="K263" s="130"/>
      <c r="L263" s="130"/>
      <c r="M263" s="130"/>
      <c r="N263" s="130"/>
      <c r="O263" s="130"/>
      <c r="P263" s="130"/>
      <c r="Q263" s="130"/>
      <c r="R263" s="130"/>
      <c r="S263" s="130"/>
      <c r="T263" s="130"/>
      <c r="U263" s="130"/>
      <c r="V263" s="130"/>
      <c r="W263" s="130" t="s">
        <v>90</v>
      </c>
    </row>
    <row r="264" spans="1:23">
      <c r="A264" s="130">
        <v>45921</v>
      </c>
      <c r="B264" s="130" t="s">
        <v>3263</v>
      </c>
      <c r="C264" s="130" t="s">
        <v>302</v>
      </c>
      <c r="D264" s="130" t="s">
        <v>63</v>
      </c>
      <c r="E264" s="130">
        <v>85087</v>
      </c>
      <c r="F264" s="130" t="s">
        <v>3264</v>
      </c>
      <c r="G264" s="130" t="s">
        <v>2563</v>
      </c>
      <c r="H264" s="130" t="s">
        <v>27</v>
      </c>
      <c r="I264" s="130"/>
      <c r="J264" s="130"/>
      <c r="K264" s="130"/>
      <c r="L264" s="130"/>
      <c r="M264" s="130"/>
      <c r="N264" s="130"/>
      <c r="O264" s="130"/>
      <c r="P264" s="130"/>
      <c r="Q264" s="130"/>
      <c r="R264" s="130"/>
      <c r="S264" s="130"/>
      <c r="T264" s="130"/>
      <c r="U264" s="130"/>
      <c r="V264" s="130"/>
      <c r="W264" s="130" t="s">
        <v>27</v>
      </c>
    </row>
    <row r="265" spans="1:23">
      <c r="A265" s="130">
        <v>45922</v>
      </c>
      <c r="B265" s="130" t="s">
        <v>3284</v>
      </c>
      <c r="C265" s="130" t="s">
        <v>184</v>
      </c>
      <c r="D265" s="130" t="s">
        <v>30</v>
      </c>
      <c r="E265" s="130" t="s">
        <v>30</v>
      </c>
      <c r="F265" s="130" t="s">
        <v>3285</v>
      </c>
      <c r="G265" s="130" t="s">
        <v>3281</v>
      </c>
      <c r="H265" s="130" t="s">
        <v>27</v>
      </c>
      <c r="I265" s="130"/>
      <c r="J265" s="130"/>
      <c r="K265" s="130"/>
      <c r="L265" s="130"/>
      <c r="M265" s="130"/>
      <c r="N265" s="130"/>
      <c r="O265" s="130"/>
      <c r="P265" s="130"/>
      <c r="Q265" s="130"/>
      <c r="R265" s="130"/>
      <c r="S265" s="130"/>
      <c r="T265" s="130"/>
      <c r="U265" s="130"/>
      <c r="V265" s="130"/>
      <c r="W265" s="130" t="s">
        <v>27</v>
      </c>
    </row>
    <row r="266" spans="1:23">
      <c r="A266" s="130">
        <v>45922</v>
      </c>
      <c r="B266" s="130" t="s">
        <v>3286</v>
      </c>
      <c r="C266" s="130" t="s">
        <v>252</v>
      </c>
      <c r="D266" s="130" t="s">
        <v>112</v>
      </c>
      <c r="E266" s="130">
        <v>85378</v>
      </c>
      <c r="F266" s="130" t="s">
        <v>3287</v>
      </c>
      <c r="G266" s="130" t="s">
        <v>3281</v>
      </c>
      <c r="H266" s="130" t="s">
        <v>27</v>
      </c>
      <c r="I266" s="130"/>
      <c r="J266" s="130"/>
      <c r="K266" s="130"/>
      <c r="L266" s="130"/>
      <c r="M266" s="130"/>
      <c r="N266" s="130"/>
      <c r="O266" s="130"/>
      <c r="P266" s="130"/>
      <c r="Q266" s="130"/>
      <c r="R266" s="130"/>
      <c r="S266" s="130"/>
      <c r="T266" s="130"/>
      <c r="U266" s="130"/>
      <c r="V266" s="130"/>
      <c r="W266" s="130" t="s">
        <v>27</v>
      </c>
    </row>
    <row r="267" spans="1:23">
      <c r="A267" s="130">
        <v>45922</v>
      </c>
      <c r="B267" s="130" t="s">
        <v>3307</v>
      </c>
      <c r="C267" s="130" t="s">
        <v>777</v>
      </c>
      <c r="D267" s="130" t="s">
        <v>428</v>
      </c>
      <c r="E267" s="130">
        <v>85335</v>
      </c>
      <c r="F267" s="130" t="s">
        <v>3308</v>
      </c>
      <c r="G267" s="130" t="s">
        <v>3281</v>
      </c>
      <c r="H267" s="130" t="s">
        <v>90</v>
      </c>
      <c r="I267" s="130"/>
      <c r="J267" s="130"/>
      <c r="K267" s="130"/>
      <c r="L267" s="130"/>
      <c r="M267" s="130"/>
      <c r="N267" s="130"/>
      <c r="O267" s="130"/>
      <c r="P267" s="130"/>
      <c r="Q267" s="130"/>
      <c r="R267" s="130"/>
      <c r="S267" s="130"/>
      <c r="T267" s="130"/>
      <c r="U267" s="130"/>
      <c r="V267" s="130"/>
      <c r="W267" s="130" t="s">
        <v>90</v>
      </c>
    </row>
    <row r="268" spans="1:23">
      <c r="A268" s="130">
        <v>45922</v>
      </c>
      <c r="B268" s="130" t="s">
        <v>365</v>
      </c>
      <c r="C268" s="130" t="s">
        <v>256</v>
      </c>
      <c r="D268" s="130" t="s">
        <v>174</v>
      </c>
      <c r="E268" s="130">
        <v>85326</v>
      </c>
      <c r="F268" s="130" t="s">
        <v>3317</v>
      </c>
      <c r="G268" s="130" t="s">
        <v>3281</v>
      </c>
      <c r="H268" s="130" t="s">
        <v>27</v>
      </c>
      <c r="I268" s="130"/>
      <c r="J268" s="130"/>
      <c r="K268" s="130"/>
      <c r="L268" s="130"/>
      <c r="M268" s="130"/>
      <c r="N268" s="130"/>
      <c r="O268" s="130"/>
      <c r="P268" s="130"/>
      <c r="Q268" s="130"/>
      <c r="R268" s="130"/>
      <c r="S268" s="130"/>
      <c r="T268" s="130"/>
      <c r="U268" s="130"/>
      <c r="V268" s="130"/>
      <c r="W268" s="130" t="s">
        <v>27</v>
      </c>
    </row>
    <row r="269" spans="1:23">
      <c r="A269" s="130">
        <v>45922</v>
      </c>
      <c r="B269" s="130" t="s">
        <v>3318</v>
      </c>
      <c r="C269" s="130" t="s">
        <v>624</v>
      </c>
      <c r="D269" s="130" t="s">
        <v>174</v>
      </c>
      <c r="E269" s="130">
        <v>85326</v>
      </c>
      <c r="F269" s="130" t="s">
        <v>3319</v>
      </c>
      <c r="G269" s="130" t="s">
        <v>3281</v>
      </c>
      <c r="H269" s="130" t="s">
        <v>27</v>
      </c>
      <c r="I269" s="130"/>
      <c r="J269" s="130"/>
      <c r="K269" s="130"/>
      <c r="L269" s="130"/>
      <c r="M269" s="130"/>
      <c r="N269" s="130"/>
      <c r="O269" s="130"/>
      <c r="P269" s="130"/>
      <c r="Q269" s="130"/>
      <c r="R269" s="130"/>
      <c r="S269" s="130"/>
      <c r="T269" s="130"/>
      <c r="U269" s="130"/>
      <c r="V269" s="130"/>
      <c r="W269" s="130" t="s">
        <v>27</v>
      </c>
    </row>
    <row r="270" spans="1:23">
      <c r="A270" s="130">
        <v>45922</v>
      </c>
      <c r="B270" s="130" t="s">
        <v>3324</v>
      </c>
      <c r="C270" s="130" t="s">
        <v>2116</v>
      </c>
      <c r="D270" s="130" t="s">
        <v>698</v>
      </c>
      <c r="E270" s="130">
        <v>85375</v>
      </c>
      <c r="F270" s="130" t="s">
        <v>3325</v>
      </c>
      <c r="G270" s="130" t="s">
        <v>3326</v>
      </c>
      <c r="H270" s="130" t="s">
        <v>27</v>
      </c>
      <c r="I270" s="130"/>
      <c r="J270" s="130"/>
      <c r="K270" s="130"/>
      <c r="L270" s="130"/>
      <c r="M270" s="130"/>
      <c r="N270" s="130"/>
      <c r="O270" s="130"/>
      <c r="P270" s="130"/>
      <c r="Q270" s="130"/>
      <c r="R270" s="130"/>
      <c r="S270" s="130"/>
      <c r="T270" s="130"/>
      <c r="U270" s="130"/>
      <c r="V270" s="130"/>
      <c r="W270" s="130" t="s">
        <v>27</v>
      </c>
    </row>
    <row r="271" spans="1:23">
      <c r="A271" s="130">
        <v>45923</v>
      </c>
      <c r="B271" s="130" t="s">
        <v>3344</v>
      </c>
      <c r="C271" s="130" t="s">
        <v>1634</v>
      </c>
      <c r="D271" s="130" t="s">
        <v>169</v>
      </c>
      <c r="E271" s="130">
        <v>85338</v>
      </c>
      <c r="F271" s="130" t="s">
        <v>3345</v>
      </c>
      <c r="G271" s="130" t="s">
        <v>3326</v>
      </c>
      <c r="H271" s="130" t="s">
        <v>27</v>
      </c>
      <c r="I271" s="130"/>
      <c r="J271" s="130"/>
      <c r="K271" s="130"/>
      <c r="L271" s="130"/>
      <c r="M271" s="130"/>
      <c r="N271" s="130"/>
      <c r="O271" s="130"/>
      <c r="P271" s="130"/>
      <c r="Q271" s="130"/>
      <c r="R271" s="130"/>
      <c r="S271" s="130"/>
      <c r="T271" s="130"/>
      <c r="U271" s="130"/>
      <c r="V271" s="130"/>
      <c r="W271" s="130" t="s">
        <v>27</v>
      </c>
    </row>
    <row r="272" spans="1:23">
      <c r="A272" s="130">
        <v>45923</v>
      </c>
      <c r="B272" s="130" t="s">
        <v>3350</v>
      </c>
      <c r="C272" s="130" t="s">
        <v>3351</v>
      </c>
      <c r="D272" s="130" t="s">
        <v>428</v>
      </c>
      <c r="E272" s="130">
        <v>85335</v>
      </c>
      <c r="F272" s="130" t="s">
        <v>3352</v>
      </c>
      <c r="G272" s="130" t="s">
        <v>3353</v>
      </c>
      <c r="H272" s="130" t="s">
        <v>27</v>
      </c>
      <c r="I272" s="130"/>
      <c r="J272" s="130"/>
      <c r="K272" s="130"/>
      <c r="L272" s="130"/>
      <c r="M272" s="130"/>
      <c r="N272" s="130"/>
      <c r="O272" s="130"/>
      <c r="P272" s="130"/>
      <c r="Q272" s="130"/>
      <c r="R272" s="130"/>
      <c r="S272" s="130"/>
      <c r="T272" s="130"/>
      <c r="U272" s="130"/>
      <c r="V272" s="130"/>
      <c r="W272" s="130" t="s">
        <v>27</v>
      </c>
    </row>
    <row r="273" spans="1:23">
      <c r="A273" s="130">
        <v>45926</v>
      </c>
      <c r="B273" s="130" t="s">
        <v>246</v>
      </c>
      <c r="C273" s="130" t="s">
        <v>3380</v>
      </c>
      <c r="D273" s="130" t="s">
        <v>93</v>
      </c>
      <c r="E273" s="130">
        <v>85351</v>
      </c>
      <c r="F273" s="130" t="s">
        <v>3381</v>
      </c>
      <c r="G273" s="130" t="s">
        <v>3382</v>
      </c>
      <c r="H273" s="130" t="s">
        <v>27</v>
      </c>
      <c r="I273" s="130"/>
      <c r="J273" s="130"/>
      <c r="K273" s="130"/>
      <c r="L273" s="130"/>
      <c r="M273" s="130"/>
      <c r="N273" s="130"/>
      <c r="O273" s="130"/>
      <c r="P273" s="130"/>
      <c r="Q273" s="130"/>
      <c r="R273" s="130"/>
      <c r="S273" s="130"/>
      <c r="T273" s="130"/>
      <c r="U273" s="130"/>
      <c r="V273" s="130"/>
      <c r="W273" s="130" t="s">
        <v>27</v>
      </c>
    </row>
    <row r="274" spans="1:23">
      <c r="A274" s="130">
        <v>45929</v>
      </c>
      <c r="B274" s="130" t="s">
        <v>3395</v>
      </c>
      <c r="C274" s="130" t="s">
        <v>1423</v>
      </c>
      <c r="D274" s="130" t="s">
        <v>63</v>
      </c>
      <c r="E274" s="130">
        <v>85086</v>
      </c>
      <c r="F274" s="130" t="s">
        <v>3396</v>
      </c>
      <c r="G274" s="130" t="s">
        <v>3387</v>
      </c>
      <c r="H274" s="130" t="s">
        <v>27</v>
      </c>
      <c r="I274" s="130"/>
      <c r="J274" s="130"/>
      <c r="K274" s="130"/>
      <c r="L274" s="130"/>
      <c r="M274" s="130"/>
      <c r="N274" s="130"/>
      <c r="O274" s="130"/>
      <c r="P274" s="130"/>
      <c r="Q274" s="130"/>
      <c r="R274" s="130"/>
      <c r="S274" s="130"/>
      <c r="T274" s="130"/>
      <c r="U274" s="130"/>
      <c r="V274" s="130"/>
      <c r="W274" s="130" t="s">
        <v>27</v>
      </c>
    </row>
    <row r="275" spans="1:23">
      <c r="A275" s="130">
        <v>45931</v>
      </c>
      <c r="B275" s="130" t="s">
        <v>3431</v>
      </c>
      <c r="C275" s="130" t="s">
        <v>3432</v>
      </c>
      <c r="D275" s="130" t="s">
        <v>63</v>
      </c>
      <c r="E275" s="130">
        <v>85032</v>
      </c>
      <c r="F275" s="130" t="s">
        <v>3433</v>
      </c>
      <c r="G275" s="130" t="s">
        <v>3434</v>
      </c>
      <c r="H275" s="130" t="s">
        <v>90</v>
      </c>
      <c r="I275" s="130"/>
      <c r="J275" s="130"/>
      <c r="K275" s="130"/>
      <c r="L275" s="130"/>
      <c r="M275" s="130"/>
      <c r="N275" s="130"/>
      <c r="O275" s="130"/>
      <c r="P275" s="130"/>
      <c r="Q275" s="130"/>
      <c r="R275" s="130"/>
      <c r="S275" s="130"/>
      <c r="T275" s="130"/>
      <c r="U275" s="130"/>
      <c r="V275" s="130"/>
      <c r="W275" s="130" t="s">
        <v>90</v>
      </c>
    </row>
    <row r="276" spans="1:23">
      <c r="A276" s="130">
        <v>45935</v>
      </c>
      <c r="B276" s="130" t="s">
        <v>3468</v>
      </c>
      <c r="C276" s="130" t="s">
        <v>2931</v>
      </c>
      <c r="D276" s="130" t="s">
        <v>63</v>
      </c>
      <c r="E276" s="130">
        <v>85014</v>
      </c>
      <c r="F276" s="130" t="s">
        <v>310</v>
      </c>
      <c r="G276" s="130" t="s">
        <v>3456</v>
      </c>
      <c r="H276" s="130" t="s">
        <v>27</v>
      </c>
      <c r="I276" s="130"/>
      <c r="J276" s="130"/>
      <c r="K276" s="130"/>
      <c r="L276" s="130"/>
      <c r="M276" s="130"/>
      <c r="N276" s="130"/>
      <c r="O276" s="130"/>
      <c r="P276" s="130"/>
      <c r="Q276" s="130"/>
      <c r="R276" s="130"/>
      <c r="S276" s="130"/>
      <c r="T276" s="130"/>
      <c r="U276" s="130"/>
      <c r="V276" s="130"/>
      <c r="W276" s="130" t="s">
        <v>27</v>
      </c>
    </row>
    <row r="277" spans="1:23">
      <c r="A277" s="130">
        <v>45936</v>
      </c>
      <c r="B277" s="130" t="s">
        <v>3472</v>
      </c>
      <c r="C277" s="130" t="s">
        <v>3473</v>
      </c>
      <c r="D277" s="130" t="s">
        <v>63</v>
      </c>
      <c r="E277" s="130">
        <v>85024</v>
      </c>
      <c r="F277" s="130" t="s">
        <v>3474</v>
      </c>
      <c r="G277" s="130" t="s">
        <v>3456</v>
      </c>
      <c r="H277" s="130" t="s">
        <v>27</v>
      </c>
      <c r="I277" s="130"/>
      <c r="J277" s="130"/>
      <c r="K277" s="130"/>
      <c r="L277" s="130"/>
      <c r="M277" s="130"/>
      <c r="N277" s="130"/>
      <c r="O277" s="130"/>
      <c r="P277" s="130"/>
      <c r="Q277" s="130"/>
      <c r="R277" s="130"/>
      <c r="S277" s="130"/>
      <c r="T277" s="130"/>
      <c r="U277" s="130"/>
      <c r="V277" s="130"/>
      <c r="W277" s="130" t="s">
        <v>27</v>
      </c>
    </row>
    <row r="278" spans="1:23">
      <c r="A278" s="130">
        <v>45936</v>
      </c>
      <c r="B278" s="130" t="s">
        <v>3475</v>
      </c>
      <c r="C278" s="130" t="s">
        <v>1707</v>
      </c>
      <c r="D278" s="130" t="s">
        <v>24</v>
      </c>
      <c r="E278" s="130">
        <v>85308</v>
      </c>
      <c r="F278" s="130" t="s">
        <v>3476</v>
      </c>
      <c r="G278" s="130" t="s">
        <v>3456</v>
      </c>
      <c r="H278" s="130" t="s">
        <v>27</v>
      </c>
      <c r="I278" s="130"/>
      <c r="J278" s="130"/>
      <c r="K278" s="130"/>
      <c r="L278" s="130"/>
      <c r="M278" s="130"/>
      <c r="N278" s="130"/>
      <c r="O278" s="130"/>
      <c r="P278" s="130"/>
      <c r="Q278" s="130"/>
      <c r="R278" s="130"/>
      <c r="S278" s="130"/>
      <c r="T278" s="130"/>
      <c r="U278" s="130"/>
      <c r="V278" s="130"/>
      <c r="W278" s="130" t="s">
        <v>27</v>
      </c>
    </row>
    <row r="279" spans="1:23">
      <c r="A279" s="130">
        <v>45938</v>
      </c>
      <c r="B279" s="130" t="s">
        <v>3481</v>
      </c>
      <c r="C279" s="130" t="s">
        <v>3482</v>
      </c>
      <c r="D279" s="130" t="s">
        <v>112</v>
      </c>
      <c r="E279" s="130">
        <v>85379</v>
      </c>
      <c r="F279" s="130" t="s">
        <v>310</v>
      </c>
      <c r="G279" s="130" t="s">
        <v>3158</v>
      </c>
      <c r="H279" s="130" t="s">
        <v>90</v>
      </c>
      <c r="I279" s="130"/>
      <c r="J279" s="130"/>
      <c r="K279" s="130"/>
      <c r="L279" s="130"/>
      <c r="M279" s="130"/>
      <c r="N279" s="130"/>
      <c r="O279" s="130"/>
      <c r="P279" s="130"/>
      <c r="Q279" s="130"/>
      <c r="R279" s="130"/>
      <c r="S279" s="130"/>
      <c r="T279" s="130"/>
      <c r="U279" s="130"/>
      <c r="V279" s="130"/>
      <c r="W279" s="130" t="s">
        <v>90</v>
      </c>
    </row>
    <row r="280" spans="1:23">
      <c r="A280" s="130">
        <v>45938</v>
      </c>
      <c r="B280" s="130" t="s">
        <v>3496</v>
      </c>
      <c r="C280" s="130" t="s">
        <v>3497</v>
      </c>
      <c r="D280" s="130" t="s">
        <v>3498</v>
      </c>
      <c r="E280" s="130" t="s">
        <v>30</v>
      </c>
      <c r="F280" s="130" t="s">
        <v>310</v>
      </c>
      <c r="G280" s="130" t="s">
        <v>3494</v>
      </c>
      <c r="H280" s="130" t="s">
        <v>27</v>
      </c>
      <c r="I280" s="130"/>
      <c r="J280" s="130"/>
      <c r="K280" s="130"/>
      <c r="L280" s="130"/>
      <c r="M280" s="130"/>
      <c r="N280" s="130"/>
      <c r="O280" s="130"/>
      <c r="P280" s="130"/>
      <c r="Q280" s="130"/>
      <c r="R280" s="130" t="s">
        <v>3499</v>
      </c>
      <c r="S280" s="130"/>
      <c r="T280" s="130"/>
      <c r="U280" s="130"/>
      <c r="V280" s="130"/>
      <c r="W280" s="130" t="s">
        <v>27</v>
      </c>
    </row>
    <row r="281" spans="1:23">
      <c r="A281" s="130">
        <v>45938</v>
      </c>
      <c r="B281" s="130" t="s">
        <v>3500</v>
      </c>
      <c r="C281" s="130" t="s">
        <v>3497</v>
      </c>
      <c r="D281" s="130" t="s">
        <v>3498</v>
      </c>
      <c r="E281" s="130" t="s">
        <v>30</v>
      </c>
      <c r="F281" s="130" t="s">
        <v>310</v>
      </c>
      <c r="G281" s="130" t="s">
        <v>3494</v>
      </c>
      <c r="H281" s="130" t="s">
        <v>27</v>
      </c>
      <c r="I281" s="130"/>
      <c r="J281" s="130"/>
      <c r="K281" s="130"/>
      <c r="L281" s="130"/>
      <c r="M281" s="130"/>
      <c r="N281" s="130"/>
      <c r="O281" s="130"/>
      <c r="P281" s="130"/>
      <c r="Q281" s="130"/>
      <c r="R281" s="130" t="s">
        <v>3499</v>
      </c>
      <c r="S281" s="130"/>
      <c r="T281" s="130"/>
      <c r="U281" s="130"/>
      <c r="V281" s="130"/>
      <c r="W281" s="130" t="s">
        <v>27</v>
      </c>
    </row>
    <row r="282" spans="1:23">
      <c r="A282" s="130">
        <v>45938</v>
      </c>
      <c r="B282" s="130" t="s">
        <v>3497</v>
      </c>
      <c r="C282" s="130" t="s">
        <v>3500</v>
      </c>
      <c r="D282" s="130" t="s">
        <v>3498</v>
      </c>
      <c r="E282" s="130" t="s">
        <v>30</v>
      </c>
      <c r="F282" s="130" t="s">
        <v>310</v>
      </c>
      <c r="G282" s="130" t="s">
        <v>3494</v>
      </c>
      <c r="H282" s="130" t="s">
        <v>27</v>
      </c>
      <c r="I282" s="130"/>
      <c r="J282" s="130"/>
      <c r="K282" s="130"/>
      <c r="L282" s="130"/>
      <c r="M282" s="130"/>
      <c r="N282" s="130"/>
      <c r="O282" s="130"/>
      <c r="P282" s="130"/>
      <c r="Q282" s="130"/>
      <c r="R282" s="130" t="s">
        <v>3499</v>
      </c>
      <c r="S282" s="130"/>
      <c r="T282" s="130"/>
      <c r="U282" s="130"/>
      <c r="V282" s="130"/>
      <c r="W282" s="130" t="s">
        <v>27</v>
      </c>
    </row>
    <row r="283" spans="1:23">
      <c r="A283" s="130">
        <v>45938</v>
      </c>
      <c r="B283" s="130" t="s">
        <v>3497</v>
      </c>
      <c r="C283" s="130" t="s">
        <v>3500</v>
      </c>
      <c r="D283" s="130" t="s">
        <v>3498</v>
      </c>
      <c r="E283" s="130" t="s">
        <v>30</v>
      </c>
      <c r="F283" s="130" t="s">
        <v>310</v>
      </c>
      <c r="G283" s="130" t="s">
        <v>3494</v>
      </c>
      <c r="H283" s="130" t="s">
        <v>27</v>
      </c>
      <c r="I283" s="130"/>
      <c r="J283" s="130"/>
      <c r="K283" s="130"/>
      <c r="L283" s="130"/>
      <c r="M283" s="130"/>
      <c r="N283" s="130"/>
      <c r="O283" s="130"/>
      <c r="P283" s="130"/>
      <c r="Q283" s="130"/>
      <c r="R283" s="130" t="s">
        <v>3499</v>
      </c>
      <c r="S283" s="130"/>
      <c r="T283" s="130"/>
      <c r="U283" s="130"/>
      <c r="V283" s="130"/>
      <c r="W283" s="130" t="s">
        <v>27</v>
      </c>
    </row>
    <row r="284" spans="1:23">
      <c r="A284" s="130">
        <v>45938</v>
      </c>
      <c r="B284" s="130" t="s">
        <v>3497</v>
      </c>
      <c r="C284" s="130" t="s">
        <v>3504</v>
      </c>
      <c r="D284" s="130" t="s">
        <v>3498</v>
      </c>
      <c r="E284" s="130" t="s">
        <v>30</v>
      </c>
      <c r="F284" s="130" t="s">
        <v>310</v>
      </c>
      <c r="G284" s="130" t="s">
        <v>3494</v>
      </c>
      <c r="H284" s="130" t="s">
        <v>27</v>
      </c>
      <c r="I284" s="130"/>
      <c r="J284" s="130"/>
      <c r="K284" s="130"/>
      <c r="L284" s="130"/>
      <c r="M284" s="130"/>
      <c r="N284" s="130"/>
      <c r="O284" s="130"/>
      <c r="P284" s="130"/>
      <c r="Q284" s="130"/>
      <c r="R284" s="130" t="s">
        <v>3499</v>
      </c>
      <c r="S284" s="130"/>
      <c r="T284" s="130"/>
      <c r="U284" s="130"/>
      <c r="V284" s="130"/>
      <c r="W284" s="130" t="s">
        <v>27</v>
      </c>
    </row>
    <row r="285" spans="1:23">
      <c r="A285" s="130">
        <v>45939</v>
      </c>
      <c r="B285" s="130" t="s">
        <v>3509</v>
      </c>
      <c r="C285" s="130" t="s">
        <v>801</v>
      </c>
      <c r="D285" s="130" t="s">
        <v>63</v>
      </c>
      <c r="E285" s="130">
        <v>85050</v>
      </c>
      <c r="F285" s="130" t="s">
        <v>3510</v>
      </c>
      <c r="G285" s="130" t="s">
        <v>3494</v>
      </c>
      <c r="H285" s="130" t="s">
        <v>90</v>
      </c>
      <c r="I285" s="130"/>
      <c r="J285" s="130"/>
      <c r="K285" s="130"/>
      <c r="L285" s="130"/>
      <c r="M285" s="130"/>
      <c r="N285" s="130"/>
      <c r="O285" s="130"/>
      <c r="P285" s="130"/>
      <c r="Q285" s="130"/>
      <c r="R285" s="130"/>
      <c r="S285" s="130"/>
      <c r="T285" s="130"/>
      <c r="U285" s="130"/>
      <c r="V285" s="130"/>
      <c r="W285" s="130" t="s">
        <v>90</v>
      </c>
    </row>
    <row r="286" spans="1:23">
      <c r="A286" s="130">
        <v>45940</v>
      </c>
      <c r="B286" s="130" t="s">
        <v>3511</v>
      </c>
      <c r="C286" s="130" t="s">
        <v>135</v>
      </c>
      <c r="D286" s="130" t="s">
        <v>169</v>
      </c>
      <c r="E286" s="130">
        <v>85338</v>
      </c>
      <c r="F286" s="130" t="s">
        <v>2251</v>
      </c>
      <c r="G286" s="130" t="s">
        <v>3512</v>
      </c>
      <c r="H286" s="130" t="s">
        <v>27</v>
      </c>
      <c r="I286" s="130"/>
      <c r="J286" s="130"/>
      <c r="K286" s="130"/>
      <c r="L286" s="130"/>
      <c r="M286" s="130"/>
      <c r="N286" s="130"/>
      <c r="O286" s="130"/>
      <c r="P286" s="130"/>
      <c r="Q286" s="130"/>
      <c r="R286" s="130"/>
      <c r="S286" s="130"/>
      <c r="T286" s="130"/>
      <c r="U286" s="130"/>
      <c r="V286" s="130"/>
      <c r="W286" s="130" t="s">
        <v>27</v>
      </c>
    </row>
    <row r="287" spans="1:23">
      <c r="A287" s="130">
        <v>45940</v>
      </c>
      <c r="B287" s="130" t="s">
        <v>1134</v>
      </c>
      <c r="C287" s="130" t="s">
        <v>312</v>
      </c>
      <c r="D287" s="130" t="s">
        <v>24</v>
      </c>
      <c r="E287" s="130">
        <v>85308</v>
      </c>
      <c r="F287" s="130" t="s">
        <v>3525</v>
      </c>
      <c r="G287" s="130" t="s">
        <v>3512</v>
      </c>
      <c r="H287" s="130" t="s">
        <v>27</v>
      </c>
      <c r="I287" s="130"/>
      <c r="J287" s="130"/>
      <c r="K287" s="130"/>
      <c r="L287" s="130"/>
      <c r="M287" s="130"/>
      <c r="N287" s="130"/>
      <c r="O287" s="130"/>
      <c r="P287" s="130"/>
      <c r="Q287" s="130"/>
      <c r="R287" s="130"/>
      <c r="S287" s="130"/>
      <c r="T287" s="130"/>
      <c r="U287" s="130"/>
      <c r="V287" s="130"/>
      <c r="W287" s="130" t="s">
        <v>27</v>
      </c>
    </row>
    <row r="288" spans="1:23">
      <c r="A288" s="130">
        <v>45940</v>
      </c>
      <c r="B288" s="130" t="s">
        <v>2175</v>
      </c>
      <c r="C288" s="130" t="s">
        <v>1815</v>
      </c>
      <c r="D288" s="130" t="s">
        <v>3538</v>
      </c>
      <c r="E288" s="130">
        <v>85741</v>
      </c>
      <c r="F288" s="130" t="s">
        <v>3531</v>
      </c>
      <c r="G288" s="130" t="s">
        <v>3512</v>
      </c>
      <c r="H288" s="130" t="s">
        <v>27</v>
      </c>
      <c r="I288" s="130"/>
      <c r="J288" s="130"/>
      <c r="K288" s="130"/>
      <c r="L288" s="130"/>
      <c r="M288" s="130"/>
      <c r="N288" s="130"/>
      <c r="O288" s="130"/>
      <c r="P288" s="130"/>
      <c r="Q288" s="130"/>
      <c r="R288" s="130"/>
      <c r="S288" s="130"/>
      <c r="T288" s="130"/>
      <c r="U288" s="130"/>
      <c r="V288" s="130"/>
      <c r="W288" s="130" t="s">
        <v>27</v>
      </c>
    </row>
    <row r="289" spans="1:23">
      <c r="A289" s="130">
        <v>45940</v>
      </c>
      <c r="B289" s="130" t="s">
        <v>3539</v>
      </c>
      <c r="C289" s="130" t="s">
        <v>3540</v>
      </c>
      <c r="D289" s="130" t="s">
        <v>3538</v>
      </c>
      <c r="E289" s="130">
        <v>85712</v>
      </c>
      <c r="F289" s="130" t="s">
        <v>3531</v>
      </c>
      <c r="G289" s="130" t="s">
        <v>3512</v>
      </c>
      <c r="H289" s="130" t="s">
        <v>27</v>
      </c>
      <c r="I289" s="130"/>
      <c r="J289" s="130"/>
      <c r="K289" s="130"/>
      <c r="L289" s="130"/>
      <c r="M289" s="130"/>
      <c r="N289" s="130"/>
      <c r="O289" s="130"/>
      <c r="P289" s="130"/>
      <c r="Q289" s="130"/>
      <c r="R289" s="130"/>
      <c r="S289" s="130"/>
      <c r="T289" s="130"/>
      <c r="U289" s="130"/>
      <c r="V289" s="130"/>
      <c r="W289" s="130" t="s">
        <v>27</v>
      </c>
    </row>
    <row r="290" spans="1:23">
      <c r="A290" s="130">
        <v>45940</v>
      </c>
      <c r="B290" s="130" t="s">
        <v>3558</v>
      </c>
      <c r="C290" s="130" t="s">
        <v>3559</v>
      </c>
      <c r="D290" s="130" t="s">
        <v>30</v>
      </c>
      <c r="E290" s="130" t="s">
        <v>30</v>
      </c>
      <c r="F290" s="130" t="s">
        <v>3560</v>
      </c>
      <c r="G290" s="130" t="s">
        <v>3512</v>
      </c>
      <c r="H290" s="130" t="s">
        <v>27</v>
      </c>
      <c r="I290" s="130"/>
      <c r="J290" s="130"/>
      <c r="K290" s="130"/>
      <c r="L290" s="130"/>
      <c r="M290" s="130"/>
      <c r="N290" s="130"/>
      <c r="O290" s="130"/>
      <c r="P290" s="130"/>
      <c r="Q290" s="130"/>
      <c r="R290" s="130"/>
      <c r="S290" s="130"/>
      <c r="T290" s="130"/>
      <c r="U290" s="130"/>
      <c r="V290" s="130"/>
      <c r="W290" s="130" t="s">
        <v>27</v>
      </c>
    </row>
    <row r="291" spans="1:23">
      <c r="A291" s="130">
        <v>45944</v>
      </c>
      <c r="B291" s="130" t="s">
        <v>2594</v>
      </c>
      <c r="C291" s="130" t="s">
        <v>3040</v>
      </c>
      <c r="D291" s="130" t="s">
        <v>63</v>
      </c>
      <c r="E291" s="130">
        <v>85041</v>
      </c>
      <c r="F291" s="130" t="s">
        <v>3531</v>
      </c>
      <c r="G291" s="130" t="s">
        <v>3563</v>
      </c>
      <c r="H291" s="130" t="s">
        <v>27</v>
      </c>
      <c r="I291" s="130"/>
      <c r="J291" s="130"/>
      <c r="K291" s="130"/>
      <c r="L291" s="130"/>
      <c r="M291" s="130"/>
      <c r="N291" s="130"/>
      <c r="O291" s="130"/>
      <c r="P291" s="130"/>
      <c r="Q291" s="130"/>
      <c r="R291" s="130"/>
      <c r="S291" s="130"/>
      <c r="T291" s="130"/>
      <c r="U291" s="130"/>
      <c r="V291" s="130"/>
      <c r="W291" s="130" t="s">
        <v>27</v>
      </c>
    </row>
    <row r="292" spans="1:23">
      <c r="A292" s="130">
        <v>45944</v>
      </c>
      <c r="B292" s="130" t="s">
        <v>3588</v>
      </c>
      <c r="C292" s="130" t="s">
        <v>548</v>
      </c>
      <c r="D292" s="130" t="s">
        <v>3589</v>
      </c>
      <c r="E292" s="130">
        <v>85602</v>
      </c>
      <c r="F292" s="130" t="s">
        <v>3531</v>
      </c>
      <c r="G292" s="130" t="s">
        <v>3580</v>
      </c>
      <c r="H292" s="130" t="s">
        <v>27</v>
      </c>
      <c r="I292" s="130"/>
      <c r="J292" s="130"/>
      <c r="K292" s="130"/>
      <c r="L292" s="130"/>
      <c r="M292" s="130"/>
      <c r="N292" s="130"/>
      <c r="O292" s="130"/>
      <c r="P292" s="130"/>
      <c r="Q292" s="130"/>
      <c r="R292" s="130" t="s">
        <v>3583</v>
      </c>
      <c r="S292" s="130"/>
      <c r="T292" s="130"/>
      <c r="U292" s="130"/>
      <c r="V292" s="130"/>
      <c r="W292" s="130" t="s">
        <v>27</v>
      </c>
    </row>
    <row r="293" spans="1:23">
      <c r="A293" s="130">
        <v>45944</v>
      </c>
      <c r="B293" s="130" t="s">
        <v>3590</v>
      </c>
      <c r="C293" s="130" t="s">
        <v>3591</v>
      </c>
      <c r="D293" s="130" t="s">
        <v>3538</v>
      </c>
      <c r="E293" s="130">
        <v>85747</v>
      </c>
      <c r="F293" s="130" t="s">
        <v>3531</v>
      </c>
      <c r="G293" s="130" t="s">
        <v>3580</v>
      </c>
      <c r="H293" s="130" t="s">
        <v>27</v>
      </c>
      <c r="I293" s="130"/>
      <c r="J293" s="130"/>
      <c r="K293" s="130"/>
      <c r="L293" s="130"/>
      <c r="M293" s="130"/>
      <c r="N293" s="130"/>
      <c r="O293" s="130"/>
      <c r="P293" s="130"/>
      <c r="Q293" s="130"/>
      <c r="R293" s="130" t="s">
        <v>3583</v>
      </c>
      <c r="S293" s="130"/>
      <c r="T293" s="130"/>
      <c r="U293" s="130"/>
      <c r="V293" s="130"/>
      <c r="W293" s="130" t="s">
        <v>27</v>
      </c>
    </row>
    <row r="294" spans="1:23">
      <c r="A294" s="130">
        <v>45944</v>
      </c>
      <c r="B294" s="130" t="s">
        <v>3592</v>
      </c>
      <c r="C294" s="130" t="s">
        <v>256</v>
      </c>
      <c r="D294" s="130" t="s">
        <v>63</v>
      </c>
      <c r="E294" s="130">
        <v>85032</v>
      </c>
      <c r="F294" s="130" t="s">
        <v>3531</v>
      </c>
      <c r="G294" s="130" t="s">
        <v>3580</v>
      </c>
      <c r="H294" s="130" t="s">
        <v>27</v>
      </c>
      <c r="I294" s="130"/>
      <c r="J294" s="130"/>
      <c r="K294" s="130"/>
      <c r="L294" s="130"/>
      <c r="M294" s="130"/>
      <c r="N294" s="130"/>
      <c r="O294" s="130"/>
      <c r="P294" s="130"/>
      <c r="Q294" s="130"/>
      <c r="R294" s="130" t="s">
        <v>3583</v>
      </c>
      <c r="S294" s="130"/>
      <c r="T294" s="130"/>
      <c r="U294" s="130"/>
      <c r="V294" s="130"/>
      <c r="W294" s="130" t="s">
        <v>27</v>
      </c>
    </row>
    <row r="295" spans="1:23">
      <c r="A295" s="130">
        <v>45944</v>
      </c>
      <c r="B295" s="130" t="s">
        <v>2175</v>
      </c>
      <c r="C295" s="130" t="s">
        <v>1815</v>
      </c>
      <c r="D295" s="130" t="s">
        <v>3538</v>
      </c>
      <c r="E295" s="130" t="s">
        <v>30</v>
      </c>
      <c r="F295" s="130" t="s">
        <v>3531</v>
      </c>
      <c r="G295" s="130" t="s">
        <v>3598</v>
      </c>
      <c r="H295" s="130" t="s">
        <v>27</v>
      </c>
      <c r="I295" s="130"/>
      <c r="J295" s="130"/>
      <c r="K295" s="130"/>
      <c r="L295" s="130"/>
      <c r="M295" s="130"/>
      <c r="N295" s="130"/>
      <c r="O295" s="130"/>
      <c r="P295" s="130"/>
      <c r="Q295" s="130"/>
      <c r="R295" s="130"/>
      <c r="S295" s="130"/>
      <c r="T295" s="130"/>
      <c r="U295" s="130"/>
      <c r="V295" s="130"/>
      <c r="W295" s="130" t="s">
        <v>27</v>
      </c>
    </row>
    <row r="296" spans="1:23">
      <c r="A296" s="130">
        <v>45944</v>
      </c>
      <c r="B296" s="130" t="s">
        <v>3599</v>
      </c>
      <c r="C296" s="130" t="s">
        <v>228</v>
      </c>
      <c r="D296" s="130" t="s">
        <v>3538</v>
      </c>
      <c r="E296" s="130" t="s">
        <v>30</v>
      </c>
      <c r="F296" s="130" t="s">
        <v>3531</v>
      </c>
      <c r="G296" s="130" t="s">
        <v>3598</v>
      </c>
      <c r="H296" s="130" t="s">
        <v>27</v>
      </c>
      <c r="I296" s="130"/>
      <c r="J296" s="130"/>
      <c r="K296" s="130"/>
      <c r="L296" s="130"/>
      <c r="M296" s="130"/>
      <c r="N296" s="130"/>
      <c r="O296" s="130"/>
      <c r="P296" s="130"/>
      <c r="Q296" s="130"/>
      <c r="R296" s="130"/>
      <c r="S296" s="130"/>
      <c r="T296" s="130"/>
      <c r="U296" s="130"/>
      <c r="V296" s="130"/>
      <c r="W296" s="130" t="s">
        <v>27</v>
      </c>
    </row>
    <row r="297" spans="1:23">
      <c r="A297" s="130">
        <v>45944</v>
      </c>
      <c r="B297" s="130" t="s">
        <v>1116</v>
      </c>
      <c r="C297" s="130" t="s">
        <v>3600</v>
      </c>
      <c r="D297" s="130" t="s">
        <v>3538</v>
      </c>
      <c r="E297" s="130" t="s">
        <v>30</v>
      </c>
      <c r="F297" s="130" t="s">
        <v>3531</v>
      </c>
      <c r="G297" s="130" t="s">
        <v>3598</v>
      </c>
      <c r="H297" s="130" t="s">
        <v>27</v>
      </c>
      <c r="I297" s="130"/>
      <c r="J297" s="130"/>
      <c r="K297" s="130"/>
      <c r="L297" s="130"/>
      <c r="M297" s="130"/>
      <c r="N297" s="130"/>
      <c r="O297" s="130"/>
      <c r="P297" s="130"/>
      <c r="Q297" s="130"/>
      <c r="R297" s="130"/>
      <c r="S297" s="130"/>
      <c r="T297" s="130"/>
      <c r="U297" s="130"/>
      <c r="V297" s="130"/>
      <c r="W297" s="130" t="s">
        <v>27</v>
      </c>
    </row>
    <row r="298" spans="1:23">
      <c r="A298" s="130">
        <v>45945</v>
      </c>
      <c r="B298" s="130" t="s">
        <v>2594</v>
      </c>
      <c r="C298" s="130" t="s">
        <v>3040</v>
      </c>
      <c r="D298" s="130" t="s">
        <v>63</v>
      </c>
      <c r="E298" s="130">
        <v>85041</v>
      </c>
      <c r="F298" s="130" t="s">
        <v>3531</v>
      </c>
      <c r="G298" s="130" t="s">
        <v>3604</v>
      </c>
      <c r="H298" s="130" t="s">
        <v>27</v>
      </c>
      <c r="I298" s="130"/>
      <c r="J298" s="130"/>
      <c r="K298" s="130"/>
      <c r="L298" s="130"/>
      <c r="M298" s="130"/>
      <c r="N298" s="130"/>
      <c r="O298" s="130"/>
      <c r="P298" s="130"/>
      <c r="Q298" s="130"/>
      <c r="R298" s="130"/>
      <c r="S298" s="130"/>
      <c r="T298" s="130"/>
      <c r="U298" s="130"/>
      <c r="V298" s="130"/>
      <c r="W298" s="130" t="s">
        <v>27</v>
      </c>
    </row>
    <row r="299" spans="1:23">
      <c r="A299" s="130">
        <v>45945</v>
      </c>
      <c r="B299" s="130" t="s">
        <v>281</v>
      </c>
      <c r="C299" s="130" t="s">
        <v>153</v>
      </c>
      <c r="D299" s="130" t="s">
        <v>24</v>
      </c>
      <c r="E299" s="130" t="s">
        <v>30</v>
      </c>
      <c r="F299" s="130" t="s">
        <v>3610</v>
      </c>
      <c r="G299" s="130" t="s">
        <v>3611</v>
      </c>
      <c r="H299" s="130" t="s">
        <v>27</v>
      </c>
      <c r="I299" s="130"/>
      <c r="J299" s="130"/>
      <c r="K299" s="130"/>
      <c r="L299" s="130"/>
      <c r="M299" s="130"/>
      <c r="N299" s="130"/>
      <c r="O299" s="130"/>
      <c r="P299" s="130"/>
      <c r="Q299" s="130"/>
      <c r="R299" s="130"/>
      <c r="S299" s="130"/>
      <c r="T299" s="130"/>
      <c r="U299" s="130"/>
      <c r="V299" s="130"/>
      <c r="W299" s="130" t="s">
        <v>27</v>
      </c>
    </row>
    <row r="300" spans="1:23">
      <c r="A300" s="130">
        <v>45946</v>
      </c>
      <c r="B300" s="130" t="s">
        <v>3630</v>
      </c>
      <c r="C300" s="130" t="s">
        <v>3631</v>
      </c>
      <c r="D300" s="130" t="s">
        <v>635</v>
      </c>
      <c r="E300" s="130">
        <v>85281</v>
      </c>
      <c r="F300" s="130" t="s">
        <v>310</v>
      </c>
      <c r="G300" s="130" t="s">
        <v>3623</v>
      </c>
      <c r="H300" s="130" t="s">
        <v>90</v>
      </c>
      <c r="I300" s="130"/>
      <c r="J300" s="130"/>
      <c r="K300" s="130"/>
      <c r="L300" s="130"/>
      <c r="M300" s="130"/>
      <c r="N300" s="130"/>
      <c r="O300" s="130"/>
      <c r="P300" s="130"/>
      <c r="Q300" s="130"/>
      <c r="R300" s="130"/>
      <c r="S300" s="130"/>
      <c r="T300" s="130"/>
      <c r="U300" s="130"/>
      <c r="V300" s="130"/>
      <c r="W300" s="130" t="s">
        <v>90</v>
      </c>
    </row>
    <row r="301" spans="1:23">
      <c r="A301" s="130">
        <v>45947</v>
      </c>
      <c r="B301" s="130" t="s">
        <v>3644</v>
      </c>
      <c r="C301" s="130" t="s">
        <v>707</v>
      </c>
      <c r="D301" s="130" t="s">
        <v>30</v>
      </c>
      <c r="E301" s="130" t="s">
        <v>30</v>
      </c>
      <c r="F301" s="130" t="s">
        <v>3645</v>
      </c>
      <c r="G301" s="130" t="s">
        <v>3643</v>
      </c>
      <c r="H301" s="130" t="s">
        <v>90</v>
      </c>
      <c r="I301" s="130"/>
      <c r="J301" s="130"/>
      <c r="K301" s="130"/>
      <c r="L301" s="130"/>
      <c r="M301" s="130"/>
      <c r="N301" s="130"/>
      <c r="O301" s="130"/>
      <c r="P301" s="130"/>
      <c r="Q301" s="130"/>
      <c r="R301" s="130"/>
      <c r="S301" s="130"/>
      <c r="T301" s="130"/>
      <c r="U301" s="130"/>
      <c r="V301" s="130"/>
      <c r="W301" s="130" t="s">
        <v>90</v>
      </c>
    </row>
    <row r="302" spans="1:23">
      <c r="A302" s="130">
        <v>45947</v>
      </c>
      <c r="B302" s="130" t="s">
        <v>3649</v>
      </c>
      <c r="C302" s="130" t="s">
        <v>575</v>
      </c>
      <c r="D302" s="130" t="s">
        <v>3650</v>
      </c>
      <c r="E302" s="130"/>
      <c r="F302" s="130" t="s">
        <v>3651</v>
      </c>
      <c r="G302" s="130" t="s">
        <v>3652</v>
      </c>
      <c r="H302" s="130" t="s">
        <v>27</v>
      </c>
      <c r="I302" s="130"/>
      <c r="J302" s="130"/>
      <c r="K302" s="130"/>
      <c r="L302" s="130"/>
      <c r="M302" s="130"/>
      <c r="N302" s="130"/>
      <c r="O302" s="130"/>
      <c r="P302" s="130"/>
      <c r="Q302" s="130"/>
      <c r="R302" s="130"/>
      <c r="S302" s="130"/>
      <c r="T302" s="130"/>
      <c r="U302" s="130"/>
      <c r="V302" s="130"/>
      <c r="W302" s="130" t="s">
        <v>27</v>
      </c>
    </row>
    <row r="303" spans="1:23">
      <c r="A303" s="130">
        <v>45947</v>
      </c>
      <c r="B303" s="130" t="s">
        <v>3653</v>
      </c>
      <c r="C303" s="130" t="s">
        <v>1475</v>
      </c>
      <c r="D303" s="130" t="s">
        <v>30</v>
      </c>
      <c r="E303" s="130" t="s">
        <v>30</v>
      </c>
      <c r="F303" s="130" t="s">
        <v>3651</v>
      </c>
      <c r="G303" s="130" t="s">
        <v>3652</v>
      </c>
      <c r="H303" s="130" t="s">
        <v>27</v>
      </c>
      <c r="I303" s="130"/>
      <c r="J303" s="130"/>
      <c r="K303" s="130"/>
      <c r="L303" s="130"/>
      <c r="M303" s="130"/>
      <c r="N303" s="130"/>
      <c r="O303" s="130"/>
      <c r="P303" s="130"/>
      <c r="Q303" s="130"/>
      <c r="R303" s="130"/>
      <c r="S303" s="130"/>
      <c r="T303" s="130"/>
      <c r="U303" s="130"/>
      <c r="V303" s="130"/>
      <c r="W303" s="130" t="s">
        <v>27</v>
      </c>
    </row>
    <row r="304" spans="1:23">
      <c r="A304" s="130">
        <v>45951</v>
      </c>
      <c r="B304" s="130" t="s">
        <v>3666</v>
      </c>
      <c r="C304" s="130" t="s">
        <v>680</v>
      </c>
      <c r="D304" s="130" t="s">
        <v>63</v>
      </c>
      <c r="E304" s="130">
        <v>85014</v>
      </c>
      <c r="F304" s="130" t="s">
        <v>3667</v>
      </c>
      <c r="G304" s="130" t="s">
        <v>3668</v>
      </c>
      <c r="H304" s="130" t="s">
        <v>90</v>
      </c>
      <c r="I304" s="130"/>
      <c r="J304" s="130"/>
      <c r="K304" s="130"/>
      <c r="L304" s="130"/>
      <c r="M304" s="130"/>
      <c r="N304" s="130"/>
      <c r="O304" s="130"/>
      <c r="P304" s="130"/>
      <c r="Q304" s="130"/>
      <c r="R304" s="130"/>
      <c r="S304" s="130"/>
      <c r="T304" s="130"/>
      <c r="U304" s="130"/>
      <c r="V304" s="130"/>
      <c r="W304" s="130" t="s">
        <v>90</v>
      </c>
    </row>
    <row r="305" spans="1:23">
      <c r="A305" s="130">
        <v>45952</v>
      </c>
      <c r="B305" s="130" t="s">
        <v>2566</v>
      </c>
      <c r="C305" s="130" t="s">
        <v>1905</v>
      </c>
      <c r="D305" s="130" t="s">
        <v>635</v>
      </c>
      <c r="E305" s="130">
        <v>85282</v>
      </c>
      <c r="F305" s="130" t="s">
        <v>3669</v>
      </c>
      <c r="G305" s="130" t="s">
        <v>3668</v>
      </c>
      <c r="H305" s="130" t="s">
        <v>27</v>
      </c>
      <c r="I305" s="130"/>
      <c r="J305" s="130"/>
      <c r="K305" s="130"/>
      <c r="L305" s="130"/>
      <c r="M305" s="130"/>
      <c r="N305" s="130"/>
      <c r="O305" s="130"/>
      <c r="P305" s="130"/>
      <c r="Q305" s="130"/>
      <c r="R305" s="130"/>
      <c r="S305" s="130"/>
      <c r="T305" s="130"/>
      <c r="U305" s="130"/>
      <c r="V305" s="130"/>
      <c r="W305" s="130" t="s">
        <v>27</v>
      </c>
    </row>
    <row r="306" spans="1:23">
      <c r="A306" s="130">
        <v>45952</v>
      </c>
      <c r="B306" s="130" t="s">
        <v>3675</v>
      </c>
      <c r="C306" s="130" t="s">
        <v>228</v>
      </c>
      <c r="D306" s="130" t="s">
        <v>174</v>
      </c>
      <c r="E306" s="130">
        <v>85326</v>
      </c>
      <c r="F306" s="130" t="s">
        <v>3676</v>
      </c>
      <c r="G306" s="130" t="s">
        <v>3677</v>
      </c>
      <c r="H306" s="130" t="s">
        <v>27</v>
      </c>
      <c r="I306" s="130"/>
      <c r="J306" s="130"/>
      <c r="K306" s="130"/>
      <c r="L306" s="130"/>
      <c r="M306" s="130"/>
      <c r="N306" s="130"/>
      <c r="O306" s="130"/>
      <c r="P306" s="130"/>
      <c r="Q306" s="130"/>
      <c r="R306" s="130"/>
      <c r="S306" s="130"/>
      <c r="T306" s="130"/>
      <c r="U306" s="130"/>
      <c r="V306" s="130"/>
      <c r="W306" s="130" t="s">
        <v>27</v>
      </c>
    </row>
    <row r="307" spans="1:23">
      <c r="A307" s="130">
        <v>45953</v>
      </c>
      <c r="B307" s="130" t="s">
        <v>2601</v>
      </c>
      <c r="C307" s="130" t="s">
        <v>1824</v>
      </c>
      <c r="D307" s="130" t="s">
        <v>63</v>
      </c>
      <c r="E307" s="130">
        <v>85019</v>
      </c>
      <c r="F307" s="130" t="s">
        <v>3531</v>
      </c>
      <c r="G307" s="130" t="s">
        <v>3677</v>
      </c>
      <c r="H307" s="130" t="s">
        <v>90</v>
      </c>
      <c r="I307" s="130"/>
      <c r="J307" s="130"/>
      <c r="K307" s="130"/>
      <c r="L307" s="130"/>
      <c r="M307" s="130"/>
      <c r="N307" s="130"/>
      <c r="O307" s="130"/>
      <c r="P307" s="130"/>
      <c r="Q307" s="130"/>
      <c r="R307" s="130"/>
      <c r="S307" s="130"/>
      <c r="T307" s="130"/>
      <c r="U307" s="130"/>
      <c r="V307" s="130"/>
      <c r="W307" s="130" t="s">
        <v>90</v>
      </c>
    </row>
    <row r="308" spans="1:23">
      <c r="A308" s="130">
        <v>45953</v>
      </c>
      <c r="B308" s="130" t="s">
        <v>3689</v>
      </c>
      <c r="C308" s="130" t="s">
        <v>879</v>
      </c>
      <c r="D308" s="130" t="s">
        <v>30</v>
      </c>
      <c r="E308" s="130" t="s">
        <v>30</v>
      </c>
      <c r="F308" s="130" t="s">
        <v>3690</v>
      </c>
      <c r="G308" s="130"/>
      <c r="H308" s="130" t="s">
        <v>27</v>
      </c>
      <c r="I308" s="130"/>
      <c r="J308" s="130"/>
      <c r="K308" s="130"/>
      <c r="L308" s="130"/>
      <c r="M308" s="130"/>
      <c r="N308" s="130"/>
      <c r="O308" s="130"/>
      <c r="P308" s="130"/>
      <c r="Q308" s="130"/>
      <c r="R308" s="130"/>
      <c r="S308" s="130"/>
      <c r="T308" s="130"/>
      <c r="U308" s="130"/>
      <c r="V308" s="130"/>
      <c r="W308" s="130" t="s">
        <v>27</v>
      </c>
    </row>
    <row r="309" spans="1:23">
      <c r="A309" s="130">
        <v>45953</v>
      </c>
      <c r="B309" s="130" t="s">
        <v>3691</v>
      </c>
      <c r="C309" s="130" t="s">
        <v>320</v>
      </c>
      <c r="D309" s="130" t="s">
        <v>30</v>
      </c>
      <c r="E309" s="130" t="s">
        <v>30</v>
      </c>
      <c r="F309" s="130" t="s">
        <v>3692</v>
      </c>
      <c r="G309" s="130" t="s">
        <v>3693</v>
      </c>
      <c r="H309" s="130" t="s">
        <v>27</v>
      </c>
      <c r="I309" s="130"/>
      <c r="J309" s="130"/>
      <c r="K309" s="130"/>
      <c r="L309" s="130"/>
      <c r="M309" s="130"/>
      <c r="N309" s="130"/>
      <c r="O309" s="130"/>
      <c r="P309" s="130"/>
      <c r="Q309" s="130"/>
      <c r="R309" s="130"/>
      <c r="S309" s="130"/>
      <c r="T309" s="130"/>
      <c r="U309" s="130"/>
      <c r="V309" s="130"/>
      <c r="W309" s="130" t="s">
        <v>27</v>
      </c>
    </row>
    <row r="310" spans="1:23">
      <c r="A310" s="130">
        <v>45956</v>
      </c>
      <c r="B310" s="130" t="s">
        <v>3709</v>
      </c>
      <c r="C310" s="130" t="s">
        <v>690</v>
      </c>
      <c r="D310" s="130" t="s">
        <v>63</v>
      </c>
      <c r="E310" s="130">
        <v>85050</v>
      </c>
      <c r="F310" s="130" t="s">
        <v>3710</v>
      </c>
      <c r="G310" s="130" t="s">
        <v>3706</v>
      </c>
      <c r="H310" s="130" t="s">
        <v>27</v>
      </c>
      <c r="I310" s="130"/>
      <c r="J310" s="130"/>
      <c r="K310" s="130"/>
      <c r="L310" s="130"/>
      <c r="M310" s="130"/>
      <c r="N310" s="130"/>
      <c r="O310" s="130"/>
      <c r="P310" s="130"/>
      <c r="Q310" s="130"/>
      <c r="R310" s="130"/>
      <c r="S310" s="130"/>
      <c r="T310" s="130"/>
      <c r="U310" s="130"/>
      <c r="V310" s="130"/>
      <c r="W310" s="130" t="s">
        <v>27</v>
      </c>
    </row>
    <row r="311" spans="1:23">
      <c r="A311" s="130">
        <v>45959</v>
      </c>
      <c r="B311" s="130" t="s">
        <v>3717</v>
      </c>
      <c r="C311" s="130" t="s">
        <v>3718</v>
      </c>
      <c r="D311" s="130" t="s">
        <v>1204</v>
      </c>
      <c r="E311" s="130">
        <v>85355</v>
      </c>
      <c r="F311" s="130" t="s">
        <v>3531</v>
      </c>
      <c r="G311" s="130" t="s">
        <v>3712</v>
      </c>
      <c r="H311" s="130" t="s">
        <v>27</v>
      </c>
      <c r="I311" s="130"/>
      <c r="J311" s="130"/>
      <c r="K311" s="130"/>
      <c r="L311" s="130"/>
      <c r="M311" s="130"/>
      <c r="N311" s="130"/>
      <c r="O311" s="130"/>
      <c r="P311" s="130"/>
      <c r="Q311" s="130"/>
      <c r="R311" s="130" t="s">
        <v>3497</v>
      </c>
      <c r="S311" s="130"/>
      <c r="T311" s="130"/>
      <c r="U311" s="130"/>
      <c r="V311" s="130"/>
      <c r="W311" s="130" t="s">
        <v>27</v>
      </c>
    </row>
    <row r="312" spans="1:23">
      <c r="A312" s="130">
        <v>45959</v>
      </c>
      <c r="B312" s="130" t="s">
        <v>3719</v>
      </c>
      <c r="C312" s="130" t="s">
        <v>1714</v>
      </c>
      <c r="D312" s="130" t="s">
        <v>169</v>
      </c>
      <c r="E312" s="130">
        <v>85395</v>
      </c>
      <c r="F312" s="130" t="s">
        <v>3531</v>
      </c>
      <c r="G312" s="130" t="s">
        <v>3712</v>
      </c>
      <c r="H312" s="130" t="s">
        <v>27</v>
      </c>
      <c r="I312" s="130"/>
      <c r="J312" s="130"/>
      <c r="K312" s="130"/>
      <c r="L312" s="130"/>
      <c r="M312" s="130"/>
      <c r="N312" s="130"/>
      <c r="O312" s="130"/>
      <c r="P312" s="130"/>
      <c r="Q312" s="130"/>
      <c r="R312" s="130" t="s">
        <v>3497</v>
      </c>
      <c r="S312" s="130"/>
      <c r="T312" s="130"/>
      <c r="U312" s="130"/>
      <c r="V312" s="130"/>
      <c r="W312" s="130" t="s">
        <v>27</v>
      </c>
    </row>
    <row r="313" spans="1:23">
      <c r="A313" s="130">
        <v>45959</v>
      </c>
      <c r="B313" s="130" t="s">
        <v>3727</v>
      </c>
      <c r="C313" s="130" t="s">
        <v>3728</v>
      </c>
      <c r="D313" s="130" t="s">
        <v>174</v>
      </c>
      <c r="E313" s="130">
        <v>85326</v>
      </c>
      <c r="F313" s="130" t="s">
        <v>3531</v>
      </c>
      <c r="G313" s="130" t="s">
        <v>3712</v>
      </c>
      <c r="H313" s="130" t="s">
        <v>27</v>
      </c>
      <c r="I313" s="130"/>
      <c r="J313" s="130"/>
      <c r="K313" s="130"/>
      <c r="L313" s="130"/>
      <c r="M313" s="130"/>
      <c r="N313" s="130"/>
      <c r="O313" s="130"/>
      <c r="P313" s="130"/>
      <c r="Q313" s="130"/>
      <c r="R313" s="130" t="s">
        <v>3497</v>
      </c>
      <c r="S313" s="130"/>
      <c r="T313" s="130"/>
      <c r="U313" s="130"/>
      <c r="V313" s="130"/>
      <c r="W313" s="130" t="s">
        <v>27</v>
      </c>
    </row>
    <row r="314" spans="1:23">
      <c r="A314" s="130">
        <v>45959</v>
      </c>
      <c r="B314" s="130" t="s">
        <v>3732</v>
      </c>
      <c r="C314" s="130" t="s">
        <v>3733</v>
      </c>
      <c r="D314" s="130" t="s">
        <v>240</v>
      </c>
      <c r="E314" s="130">
        <v>85340</v>
      </c>
      <c r="F314" s="130" t="s">
        <v>3531</v>
      </c>
      <c r="G314" s="130" t="s">
        <v>3712</v>
      </c>
      <c r="H314" s="130" t="s">
        <v>27</v>
      </c>
      <c r="I314" s="130"/>
      <c r="J314" s="130"/>
      <c r="K314" s="130"/>
      <c r="L314" s="130"/>
      <c r="M314" s="130"/>
      <c r="N314" s="130"/>
      <c r="O314" s="130"/>
      <c r="P314" s="130"/>
      <c r="Q314" s="130"/>
      <c r="R314" s="130" t="s">
        <v>3497</v>
      </c>
      <c r="S314" s="130"/>
      <c r="T314" s="130"/>
      <c r="U314" s="130"/>
      <c r="V314" s="130"/>
      <c r="W314" s="130" t="s">
        <v>27</v>
      </c>
    </row>
    <row r="315" spans="1:23">
      <c r="A315" s="130">
        <v>45961</v>
      </c>
      <c r="B315" s="130" t="s">
        <v>3741</v>
      </c>
      <c r="C315" s="130" t="s">
        <v>184</v>
      </c>
      <c r="D315" s="130" t="s">
        <v>174</v>
      </c>
      <c r="E315" s="130">
        <v>85396</v>
      </c>
      <c r="F315" s="130" t="s">
        <v>3531</v>
      </c>
      <c r="G315" s="130" t="s">
        <v>3742</v>
      </c>
      <c r="H315" s="130" t="s">
        <v>27</v>
      </c>
      <c r="I315" s="130"/>
      <c r="J315" s="130"/>
      <c r="K315" s="130"/>
      <c r="L315" s="130"/>
      <c r="M315" s="130"/>
      <c r="N315" s="130"/>
      <c r="O315" s="130"/>
      <c r="P315" s="130"/>
      <c r="Q315" s="130"/>
      <c r="R315" s="130" t="s">
        <v>3497</v>
      </c>
      <c r="S315" s="130"/>
      <c r="T315" s="130"/>
      <c r="U315" s="130"/>
      <c r="V315" s="130"/>
      <c r="W315" s="130" t="s">
        <v>27</v>
      </c>
    </row>
    <row r="316" spans="1:23">
      <c r="A316" s="130">
        <v>45961</v>
      </c>
      <c r="B316" s="130" t="s">
        <v>3743</v>
      </c>
      <c r="C316" s="130" t="s">
        <v>3744</v>
      </c>
      <c r="D316" s="130" t="s">
        <v>174</v>
      </c>
      <c r="E316" s="130">
        <v>85326</v>
      </c>
      <c r="F316" s="130" t="s">
        <v>3531</v>
      </c>
      <c r="G316" s="130" t="s">
        <v>3742</v>
      </c>
      <c r="H316" s="130" t="s">
        <v>27</v>
      </c>
      <c r="I316" s="130"/>
      <c r="J316" s="130"/>
      <c r="K316" s="130"/>
      <c r="L316" s="130"/>
      <c r="M316" s="130"/>
      <c r="N316" s="130"/>
      <c r="O316" s="130"/>
      <c r="P316" s="130"/>
      <c r="Q316" s="130"/>
      <c r="R316" s="130" t="s">
        <v>3497</v>
      </c>
      <c r="S316" s="130"/>
      <c r="T316" s="130"/>
      <c r="U316" s="130"/>
      <c r="V316" s="130"/>
      <c r="W316" s="130" t="s">
        <v>27</v>
      </c>
    </row>
    <row r="317" spans="1:23">
      <c r="A317" s="130">
        <v>45961</v>
      </c>
      <c r="B317" s="130" t="s">
        <v>3749</v>
      </c>
      <c r="C317" s="130" t="s">
        <v>2019</v>
      </c>
      <c r="D317" s="130" t="s">
        <v>174</v>
      </c>
      <c r="E317" s="130">
        <v>85396</v>
      </c>
      <c r="F317" s="130" t="s">
        <v>3531</v>
      </c>
      <c r="G317" s="130" t="s">
        <v>3742</v>
      </c>
      <c r="H317" s="130" t="s">
        <v>27</v>
      </c>
      <c r="I317" s="130"/>
      <c r="J317" s="130"/>
      <c r="K317" s="130"/>
      <c r="L317" s="130"/>
      <c r="M317" s="130"/>
      <c r="N317" s="130"/>
      <c r="O317" s="130"/>
      <c r="P317" s="130"/>
      <c r="Q317" s="130"/>
      <c r="R317" s="130" t="s">
        <v>3497</v>
      </c>
      <c r="S317" s="130"/>
      <c r="T317" s="130"/>
      <c r="U317" s="130"/>
      <c r="V317" s="130"/>
      <c r="W317" s="130" t="s">
        <v>27</v>
      </c>
    </row>
    <row r="318" spans="1:23">
      <c r="A318" s="130">
        <v>45961</v>
      </c>
      <c r="B318" s="130" t="s">
        <v>3749</v>
      </c>
      <c r="C318" s="130" t="s">
        <v>1749</v>
      </c>
      <c r="D318" s="130" t="s">
        <v>174</v>
      </c>
      <c r="E318" s="130">
        <v>85396</v>
      </c>
      <c r="F318" s="130" t="s">
        <v>3531</v>
      </c>
      <c r="G318" s="130" t="s">
        <v>3742</v>
      </c>
      <c r="H318" s="130" t="s">
        <v>27</v>
      </c>
      <c r="I318" s="130"/>
      <c r="J318" s="130"/>
      <c r="K318" s="130"/>
      <c r="L318" s="130"/>
      <c r="M318" s="130"/>
      <c r="N318" s="130"/>
      <c r="O318" s="130"/>
      <c r="P318" s="130"/>
      <c r="Q318" s="130"/>
      <c r="R318" s="130" t="s">
        <v>3497</v>
      </c>
      <c r="S318" s="130"/>
      <c r="T318" s="130"/>
      <c r="U318" s="130"/>
      <c r="V318" s="130"/>
      <c r="W318" s="130" t="s">
        <v>27</v>
      </c>
    </row>
    <row r="319" spans="1:23">
      <c r="A319" s="130">
        <v>45961</v>
      </c>
      <c r="B319" s="130" t="s">
        <v>3763</v>
      </c>
      <c r="C319" s="130" t="s">
        <v>1941</v>
      </c>
      <c r="D319" s="130" t="s">
        <v>1919</v>
      </c>
      <c r="E319" s="130">
        <v>85208</v>
      </c>
      <c r="F319" s="130" t="s">
        <v>3531</v>
      </c>
      <c r="G319" s="130" t="s">
        <v>3757</v>
      </c>
      <c r="H319" s="130" t="s">
        <v>27</v>
      </c>
      <c r="I319" s="130"/>
      <c r="J319" s="130"/>
      <c r="K319" s="130"/>
      <c r="L319" s="130"/>
      <c r="M319" s="130"/>
      <c r="N319" s="130"/>
      <c r="O319" s="130"/>
      <c r="P319" s="130"/>
      <c r="Q319" s="130"/>
      <c r="R319" s="130"/>
      <c r="S319" s="130"/>
      <c r="T319" s="130"/>
      <c r="U319" s="130"/>
      <c r="V319" s="130"/>
      <c r="W319" s="130" t="s">
        <v>27</v>
      </c>
    </row>
    <row r="320" spans="1:23">
      <c r="A320" s="130">
        <v>45961</v>
      </c>
      <c r="B320" s="130" t="s">
        <v>3769</v>
      </c>
      <c r="C320" s="130" t="s">
        <v>1674</v>
      </c>
      <c r="D320" s="130" t="s">
        <v>3538</v>
      </c>
      <c r="E320" s="130">
        <v>85730</v>
      </c>
      <c r="F320" s="130" t="s">
        <v>3531</v>
      </c>
      <c r="G320" s="130" t="s">
        <v>3757</v>
      </c>
      <c r="H320" s="130" t="s">
        <v>27</v>
      </c>
      <c r="I320" s="130"/>
      <c r="J320" s="130"/>
      <c r="K320" s="130"/>
      <c r="L320" s="130"/>
      <c r="M320" s="130"/>
      <c r="N320" s="130"/>
      <c r="O320" s="130"/>
      <c r="P320" s="130"/>
      <c r="Q320" s="130"/>
      <c r="R320" s="130"/>
      <c r="S320" s="130"/>
      <c r="T320" s="130"/>
      <c r="U320" s="130"/>
      <c r="V320" s="130"/>
      <c r="W320" s="130" t="s">
        <v>27</v>
      </c>
    </row>
    <row r="321" spans="1:23">
      <c r="A321" s="130">
        <v>45961</v>
      </c>
      <c r="B321" s="130" t="s">
        <v>3770</v>
      </c>
      <c r="C321" s="130" t="s">
        <v>3771</v>
      </c>
      <c r="D321" s="130" t="s">
        <v>30</v>
      </c>
      <c r="E321" s="130"/>
      <c r="F321" s="130" t="s">
        <v>3772</v>
      </c>
      <c r="G321" s="130" t="s">
        <v>3757</v>
      </c>
      <c r="H321" s="130" t="s">
        <v>27</v>
      </c>
      <c r="I321" s="130"/>
      <c r="J321" s="130"/>
      <c r="K321" s="130"/>
      <c r="L321" s="130"/>
      <c r="M321" s="130"/>
      <c r="N321" s="130"/>
      <c r="O321" s="130"/>
      <c r="P321" s="130"/>
      <c r="Q321" s="130"/>
      <c r="R321" s="130"/>
      <c r="S321" s="130"/>
      <c r="T321" s="130"/>
      <c r="U321" s="130"/>
      <c r="V321" s="130"/>
      <c r="W321" s="130" t="s">
        <v>27</v>
      </c>
    </row>
    <row r="322" spans="1:23">
      <c r="A322" s="130">
        <v>45961</v>
      </c>
      <c r="B322" s="130" t="s">
        <v>3774</v>
      </c>
      <c r="C322" s="130" t="s">
        <v>79</v>
      </c>
      <c r="D322" s="130" t="s">
        <v>3538</v>
      </c>
      <c r="E322" s="130">
        <v>85745</v>
      </c>
      <c r="F322" s="130" t="s">
        <v>3531</v>
      </c>
      <c r="G322" s="130" t="s">
        <v>3757</v>
      </c>
      <c r="H322" s="130" t="s">
        <v>27</v>
      </c>
      <c r="I322" s="130"/>
      <c r="J322" s="130"/>
      <c r="K322" s="130"/>
      <c r="L322" s="130"/>
      <c r="M322" s="130"/>
      <c r="N322" s="130"/>
      <c r="O322" s="130"/>
      <c r="P322" s="130"/>
      <c r="Q322" s="130"/>
      <c r="R322" s="130"/>
      <c r="S322" s="130"/>
      <c r="T322" s="130"/>
      <c r="U322" s="130"/>
      <c r="V322" s="130"/>
      <c r="W322" s="130" t="s">
        <v>27</v>
      </c>
    </row>
    <row r="323" spans="1:23">
      <c r="A323" s="130">
        <v>45961</v>
      </c>
      <c r="B323" s="130" t="s">
        <v>1078</v>
      </c>
      <c r="C323" s="130" t="s">
        <v>733</v>
      </c>
      <c r="D323" s="130" t="s">
        <v>24</v>
      </c>
      <c r="E323" s="130">
        <v>85308</v>
      </c>
      <c r="F323" s="130" t="s">
        <v>3780</v>
      </c>
      <c r="G323" s="130" t="s">
        <v>3781</v>
      </c>
      <c r="H323" s="130" t="s">
        <v>27</v>
      </c>
      <c r="I323" s="130"/>
      <c r="J323" s="130"/>
      <c r="K323" s="130"/>
      <c r="L323" s="130"/>
      <c r="M323" s="130"/>
      <c r="N323" s="130"/>
      <c r="O323" s="130"/>
      <c r="P323" s="130"/>
      <c r="Q323" s="130"/>
      <c r="R323" s="130"/>
      <c r="S323" s="130"/>
      <c r="T323" s="130"/>
      <c r="U323" s="130"/>
      <c r="V323" s="130"/>
      <c r="W323" s="130" t="s">
        <v>27</v>
      </c>
    </row>
    <row r="324" spans="1:23">
      <c r="A324" s="130">
        <v>45961</v>
      </c>
      <c r="B324" s="130" t="s">
        <v>3782</v>
      </c>
      <c r="C324" s="130" t="s">
        <v>3783</v>
      </c>
      <c r="D324" s="130" t="s">
        <v>63</v>
      </c>
      <c r="E324" s="130">
        <v>85086</v>
      </c>
      <c r="F324" s="130" t="s">
        <v>3531</v>
      </c>
      <c r="G324" s="130" t="s">
        <v>3784</v>
      </c>
      <c r="H324" s="130" t="s">
        <v>27</v>
      </c>
      <c r="I324" s="130"/>
      <c r="J324" s="130"/>
      <c r="K324" s="130"/>
      <c r="L324" s="130"/>
      <c r="M324" s="130"/>
      <c r="N324" s="130"/>
      <c r="O324" s="130"/>
      <c r="P324" s="130"/>
      <c r="Q324" s="130"/>
      <c r="R324" s="130"/>
      <c r="S324" s="130"/>
      <c r="T324" s="130"/>
      <c r="U324" s="130"/>
      <c r="V324" s="130"/>
      <c r="W324" s="130" t="s">
        <v>27</v>
      </c>
    </row>
    <row r="325" spans="1:23">
      <c r="A325" s="130">
        <v>45961</v>
      </c>
      <c r="B325" s="130" t="s">
        <v>1765</v>
      </c>
      <c r="C325" s="130" t="s">
        <v>3789</v>
      </c>
      <c r="D325" s="130" t="s">
        <v>125</v>
      </c>
      <c r="E325" s="130">
        <v>85266</v>
      </c>
      <c r="F325" s="130" t="s">
        <v>3790</v>
      </c>
      <c r="G325" s="130" t="s">
        <v>3784</v>
      </c>
      <c r="H325" s="130" t="s">
        <v>27</v>
      </c>
      <c r="I325" s="130"/>
      <c r="J325" s="130"/>
      <c r="K325" s="130"/>
      <c r="L325" s="130"/>
      <c r="M325" s="130"/>
      <c r="N325" s="130"/>
      <c r="O325" s="130"/>
      <c r="P325" s="130"/>
      <c r="Q325" s="130"/>
      <c r="R325" s="130"/>
      <c r="S325" s="130"/>
      <c r="T325" s="130"/>
      <c r="U325" s="130"/>
      <c r="V325" s="130"/>
      <c r="W325" s="130" t="s">
        <v>27</v>
      </c>
    </row>
    <row r="326" spans="1:23">
      <c r="A326" s="130">
        <v>45966</v>
      </c>
      <c r="B326" s="130" t="s">
        <v>3827</v>
      </c>
      <c r="C326" s="130" t="s">
        <v>135</v>
      </c>
      <c r="D326" s="130" t="s">
        <v>63</v>
      </c>
      <c r="E326" s="130">
        <v>85255</v>
      </c>
      <c r="F326" s="130" t="s">
        <v>3828</v>
      </c>
      <c r="G326" s="130" t="s">
        <v>3823</v>
      </c>
      <c r="H326" s="130" t="s">
        <v>27</v>
      </c>
      <c r="I326" s="130"/>
      <c r="J326" s="130"/>
      <c r="K326" s="130"/>
      <c r="L326" s="130"/>
      <c r="M326" s="130"/>
      <c r="N326" s="130"/>
      <c r="O326" s="130"/>
      <c r="P326" s="130"/>
      <c r="Q326" s="130"/>
      <c r="R326" s="130"/>
      <c r="S326" s="130"/>
      <c r="T326" s="130"/>
      <c r="U326" s="130"/>
      <c r="V326" s="130"/>
      <c r="W326" s="130" t="s">
        <v>27</v>
      </c>
    </row>
    <row r="327" spans="1:23">
      <c r="A327" s="130">
        <v>45951</v>
      </c>
      <c r="B327" s="130" t="s">
        <v>3833</v>
      </c>
      <c r="C327" s="130" t="s">
        <v>179</v>
      </c>
      <c r="D327" s="130" t="s">
        <v>698</v>
      </c>
      <c r="E327" s="130">
        <v>85375</v>
      </c>
      <c r="F327" s="130" t="s">
        <v>3834</v>
      </c>
      <c r="G327" s="130" t="s">
        <v>3835</v>
      </c>
      <c r="H327" s="130" t="s">
        <v>90</v>
      </c>
      <c r="I327" s="130"/>
      <c r="J327" s="130"/>
      <c r="K327" s="130"/>
      <c r="L327" s="130"/>
      <c r="M327" s="130"/>
      <c r="N327" s="130"/>
      <c r="O327" s="130"/>
      <c r="P327" s="130"/>
      <c r="Q327" s="130"/>
      <c r="R327" s="130"/>
      <c r="S327" s="130"/>
      <c r="T327" s="130"/>
      <c r="U327" s="130"/>
      <c r="V327" s="130"/>
      <c r="W327" s="130" t="s">
        <v>90</v>
      </c>
    </row>
    <row r="328" spans="1:23">
      <c r="A328" s="130">
        <v>45967</v>
      </c>
      <c r="B328" s="130" t="s">
        <v>3849</v>
      </c>
      <c r="C328" s="130" t="s">
        <v>3850</v>
      </c>
      <c r="D328" s="130" t="s">
        <v>30</v>
      </c>
      <c r="E328" s="130" t="s">
        <v>30</v>
      </c>
      <c r="F328" s="130" t="s">
        <v>3531</v>
      </c>
      <c r="G328" s="130" t="s">
        <v>3851</v>
      </c>
      <c r="H328" s="130" t="s">
        <v>27</v>
      </c>
      <c r="I328" s="130"/>
      <c r="J328" s="130"/>
      <c r="K328" s="130"/>
      <c r="L328" s="130"/>
      <c r="M328" s="130"/>
      <c r="N328" s="130"/>
      <c r="O328" s="130"/>
      <c r="P328" s="130"/>
      <c r="Q328" s="130"/>
      <c r="R328" s="130" t="s">
        <v>3497</v>
      </c>
      <c r="S328" s="130"/>
      <c r="T328" s="130"/>
      <c r="U328" s="130"/>
      <c r="V328" s="130"/>
      <c r="W328" s="130" t="s">
        <v>27</v>
      </c>
    </row>
    <row r="329" spans="1:23">
      <c r="A329" s="130">
        <v>45967</v>
      </c>
      <c r="B329" s="130" t="s">
        <v>3852</v>
      </c>
      <c r="C329" s="130" t="s">
        <v>373</v>
      </c>
      <c r="D329" s="130" t="s">
        <v>30</v>
      </c>
      <c r="E329" s="130" t="s">
        <v>30</v>
      </c>
      <c r="F329" s="130" t="s">
        <v>3853</v>
      </c>
      <c r="G329" s="130" t="s">
        <v>3851</v>
      </c>
      <c r="H329" s="130" t="s">
        <v>27</v>
      </c>
      <c r="I329" s="130"/>
      <c r="J329" s="130"/>
      <c r="K329" s="130"/>
      <c r="L329" s="130"/>
      <c r="M329" s="130"/>
      <c r="N329" s="130"/>
      <c r="O329" s="130"/>
      <c r="P329" s="130"/>
      <c r="Q329" s="130"/>
      <c r="R329" s="130" t="s">
        <v>3497</v>
      </c>
      <c r="S329" s="130"/>
      <c r="T329" s="130"/>
      <c r="U329" s="130"/>
      <c r="V329" s="130"/>
      <c r="W329" s="130" t="s">
        <v>27</v>
      </c>
    </row>
    <row r="330" spans="1:23">
      <c r="A330" s="130">
        <v>45967</v>
      </c>
      <c r="B330" s="130" t="s">
        <v>3858</v>
      </c>
      <c r="C330" s="130" t="s">
        <v>3859</v>
      </c>
      <c r="D330" s="130" t="s">
        <v>30</v>
      </c>
      <c r="E330" s="130" t="s">
        <v>30</v>
      </c>
      <c r="F330" s="130" t="s">
        <v>3860</v>
      </c>
      <c r="G330" s="130" t="s">
        <v>3851</v>
      </c>
      <c r="H330" s="130" t="s">
        <v>27</v>
      </c>
      <c r="I330" s="130"/>
      <c r="J330" s="130"/>
      <c r="K330" s="130"/>
      <c r="L330" s="130"/>
      <c r="M330" s="130"/>
      <c r="N330" s="130"/>
      <c r="O330" s="130"/>
      <c r="P330" s="130"/>
      <c r="Q330" s="130"/>
      <c r="R330" s="130" t="s">
        <v>3497</v>
      </c>
      <c r="S330" s="130"/>
      <c r="T330" s="130"/>
      <c r="U330" s="130"/>
      <c r="V330" s="130"/>
      <c r="W330" s="130" t="s">
        <v>27</v>
      </c>
    </row>
    <row r="331" spans="1:23">
      <c r="A331" s="130">
        <v>45967</v>
      </c>
      <c r="B331" s="130" t="s">
        <v>3861</v>
      </c>
      <c r="C331" s="130" t="s">
        <v>1149</v>
      </c>
      <c r="D331" s="130" t="s">
        <v>30</v>
      </c>
      <c r="E331" s="130" t="s">
        <v>30</v>
      </c>
      <c r="F331" s="130" t="s">
        <v>3862</v>
      </c>
      <c r="G331" s="130" t="s">
        <v>3851</v>
      </c>
      <c r="H331" s="130" t="s">
        <v>90</v>
      </c>
      <c r="I331" s="130"/>
      <c r="J331" s="130"/>
      <c r="K331" s="130"/>
      <c r="L331" s="130"/>
      <c r="M331" s="130"/>
      <c r="N331" s="130"/>
      <c r="O331" s="130"/>
      <c r="P331" s="130"/>
      <c r="Q331" s="130"/>
      <c r="R331" s="130" t="s">
        <v>3497</v>
      </c>
      <c r="S331" s="130"/>
      <c r="T331" s="130"/>
      <c r="U331" s="130"/>
      <c r="V331" s="130"/>
      <c r="W331" s="130" t="s">
        <v>90</v>
      </c>
    </row>
    <row r="332" spans="1:23">
      <c r="A332" s="130">
        <v>45967</v>
      </c>
      <c r="B332" s="130" t="s">
        <v>3863</v>
      </c>
      <c r="C332" s="130" t="s">
        <v>3687</v>
      </c>
      <c r="D332" s="130" t="s">
        <v>30</v>
      </c>
      <c r="E332" s="130" t="s">
        <v>30</v>
      </c>
      <c r="F332" s="130" t="s">
        <v>3862</v>
      </c>
      <c r="G332" s="130" t="s">
        <v>3851</v>
      </c>
      <c r="H332" s="130" t="s">
        <v>90</v>
      </c>
      <c r="I332" s="130"/>
      <c r="J332" s="130"/>
      <c r="K332" s="130"/>
      <c r="L332" s="130"/>
      <c r="M332" s="130"/>
      <c r="N332" s="130"/>
      <c r="O332" s="130"/>
      <c r="P332" s="130"/>
      <c r="Q332" s="130"/>
      <c r="R332" s="130" t="s">
        <v>3497</v>
      </c>
      <c r="S332" s="130"/>
      <c r="T332" s="130"/>
      <c r="U332" s="130"/>
      <c r="V332" s="130"/>
      <c r="W332" s="130" t="s">
        <v>90</v>
      </c>
    </row>
    <row r="333" spans="1:23">
      <c r="A333" s="130">
        <v>45985</v>
      </c>
      <c r="B333" s="130" t="s">
        <v>3893</v>
      </c>
      <c r="C333" s="130" t="s">
        <v>3894</v>
      </c>
      <c r="D333" s="130" t="s">
        <v>174</v>
      </c>
      <c r="E333" s="130">
        <v>85326</v>
      </c>
      <c r="F333" s="130" t="s">
        <v>3895</v>
      </c>
      <c r="G333" s="130" t="s">
        <v>3896</v>
      </c>
      <c r="H333" s="130" t="s">
        <v>27</v>
      </c>
      <c r="I333" s="130"/>
      <c r="J333" s="130"/>
      <c r="K333" s="130"/>
      <c r="L333" s="130"/>
      <c r="M333" s="130"/>
      <c r="N333" s="130"/>
      <c r="O333" s="130"/>
      <c r="P333" s="130"/>
      <c r="Q333" s="130"/>
      <c r="R333" s="130"/>
      <c r="S333" s="130"/>
      <c r="T333" s="130"/>
      <c r="U333" s="130"/>
      <c r="V333" s="130"/>
      <c r="W333" s="130" t="s">
        <v>27</v>
      </c>
    </row>
    <row r="334" spans="1:23">
      <c r="A334" s="130">
        <v>45987</v>
      </c>
      <c r="B334" s="130" t="s">
        <v>3907</v>
      </c>
      <c r="C334" s="130" t="s">
        <v>3907</v>
      </c>
      <c r="D334" s="130"/>
      <c r="E334" s="130">
        <v>85285</v>
      </c>
      <c r="F334" s="130" t="s">
        <v>3908</v>
      </c>
      <c r="G334" s="130" t="s">
        <v>3909</v>
      </c>
      <c r="H334" s="130" t="s">
        <v>27</v>
      </c>
      <c r="I334" s="130"/>
      <c r="J334" s="130"/>
      <c r="K334" s="130"/>
      <c r="L334" s="130"/>
      <c r="M334" s="130"/>
      <c r="N334" s="130"/>
      <c r="O334" s="130"/>
      <c r="P334" s="130"/>
      <c r="Q334" s="130"/>
      <c r="R334" s="130"/>
      <c r="S334" s="130"/>
      <c r="T334" s="130"/>
      <c r="U334" s="130"/>
      <c r="V334" s="130"/>
      <c r="W334" s="130" t="s">
        <v>27</v>
      </c>
    </row>
    <row r="335" spans="1:23">
      <c r="A335" s="130">
        <v>45987</v>
      </c>
      <c r="B335" s="130" t="s">
        <v>431</v>
      </c>
      <c r="C335" s="130" t="s">
        <v>3910</v>
      </c>
      <c r="D335" s="130" t="s">
        <v>112</v>
      </c>
      <c r="E335" s="130">
        <v>85388</v>
      </c>
      <c r="F335" s="130" t="s">
        <v>3911</v>
      </c>
      <c r="G335" s="130" t="s">
        <v>3909</v>
      </c>
      <c r="H335" s="130" t="s">
        <v>90</v>
      </c>
      <c r="I335" s="130"/>
      <c r="J335" s="130"/>
      <c r="K335" s="130"/>
      <c r="L335" s="130"/>
      <c r="M335" s="130"/>
      <c r="N335" s="130"/>
      <c r="O335" s="130"/>
      <c r="P335" s="130"/>
      <c r="Q335" s="130"/>
      <c r="R335" s="130"/>
      <c r="S335" s="130"/>
      <c r="T335" s="130"/>
      <c r="U335" s="130"/>
      <c r="V335" s="130"/>
      <c r="W335" s="130" t="s">
        <v>90</v>
      </c>
    </row>
    <row r="336" spans="1:23">
      <c r="A336" s="130">
        <v>45993</v>
      </c>
      <c r="B336" s="130" t="s">
        <v>3932</v>
      </c>
      <c r="C336" s="130" t="s">
        <v>3933</v>
      </c>
      <c r="D336" s="130" t="s">
        <v>428</v>
      </c>
      <c r="E336" s="130">
        <v>85335</v>
      </c>
      <c r="F336" s="130" t="s">
        <v>3756</v>
      </c>
      <c r="G336" s="130" t="s">
        <v>3930</v>
      </c>
      <c r="H336" s="130" t="s">
        <v>27</v>
      </c>
      <c r="I336" s="130"/>
      <c r="J336" s="130"/>
      <c r="K336" s="130"/>
      <c r="L336" s="130"/>
      <c r="M336" s="130"/>
      <c r="N336" s="130"/>
      <c r="O336" s="130"/>
      <c r="P336" s="130"/>
      <c r="Q336" s="130"/>
      <c r="R336" s="130"/>
      <c r="S336" s="130"/>
      <c r="T336" s="130"/>
      <c r="U336" s="130"/>
      <c r="V336" s="130"/>
      <c r="W336" s="130" t="s">
        <v>27</v>
      </c>
    </row>
    <row r="337" spans="1:23">
      <c r="A337" s="130">
        <v>45993</v>
      </c>
      <c r="B337" s="130" t="s">
        <v>3950</v>
      </c>
      <c r="C337" s="130" t="s">
        <v>3951</v>
      </c>
      <c r="D337" s="130" t="s">
        <v>112</v>
      </c>
      <c r="E337" s="130">
        <v>85374</v>
      </c>
      <c r="F337" s="130" t="s">
        <v>3756</v>
      </c>
      <c r="G337" s="130" t="s">
        <v>3930</v>
      </c>
      <c r="H337" s="130" t="s">
        <v>27</v>
      </c>
      <c r="I337" s="130"/>
      <c r="J337" s="130"/>
      <c r="K337" s="130"/>
      <c r="L337" s="130"/>
      <c r="M337" s="130"/>
      <c r="N337" s="130"/>
      <c r="O337" s="130"/>
      <c r="P337" s="130"/>
      <c r="Q337" s="130"/>
      <c r="R337" s="130"/>
      <c r="S337" s="130"/>
      <c r="T337" s="130"/>
      <c r="U337" s="130"/>
      <c r="V337" s="130"/>
      <c r="W337" s="130" t="s">
        <v>27</v>
      </c>
    </row>
    <row r="338" spans="1:23">
      <c r="A338" s="130">
        <v>45993</v>
      </c>
      <c r="B338" s="130" t="s">
        <v>127</v>
      </c>
      <c r="C338" s="130" t="s">
        <v>2144</v>
      </c>
      <c r="D338" s="130" t="s">
        <v>112</v>
      </c>
      <c r="E338" s="130">
        <v>85388</v>
      </c>
      <c r="F338" s="130" t="s">
        <v>3756</v>
      </c>
      <c r="G338" s="130" t="s">
        <v>3930</v>
      </c>
      <c r="H338" s="130" t="s">
        <v>27</v>
      </c>
      <c r="I338" s="130"/>
      <c r="J338" s="130"/>
      <c r="K338" s="130"/>
      <c r="L338" s="130"/>
      <c r="M338" s="130"/>
      <c r="N338" s="130"/>
      <c r="O338" s="130"/>
      <c r="P338" s="130"/>
      <c r="Q338" s="130"/>
      <c r="R338" s="130"/>
      <c r="S338" s="130"/>
      <c r="T338" s="130"/>
      <c r="U338" s="130"/>
      <c r="V338" s="130"/>
      <c r="W338" s="130" t="s">
        <v>27</v>
      </c>
    </row>
    <row r="339" spans="1:23">
      <c r="A339" s="130">
        <v>45994</v>
      </c>
      <c r="B339" s="130" t="s">
        <v>3954</v>
      </c>
      <c r="C339" s="130" t="s">
        <v>1143</v>
      </c>
      <c r="D339" s="130" t="s">
        <v>30</v>
      </c>
      <c r="E339" s="130" t="s">
        <v>30</v>
      </c>
      <c r="F339" s="130" t="s">
        <v>31</v>
      </c>
      <c r="G339" s="130" t="s">
        <v>3955</v>
      </c>
      <c r="H339" s="130" t="s">
        <v>27</v>
      </c>
      <c r="I339" s="130"/>
      <c r="J339" s="130"/>
      <c r="K339" s="130"/>
      <c r="L339" s="130"/>
      <c r="M339" s="130"/>
      <c r="N339" s="130"/>
      <c r="O339" s="130"/>
      <c r="P339" s="130"/>
      <c r="Q339" s="130"/>
      <c r="R339" s="130"/>
      <c r="S339" s="130"/>
      <c r="T339" s="130"/>
      <c r="U339" s="130"/>
      <c r="V339" s="130"/>
      <c r="W339" s="130" t="s">
        <v>27</v>
      </c>
    </row>
    <row r="340" spans="1:23">
      <c r="A340" s="130">
        <v>45994</v>
      </c>
      <c r="B340" s="130" t="s">
        <v>3961</v>
      </c>
      <c r="C340" s="130" t="s">
        <v>3962</v>
      </c>
      <c r="D340" s="130" t="s">
        <v>63</v>
      </c>
      <c r="E340" s="130">
        <v>85017</v>
      </c>
      <c r="F340" s="130" t="s">
        <v>3963</v>
      </c>
      <c r="G340" s="130" t="s">
        <v>3964</v>
      </c>
      <c r="H340" s="130" t="s">
        <v>90</v>
      </c>
      <c r="I340" s="130"/>
      <c r="J340" s="130"/>
      <c r="K340" s="130"/>
      <c r="L340" s="130"/>
      <c r="M340" s="130"/>
      <c r="N340" s="130"/>
      <c r="O340" s="130"/>
      <c r="P340" s="130"/>
      <c r="Q340" s="130"/>
      <c r="R340" s="130" t="s">
        <v>3965</v>
      </c>
      <c r="S340" s="130"/>
      <c r="T340" s="130"/>
      <c r="U340" s="130"/>
      <c r="V340" s="130"/>
      <c r="W340" s="130" t="s">
        <v>90</v>
      </c>
    </row>
    <row r="341" spans="1:23">
      <c r="A341" s="130">
        <v>45994</v>
      </c>
      <c r="B341" s="130" t="s">
        <v>3966</v>
      </c>
      <c r="C341" s="130" t="s">
        <v>3967</v>
      </c>
      <c r="D341" s="130" t="s">
        <v>63</v>
      </c>
      <c r="E341" s="130">
        <v>85019</v>
      </c>
      <c r="F341" s="130" t="s">
        <v>3968</v>
      </c>
      <c r="G341" s="130" t="s">
        <v>3964</v>
      </c>
      <c r="H341" s="130" t="s">
        <v>27</v>
      </c>
      <c r="I341" s="130"/>
      <c r="J341" s="130"/>
      <c r="K341" s="130"/>
      <c r="L341" s="130"/>
      <c r="M341" s="130"/>
      <c r="N341" s="130"/>
      <c r="O341" s="130"/>
      <c r="P341" s="130"/>
      <c r="Q341" s="130"/>
      <c r="R341" s="130" t="s">
        <v>3965</v>
      </c>
      <c r="S341" s="130"/>
      <c r="T341" s="130"/>
      <c r="U341" s="130"/>
      <c r="V341" s="130"/>
      <c r="W341" s="130" t="s">
        <v>27</v>
      </c>
    </row>
    <row r="342" spans="1:23">
      <c r="A342" s="130">
        <v>45994</v>
      </c>
      <c r="B342" s="130" t="s">
        <v>3969</v>
      </c>
      <c r="C342" s="130" t="s">
        <v>3970</v>
      </c>
      <c r="D342" s="130" t="s">
        <v>24</v>
      </c>
      <c r="E342" s="130">
        <v>85301</v>
      </c>
      <c r="F342" s="130" t="s">
        <v>3971</v>
      </c>
      <c r="G342" s="130" t="s">
        <v>3964</v>
      </c>
      <c r="H342" s="130" t="s">
        <v>27</v>
      </c>
      <c r="I342" s="130"/>
      <c r="J342" s="130"/>
      <c r="K342" s="130"/>
      <c r="L342" s="130"/>
      <c r="M342" s="130"/>
      <c r="N342" s="130"/>
      <c r="O342" s="130"/>
      <c r="P342" s="130"/>
      <c r="Q342" s="130"/>
      <c r="R342" s="130" t="s">
        <v>3965</v>
      </c>
      <c r="S342" s="130"/>
      <c r="T342" s="130"/>
      <c r="U342" s="130"/>
      <c r="V342" s="130"/>
      <c r="W342" s="130" t="s">
        <v>27</v>
      </c>
    </row>
    <row r="343" spans="1:23">
      <c r="A343" s="130">
        <v>45994</v>
      </c>
      <c r="B343" s="130" t="s">
        <v>657</v>
      </c>
      <c r="C343" s="130" t="s">
        <v>3972</v>
      </c>
      <c r="D343" s="130" t="s">
        <v>635</v>
      </c>
      <c r="E343" s="130">
        <v>85281</v>
      </c>
      <c r="F343" s="130" t="s">
        <v>3973</v>
      </c>
      <c r="G343" s="130" t="s">
        <v>3964</v>
      </c>
      <c r="H343" s="130" t="s">
        <v>27</v>
      </c>
      <c r="I343" s="130"/>
      <c r="J343" s="130"/>
      <c r="K343" s="130"/>
      <c r="L343" s="130"/>
      <c r="M343" s="130"/>
      <c r="N343" s="130"/>
      <c r="O343" s="130"/>
      <c r="P343" s="130"/>
      <c r="Q343" s="130"/>
      <c r="R343" s="130" t="s">
        <v>3965</v>
      </c>
      <c r="S343" s="130"/>
      <c r="T343" s="130"/>
      <c r="U343" s="130"/>
      <c r="V343" s="130"/>
      <c r="W343" s="130" t="s">
        <v>27</v>
      </c>
    </row>
    <row r="344" spans="1:23">
      <c r="A344" s="130">
        <v>45994</v>
      </c>
      <c r="B344" s="130" t="s">
        <v>3907</v>
      </c>
      <c r="C344" s="130" t="s">
        <v>3907</v>
      </c>
      <c r="D344" s="130" t="s">
        <v>63</v>
      </c>
      <c r="E344" s="130">
        <v>85008</v>
      </c>
      <c r="F344" s="130" t="s">
        <v>3974</v>
      </c>
      <c r="G344" s="130" t="s">
        <v>3964</v>
      </c>
      <c r="H344" s="130" t="s">
        <v>27</v>
      </c>
      <c r="I344" s="130"/>
      <c r="J344" s="130"/>
      <c r="K344" s="130"/>
      <c r="L344" s="130"/>
      <c r="M344" s="130"/>
      <c r="N344" s="130"/>
      <c r="O344" s="130"/>
      <c r="P344" s="130"/>
      <c r="Q344" s="130"/>
      <c r="R344" s="130" t="s">
        <v>3965</v>
      </c>
      <c r="S344" s="130"/>
      <c r="T344" s="130"/>
      <c r="U344" s="130"/>
      <c r="V344" s="130"/>
      <c r="W344" s="130" t="s">
        <v>27</v>
      </c>
    </row>
    <row r="345" spans="1:23">
      <c r="A345" s="130">
        <v>45994</v>
      </c>
      <c r="B345" s="130" t="s">
        <v>2571</v>
      </c>
      <c r="C345" s="130" t="s">
        <v>3946</v>
      </c>
      <c r="D345" s="130" t="s">
        <v>63</v>
      </c>
      <c r="E345" s="130">
        <v>85017</v>
      </c>
      <c r="F345" s="130" t="s">
        <v>3981</v>
      </c>
      <c r="G345" s="130" t="s">
        <v>3964</v>
      </c>
      <c r="H345" s="130" t="s">
        <v>27</v>
      </c>
      <c r="I345" s="130"/>
      <c r="J345" s="130"/>
      <c r="K345" s="130"/>
      <c r="L345" s="130"/>
      <c r="M345" s="130"/>
      <c r="N345" s="130"/>
      <c r="O345" s="130"/>
      <c r="P345" s="130"/>
      <c r="Q345" s="130"/>
      <c r="R345" s="130" t="s">
        <v>3965</v>
      </c>
      <c r="S345" s="130"/>
      <c r="T345" s="130"/>
      <c r="U345" s="130"/>
      <c r="V345" s="130"/>
      <c r="W345" s="130" t="s">
        <v>27</v>
      </c>
    </row>
    <row r="346" spans="1:23">
      <c r="A346" s="130">
        <v>45994</v>
      </c>
      <c r="B346" s="130" t="s">
        <v>657</v>
      </c>
      <c r="C346" s="130" t="s">
        <v>3982</v>
      </c>
      <c r="D346" s="130" t="s">
        <v>63</v>
      </c>
      <c r="E346" s="130">
        <v>85035</v>
      </c>
      <c r="F346" s="130" t="s">
        <v>3983</v>
      </c>
      <c r="G346" s="130" t="s">
        <v>3964</v>
      </c>
      <c r="H346" s="130" t="s">
        <v>27</v>
      </c>
      <c r="I346" s="130"/>
      <c r="J346" s="130"/>
      <c r="K346" s="130"/>
      <c r="L346" s="130"/>
      <c r="M346" s="130"/>
      <c r="N346" s="130"/>
      <c r="O346" s="130"/>
      <c r="P346" s="130"/>
      <c r="Q346" s="130"/>
      <c r="R346" s="130" t="s">
        <v>3965</v>
      </c>
      <c r="S346" s="130"/>
      <c r="T346" s="130"/>
      <c r="U346" s="130"/>
      <c r="V346" s="130"/>
      <c r="W346" s="130" t="s">
        <v>27</v>
      </c>
    </row>
    <row r="347" spans="1:23">
      <c r="A347" s="130">
        <v>45994</v>
      </c>
      <c r="B347" s="130" t="s">
        <v>3984</v>
      </c>
      <c r="C347" s="130" t="s">
        <v>3985</v>
      </c>
      <c r="D347" s="130" t="s">
        <v>63</v>
      </c>
      <c r="E347" s="130">
        <v>85008</v>
      </c>
      <c r="F347" s="130" t="s">
        <v>3986</v>
      </c>
      <c r="G347" s="130" t="s">
        <v>3964</v>
      </c>
      <c r="H347" s="130" t="s">
        <v>27</v>
      </c>
      <c r="I347" s="130"/>
      <c r="J347" s="130"/>
      <c r="K347" s="130"/>
      <c r="L347" s="130"/>
      <c r="M347" s="130"/>
      <c r="N347" s="130"/>
      <c r="O347" s="130"/>
      <c r="P347" s="130"/>
      <c r="Q347" s="130"/>
      <c r="R347" s="130" t="s">
        <v>3965</v>
      </c>
      <c r="S347" s="130"/>
      <c r="T347" s="130"/>
      <c r="U347" s="130"/>
      <c r="V347" s="130"/>
      <c r="W347" s="130" t="s">
        <v>27</v>
      </c>
    </row>
    <row r="348" spans="1:23">
      <c r="A348" s="130">
        <v>45994</v>
      </c>
      <c r="B348" s="130"/>
      <c r="C348" s="130" t="s">
        <v>3987</v>
      </c>
      <c r="D348" s="130" t="s">
        <v>63</v>
      </c>
      <c r="E348" s="130">
        <v>85017</v>
      </c>
      <c r="F348" s="130" t="s">
        <v>3988</v>
      </c>
      <c r="G348" s="130" t="s">
        <v>3964</v>
      </c>
      <c r="H348" s="130" t="s">
        <v>27</v>
      </c>
      <c r="I348" s="130"/>
      <c r="J348" s="130"/>
      <c r="K348" s="130"/>
      <c r="L348" s="130"/>
      <c r="M348" s="130"/>
      <c r="N348" s="130"/>
      <c r="O348" s="130"/>
      <c r="P348" s="130"/>
      <c r="Q348" s="130"/>
      <c r="R348" s="130" t="s">
        <v>3965</v>
      </c>
      <c r="S348" s="130"/>
      <c r="T348" s="130"/>
      <c r="U348" s="130"/>
      <c r="V348" s="130"/>
      <c r="W348" s="130" t="s">
        <v>27</v>
      </c>
    </row>
    <row r="349" spans="1:23">
      <c r="A349" s="130">
        <v>45994</v>
      </c>
      <c r="B349" s="130" t="s">
        <v>3989</v>
      </c>
      <c r="C349" s="130" t="s">
        <v>3990</v>
      </c>
      <c r="D349" s="130" t="s">
        <v>63</v>
      </c>
      <c r="E349" s="130">
        <v>85037</v>
      </c>
      <c r="F349" s="130" t="s">
        <v>3991</v>
      </c>
      <c r="G349" s="130" t="s">
        <v>3964</v>
      </c>
      <c r="H349" s="130" t="s">
        <v>27</v>
      </c>
      <c r="I349" s="130"/>
      <c r="J349" s="130"/>
      <c r="K349" s="130"/>
      <c r="L349" s="130"/>
      <c r="M349" s="130"/>
      <c r="N349" s="130"/>
      <c r="O349" s="130"/>
      <c r="P349" s="130"/>
      <c r="Q349" s="130"/>
      <c r="R349" s="130"/>
      <c r="S349" s="130"/>
      <c r="T349" s="130"/>
      <c r="U349" s="130"/>
      <c r="V349" s="130"/>
      <c r="W349" s="130" t="s">
        <v>27</v>
      </c>
    </row>
    <row r="350" spans="1:23">
      <c r="A350" s="130">
        <v>45994</v>
      </c>
      <c r="B350" s="130" t="s">
        <v>3992</v>
      </c>
      <c r="C350" s="130" t="s">
        <v>3993</v>
      </c>
      <c r="D350" s="130" t="s">
        <v>63</v>
      </c>
      <c r="E350" s="130">
        <v>85031</v>
      </c>
      <c r="F350" s="130" t="s">
        <v>3994</v>
      </c>
      <c r="G350" s="130" t="s">
        <v>3964</v>
      </c>
      <c r="H350" s="130" t="s">
        <v>27</v>
      </c>
      <c r="I350" s="130"/>
      <c r="J350" s="130"/>
      <c r="K350" s="130"/>
      <c r="L350" s="130"/>
      <c r="M350" s="130"/>
      <c r="N350" s="130"/>
      <c r="O350" s="130"/>
      <c r="P350" s="130"/>
      <c r="Q350" s="130"/>
      <c r="R350" s="130"/>
      <c r="S350" s="130"/>
      <c r="T350" s="130"/>
      <c r="U350" s="130"/>
      <c r="V350" s="130"/>
      <c r="W350" s="130" t="s">
        <v>27</v>
      </c>
    </row>
    <row r="351" spans="1:23">
      <c r="A351" s="130">
        <v>45994</v>
      </c>
      <c r="B351" s="130" t="s">
        <v>1779</v>
      </c>
      <c r="C351" s="130" t="s">
        <v>4005</v>
      </c>
      <c r="D351" s="130" t="s">
        <v>63</v>
      </c>
      <c r="E351" s="130">
        <v>85086</v>
      </c>
      <c r="F351" s="130" t="s">
        <v>4006</v>
      </c>
      <c r="G351" s="130" t="s">
        <v>3964</v>
      </c>
      <c r="H351" s="130" t="s">
        <v>90</v>
      </c>
      <c r="I351" s="130"/>
      <c r="J351" s="130"/>
      <c r="K351" s="130"/>
      <c r="L351" s="130"/>
      <c r="M351" s="130"/>
      <c r="N351" s="130"/>
      <c r="O351" s="130"/>
      <c r="P351" s="130"/>
      <c r="Q351" s="130"/>
      <c r="R351" s="130"/>
      <c r="S351" s="130"/>
      <c r="T351" s="130"/>
      <c r="U351" s="130"/>
      <c r="V351" s="130"/>
      <c r="W351" s="130" t="s">
        <v>90</v>
      </c>
    </row>
    <row r="352" spans="1:23">
      <c r="A352" s="130">
        <v>45994</v>
      </c>
      <c r="B352" s="130" t="s">
        <v>4007</v>
      </c>
      <c r="C352" s="130" t="s">
        <v>4008</v>
      </c>
      <c r="D352" s="130" t="s">
        <v>63</v>
      </c>
      <c r="E352" s="130">
        <v>85033</v>
      </c>
      <c r="F352" s="130" t="s">
        <v>4009</v>
      </c>
      <c r="G352" s="130" t="s">
        <v>3964</v>
      </c>
      <c r="H352" s="130" t="s">
        <v>27</v>
      </c>
      <c r="I352" s="130"/>
      <c r="J352" s="130"/>
      <c r="K352" s="130"/>
      <c r="L352" s="130"/>
      <c r="M352" s="130"/>
      <c r="N352" s="130"/>
      <c r="O352" s="130"/>
      <c r="P352" s="130"/>
      <c r="Q352" s="130"/>
      <c r="R352" s="130"/>
      <c r="S352" s="130"/>
      <c r="T352" s="130"/>
      <c r="U352" s="130"/>
      <c r="V352" s="130"/>
      <c r="W352" s="130" t="s">
        <v>27</v>
      </c>
    </row>
    <row r="353" spans="1:23">
      <c r="A353" s="130">
        <v>45994</v>
      </c>
      <c r="B353" s="130" t="s">
        <v>4010</v>
      </c>
      <c r="C353" s="130" t="s">
        <v>1647</v>
      </c>
      <c r="D353" s="130" t="s">
        <v>737</v>
      </c>
      <c r="E353" s="130">
        <v>86326</v>
      </c>
      <c r="F353" s="130" t="s">
        <v>4011</v>
      </c>
      <c r="G353" s="130" t="s">
        <v>3964</v>
      </c>
      <c r="H353" s="130" t="s">
        <v>90</v>
      </c>
      <c r="I353" s="130"/>
      <c r="J353" s="130"/>
      <c r="K353" s="130"/>
      <c r="L353" s="130"/>
      <c r="M353" s="130"/>
      <c r="N353" s="130"/>
      <c r="O353" s="130"/>
      <c r="P353" s="130"/>
      <c r="Q353" s="130"/>
      <c r="R353" s="130"/>
      <c r="S353" s="130"/>
      <c r="T353" s="130"/>
      <c r="U353" s="130"/>
      <c r="V353" s="130"/>
      <c r="W353" s="130" t="s">
        <v>90</v>
      </c>
    </row>
    <row r="354" spans="1:23">
      <c r="A354" s="130">
        <v>45994</v>
      </c>
      <c r="B354" s="130" t="s">
        <v>4012</v>
      </c>
      <c r="C354" s="130" t="s">
        <v>4013</v>
      </c>
      <c r="D354" s="130" t="s">
        <v>24</v>
      </c>
      <c r="E354" s="130">
        <v>85308</v>
      </c>
      <c r="F354" s="130" t="s">
        <v>4014</v>
      </c>
      <c r="G354" s="130" t="s">
        <v>3964</v>
      </c>
      <c r="H354" s="130" t="s">
        <v>27</v>
      </c>
      <c r="I354" s="130"/>
      <c r="J354" s="130"/>
      <c r="K354" s="130"/>
      <c r="L354" s="130"/>
      <c r="M354" s="130"/>
      <c r="N354" s="130"/>
      <c r="O354" s="130"/>
      <c r="P354" s="130"/>
      <c r="Q354" s="130"/>
      <c r="R354" s="130"/>
      <c r="S354" s="130"/>
      <c r="T354" s="130"/>
      <c r="U354" s="130"/>
      <c r="V354" s="130"/>
      <c r="W354" s="130" t="s">
        <v>27</v>
      </c>
    </row>
    <row r="355" spans="1:23">
      <c r="A355" s="130">
        <v>45994</v>
      </c>
      <c r="B355" s="130" t="s">
        <v>4019</v>
      </c>
      <c r="C355" s="130" t="s">
        <v>4020</v>
      </c>
      <c r="D355" s="130" t="s">
        <v>63</v>
      </c>
      <c r="E355" s="130">
        <v>85003</v>
      </c>
      <c r="F355" s="130" t="s">
        <v>4021</v>
      </c>
      <c r="G355" s="130" t="s">
        <v>3964</v>
      </c>
      <c r="H355" s="130" t="s">
        <v>27</v>
      </c>
      <c r="I355" s="130"/>
      <c r="J355" s="130"/>
      <c r="K355" s="130"/>
      <c r="L355" s="130"/>
      <c r="M355" s="130"/>
      <c r="N355" s="130"/>
      <c r="O355" s="130"/>
      <c r="P355" s="130"/>
      <c r="Q355" s="130"/>
      <c r="R355" s="130" t="s">
        <v>3965</v>
      </c>
      <c r="S355" s="130"/>
      <c r="T355" s="130"/>
      <c r="U355" s="130"/>
      <c r="V355" s="130"/>
      <c r="W355" s="130" t="s">
        <v>27</v>
      </c>
    </row>
    <row r="356" spans="1:23">
      <c r="A356" s="130">
        <v>45994</v>
      </c>
      <c r="B356" s="130" t="s">
        <v>4022</v>
      </c>
      <c r="C356" s="130" t="s">
        <v>4023</v>
      </c>
      <c r="D356" s="130" t="s">
        <v>523</v>
      </c>
      <c r="E356" s="130">
        <v>85323</v>
      </c>
      <c r="F356" s="130" t="s">
        <v>4024</v>
      </c>
      <c r="G356" s="130" t="s">
        <v>3964</v>
      </c>
      <c r="H356" s="130" t="s">
        <v>27</v>
      </c>
      <c r="I356" s="130"/>
      <c r="J356" s="130"/>
      <c r="K356" s="130"/>
      <c r="L356" s="130"/>
      <c r="M356" s="130"/>
      <c r="N356" s="130"/>
      <c r="O356" s="130"/>
      <c r="P356" s="130"/>
      <c r="Q356" s="130"/>
      <c r="R356" s="130" t="s">
        <v>3965</v>
      </c>
      <c r="S356" s="130"/>
      <c r="T356" s="130"/>
      <c r="U356" s="130"/>
      <c r="V356" s="130"/>
      <c r="W356" s="130" t="s">
        <v>27</v>
      </c>
    </row>
    <row r="357" spans="1:23">
      <c r="A357" s="130">
        <v>45994</v>
      </c>
      <c r="B357" s="130" t="s">
        <v>4025</v>
      </c>
      <c r="C357" s="130" t="s">
        <v>4026</v>
      </c>
      <c r="D357" s="130" t="s">
        <v>2542</v>
      </c>
      <c r="E357" s="130">
        <v>86325</v>
      </c>
      <c r="F357" s="130" t="s">
        <v>4027</v>
      </c>
      <c r="G357" s="130" t="s">
        <v>3964</v>
      </c>
      <c r="H357" s="130" t="s">
        <v>27</v>
      </c>
      <c r="I357" s="130"/>
      <c r="J357" s="130"/>
      <c r="K357" s="130"/>
      <c r="L357" s="130"/>
      <c r="M357" s="130"/>
      <c r="N357" s="130"/>
      <c r="O357" s="130"/>
      <c r="P357" s="130"/>
      <c r="Q357" s="130"/>
      <c r="R357" s="130"/>
      <c r="S357" s="130"/>
      <c r="T357" s="130"/>
      <c r="U357" s="130"/>
      <c r="V357" s="130"/>
      <c r="W357" s="130" t="s">
        <v>27</v>
      </c>
    </row>
    <row r="358" spans="1:23">
      <c r="A358" s="130">
        <v>45994</v>
      </c>
      <c r="B358" s="130" t="s">
        <v>4028</v>
      </c>
      <c r="C358" s="130" t="s">
        <v>4029</v>
      </c>
      <c r="D358" s="130" t="s">
        <v>112</v>
      </c>
      <c r="E358" s="130">
        <v>85379</v>
      </c>
      <c r="F358" s="130" t="s">
        <v>4030</v>
      </c>
      <c r="G358" s="130" t="s">
        <v>3964</v>
      </c>
      <c r="H358" s="130" t="s">
        <v>27</v>
      </c>
      <c r="I358" s="130"/>
      <c r="J358" s="130"/>
      <c r="K358" s="130"/>
      <c r="L358" s="130"/>
      <c r="M358" s="130"/>
      <c r="N358" s="130"/>
      <c r="O358" s="130"/>
      <c r="P358" s="130"/>
      <c r="Q358" s="130"/>
      <c r="R358" s="130"/>
      <c r="S358" s="130"/>
      <c r="T358" s="130"/>
      <c r="U358" s="130"/>
      <c r="V358" s="130"/>
      <c r="W358" s="130" t="s">
        <v>27</v>
      </c>
    </row>
    <row r="359" spans="1:23">
      <c r="A359" s="130">
        <v>45994</v>
      </c>
      <c r="B359" s="130" t="s">
        <v>30</v>
      </c>
      <c r="C359" s="130" t="s">
        <v>4031</v>
      </c>
      <c r="D359" s="130" t="s">
        <v>30</v>
      </c>
      <c r="E359" s="130" t="s">
        <v>30</v>
      </c>
      <c r="F359" s="130" t="s">
        <v>4032</v>
      </c>
      <c r="G359" s="130" t="s">
        <v>3964</v>
      </c>
      <c r="H359" s="130" t="s">
        <v>27</v>
      </c>
      <c r="I359" s="130"/>
      <c r="J359" s="130"/>
      <c r="K359" s="130"/>
      <c r="L359" s="130"/>
      <c r="M359" s="130"/>
      <c r="N359" s="130"/>
      <c r="O359" s="130"/>
      <c r="P359" s="130"/>
      <c r="Q359" s="130"/>
      <c r="R359" s="130"/>
      <c r="S359" s="130"/>
      <c r="T359" s="130"/>
      <c r="U359" s="130"/>
      <c r="V359" s="130"/>
      <c r="W359" s="130" t="s">
        <v>27</v>
      </c>
    </row>
    <row r="360" spans="1:23">
      <c r="A360" s="130">
        <v>45994</v>
      </c>
      <c r="B360" s="130" t="s">
        <v>4037</v>
      </c>
      <c r="C360" s="130" t="s">
        <v>4038</v>
      </c>
      <c r="D360" s="130" t="s">
        <v>63</v>
      </c>
      <c r="E360" s="130">
        <v>85037</v>
      </c>
      <c r="F360" s="130" t="s">
        <v>4039</v>
      </c>
      <c r="G360" s="130" t="s">
        <v>3964</v>
      </c>
      <c r="H360" s="130" t="s">
        <v>27</v>
      </c>
      <c r="I360" s="130"/>
      <c r="J360" s="130"/>
      <c r="K360" s="130"/>
      <c r="L360" s="130"/>
      <c r="M360" s="130"/>
      <c r="N360" s="130"/>
      <c r="O360" s="130"/>
      <c r="P360" s="130"/>
      <c r="Q360" s="130"/>
      <c r="R360" s="130" t="s">
        <v>3965</v>
      </c>
      <c r="S360" s="130"/>
      <c r="T360" s="130"/>
      <c r="U360" s="130"/>
      <c r="V360" s="130"/>
      <c r="W360" s="130" t="s">
        <v>27</v>
      </c>
    </row>
    <row r="361" spans="1:23">
      <c r="A361" s="130">
        <v>45994</v>
      </c>
      <c r="B361" s="130" t="s">
        <v>219</v>
      </c>
      <c r="C361" s="130" t="s">
        <v>4040</v>
      </c>
      <c r="D361" s="130" t="s">
        <v>63</v>
      </c>
      <c r="E361" s="130">
        <v>85017</v>
      </c>
      <c r="F361" s="130" t="s">
        <v>4041</v>
      </c>
      <c r="G361" s="130" t="s">
        <v>3964</v>
      </c>
      <c r="H361" s="130" t="s">
        <v>27</v>
      </c>
      <c r="I361" s="130"/>
      <c r="J361" s="130"/>
      <c r="K361" s="130"/>
      <c r="L361" s="130"/>
      <c r="M361" s="130"/>
      <c r="N361" s="130"/>
      <c r="O361" s="130"/>
      <c r="P361" s="130"/>
      <c r="Q361" s="130"/>
      <c r="R361" s="130" t="s">
        <v>3965</v>
      </c>
      <c r="S361" s="130"/>
      <c r="T361" s="130"/>
      <c r="U361" s="130"/>
      <c r="V361" s="130"/>
      <c r="W361" s="130" t="s">
        <v>27</v>
      </c>
    </row>
    <row r="362" spans="1:23">
      <c r="A362" s="130">
        <v>45994</v>
      </c>
      <c r="B362" s="130" t="s">
        <v>30</v>
      </c>
      <c r="C362" s="130" t="s">
        <v>4042</v>
      </c>
      <c r="D362" s="130" t="s">
        <v>63</v>
      </c>
      <c r="E362" s="130">
        <v>85003</v>
      </c>
      <c r="F362" s="130" t="s">
        <v>4043</v>
      </c>
      <c r="G362" s="130" t="s">
        <v>3964</v>
      </c>
      <c r="H362" s="130" t="s">
        <v>27</v>
      </c>
      <c r="I362" s="130"/>
      <c r="J362" s="130"/>
      <c r="K362" s="130"/>
      <c r="L362" s="130"/>
      <c r="M362" s="130"/>
      <c r="N362" s="130"/>
      <c r="O362" s="130"/>
      <c r="P362" s="130"/>
      <c r="Q362" s="130"/>
      <c r="R362" s="130"/>
      <c r="S362" s="130"/>
      <c r="T362" s="130"/>
      <c r="U362" s="130"/>
      <c r="V362" s="130"/>
      <c r="W362" s="130" t="s">
        <v>27</v>
      </c>
    </row>
    <row r="363" spans="1:23">
      <c r="A363" s="130">
        <v>45994</v>
      </c>
      <c r="B363" s="130" t="s">
        <v>4044</v>
      </c>
      <c r="C363" s="130" t="s">
        <v>4045</v>
      </c>
      <c r="D363" s="130" t="s">
        <v>63</v>
      </c>
      <c r="E363" s="130">
        <v>85042</v>
      </c>
      <c r="F363" s="130" t="s">
        <v>4046</v>
      </c>
      <c r="G363" s="130" t="s">
        <v>3964</v>
      </c>
      <c r="H363" s="130" t="s">
        <v>27</v>
      </c>
      <c r="I363" s="130"/>
      <c r="J363" s="130"/>
      <c r="K363" s="130"/>
      <c r="L363" s="130"/>
      <c r="M363" s="130"/>
      <c r="N363" s="130"/>
      <c r="O363" s="130"/>
      <c r="P363" s="130"/>
      <c r="Q363" s="130"/>
      <c r="R363" s="130"/>
      <c r="S363" s="130"/>
      <c r="T363" s="130"/>
      <c r="U363" s="130"/>
      <c r="V363" s="130"/>
      <c r="W363" s="130" t="s">
        <v>27</v>
      </c>
    </row>
    <row r="364" spans="1:23">
      <c r="A364" s="130">
        <v>45994</v>
      </c>
      <c r="B364" s="130" t="s">
        <v>4047</v>
      </c>
      <c r="C364" s="130" t="s">
        <v>4048</v>
      </c>
      <c r="D364" s="130" t="s">
        <v>4049</v>
      </c>
      <c r="E364" s="130">
        <v>85040</v>
      </c>
      <c r="F364" s="130" t="s">
        <v>4050</v>
      </c>
      <c r="G364" s="130" t="s">
        <v>3964</v>
      </c>
      <c r="H364" s="130" t="s">
        <v>27</v>
      </c>
      <c r="I364" s="130"/>
      <c r="J364" s="130"/>
      <c r="K364" s="130"/>
      <c r="L364" s="130"/>
      <c r="M364" s="130"/>
      <c r="N364" s="130"/>
      <c r="O364" s="130"/>
      <c r="P364" s="130"/>
      <c r="Q364" s="130"/>
      <c r="R364" s="130" t="s">
        <v>3965</v>
      </c>
      <c r="S364" s="130"/>
      <c r="T364" s="130"/>
      <c r="U364" s="130"/>
      <c r="V364" s="130"/>
      <c r="W364" s="130" t="s">
        <v>27</v>
      </c>
    </row>
    <row r="365" spans="1:23">
      <c r="A365" s="130">
        <v>46003</v>
      </c>
      <c r="B365" s="130" t="s">
        <v>4063</v>
      </c>
      <c r="C365" s="130" t="s">
        <v>784</v>
      </c>
      <c r="D365" s="130" t="s">
        <v>112</v>
      </c>
      <c r="E365" s="130">
        <v>85378</v>
      </c>
      <c r="F365" s="130" t="s">
        <v>4064</v>
      </c>
      <c r="G365" s="130" t="s">
        <v>4065</v>
      </c>
      <c r="H365" s="130" t="s">
        <v>27</v>
      </c>
      <c r="I365" s="130"/>
      <c r="J365" s="130"/>
      <c r="K365" s="130"/>
      <c r="L365" s="130"/>
      <c r="M365" s="130"/>
      <c r="N365" s="130"/>
      <c r="O365" s="130"/>
      <c r="P365" s="130"/>
      <c r="Q365" s="130"/>
      <c r="R365" s="130"/>
      <c r="S365" s="130"/>
      <c r="T365" s="130"/>
      <c r="U365" s="130"/>
      <c r="V365" s="130"/>
      <c r="W365" s="130" t="s">
        <v>27</v>
      </c>
    </row>
    <row r="366" spans="1:23">
      <c r="A366" s="130">
        <v>46006</v>
      </c>
      <c r="B366" s="130" t="s">
        <v>214</v>
      </c>
      <c r="C366" s="130" t="s">
        <v>199</v>
      </c>
      <c r="D366" s="130" t="s">
        <v>3538</v>
      </c>
      <c r="E366" s="130" t="s">
        <v>30</v>
      </c>
      <c r="F366" s="130" t="s">
        <v>3865</v>
      </c>
      <c r="G366" s="130" t="s">
        <v>4080</v>
      </c>
      <c r="H366" s="130" t="s">
        <v>27</v>
      </c>
      <c r="I366" s="130"/>
      <c r="J366" s="130"/>
      <c r="K366" s="130"/>
      <c r="L366" s="130"/>
      <c r="M366" s="130"/>
      <c r="N366" s="130"/>
      <c r="O366" s="130"/>
      <c r="P366" s="130"/>
      <c r="Q366" s="130"/>
      <c r="R366" s="130"/>
      <c r="S366" s="130"/>
      <c r="T366" s="130"/>
      <c r="U366" s="130"/>
      <c r="V366" s="130"/>
      <c r="W366" s="130" t="s">
        <v>27</v>
      </c>
    </row>
    <row r="367" spans="1:23">
      <c r="A367" s="130">
        <v>46006</v>
      </c>
      <c r="B367" s="130" t="s">
        <v>4084</v>
      </c>
      <c r="C367" s="130" t="s">
        <v>4085</v>
      </c>
      <c r="D367" s="130" t="s">
        <v>293</v>
      </c>
      <c r="E367" s="130">
        <v>85138</v>
      </c>
      <c r="F367" s="130" t="s">
        <v>4086</v>
      </c>
      <c r="G367" s="130" t="s">
        <v>4087</v>
      </c>
      <c r="H367" s="130" t="s">
        <v>27</v>
      </c>
      <c r="I367" s="130"/>
      <c r="J367" s="130"/>
      <c r="K367" s="130"/>
      <c r="L367" s="130"/>
      <c r="M367" s="130"/>
      <c r="N367" s="130"/>
      <c r="O367" s="130"/>
      <c r="P367" s="130"/>
      <c r="Q367" s="130"/>
      <c r="R367" s="130"/>
      <c r="S367" s="130"/>
      <c r="T367" s="130"/>
      <c r="U367" s="130"/>
      <c r="V367" s="130"/>
      <c r="W367" s="130" t="s">
        <v>27</v>
      </c>
    </row>
    <row r="368" spans="1:23">
      <c r="A368" s="130">
        <v>46006</v>
      </c>
      <c r="B368" s="130" t="s">
        <v>4088</v>
      </c>
      <c r="C368" s="130" t="s">
        <v>662</v>
      </c>
      <c r="D368" s="130" t="s">
        <v>4089</v>
      </c>
      <c r="E368" s="130">
        <v>89145</v>
      </c>
      <c r="F368" s="130" t="s">
        <v>4090</v>
      </c>
      <c r="G368" s="130" t="s">
        <v>4091</v>
      </c>
      <c r="H368" s="130" t="s">
        <v>27</v>
      </c>
      <c r="I368" s="130"/>
      <c r="J368" s="130"/>
      <c r="K368" s="130"/>
      <c r="L368" s="130"/>
      <c r="M368" s="130"/>
      <c r="N368" s="130"/>
      <c r="O368" s="130"/>
      <c r="P368" s="130"/>
      <c r="Q368" s="130"/>
      <c r="R368" s="130"/>
      <c r="S368" s="130"/>
      <c r="T368" s="130"/>
      <c r="U368" s="130"/>
      <c r="V368" s="130"/>
      <c r="W368" s="130" t="s">
        <v>27</v>
      </c>
    </row>
    <row r="369" spans="1:23">
      <c r="A369" s="130">
        <v>46008</v>
      </c>
      <c r="B369" s="130" t="s">
        <v>1713</v>
      </c>
      <c r="C369" s="130" t="s">
        <v>1714</v>
      </c>
      <c r="D369" s="130" t="s">
        <v>30</v>
      </c>
      <c r="E369" s="130" t="s">
        <v>30</v>
      </c>
      <c r="F369" s="130" t="s">
        <v>4092</v>
      </c>
      <c r="G369" s="130" t="s">
        <v>4093</v>
      </c>
      <c r="H369" s="130" t="s">
        <v>27</v>
      </c>
      <c r="I369" s="130"/>
      <c r="J369" s="130"/>
      <c r="K369" s="130"/>
      <c r="L369" s="130"/>
      <c r="M369" s="130"/>
      <c r="N369" s="130"/>
      <c r="O369" s="130"/>
      <c r="P369" s="130"/>
      <c r="Q369" s="130"/>
      <c r="R369" s="130"/>
      <c r="S369" s="130"/>
      <c r="T369" s="130"/>
      <c r="U369" s="130"/>
      <c r="V369" s="130"/>
      <c r="W369" s="130" t="s">
        <v>27</v>
      </c>
    </row>
    <row r="370" spans="1:23">
      <c r="A370" s="130">
        <v>46009</v>
      </c>
      <c r="B370" s="130" t="s">
        <v>2348</v>
      </c>
      <c r="C370" s="130" t="s">
        <v>4099</v>
      </c>
      <c r="D370" s="130" t="s">
        <v>112</v>
      </c>
      <c r="E370" s="130">
        <v>85387</v>
      </c>
      <c r="F370" s="130" t="s">
        <v>3865</v>
      </c>
      <c r="G370" s="130" t="s">
        <v>4096</v>
      </c>
      <c r="H370" s="130" t="s">
        <v>27</v>
      </c>
      <c r="I370" s="130"/>
      <c r="J370" s="130"/>
      <c r="K370" s="130"/>
      <c r="L370" s="130"/>
      <c r="M370" s="130"/>
      <c r="N370" s="130"/>
      <c r="O370" s="130"/>
      <c r="P370" s="130"/>
      <c r="Q370" s="130"/>
      <c r="R370" s="130"/>
      <c r="S370" s="130"/>
      <c r="T370" s="130"/>
      <c r="U370" s="130"/>
      <c r="V370" s="130"/>
      <c r="W370" s="130" t="s">
        <v>27</v>
      </c>
    </row>
    <row r="371" spans="1:23">
      <c r="A371" s="130">
        <v>46010</v>
      </c>
      <c r="B371" s="130" t="s">
        <v>4100</v>
      </c>
      <c r="C371" s="130" t="s">
        <v>4101</v>
      </c>
      <c r="D371" s="130" t="s">
        <v>635</v>
      </c>
      <c r="E371" s="130"/>
      <c r="F371" s="130" t="s">
        <v>3865</v>
      </c>
      <c r="G371" s="130" t="s">
        <v>4102</v>
      </c>
      <c r="H371" s="130" t="s">
        <v>27</v>
      </c>
      <c r="I371" s="130"/>
      <c r="J371" s="130"/>
      <c r="K371" s="130"/>
      <c r="L371" s="130"/>
      <c r="M371" s="130"/>
      <c r="N371" s="130"/>
      <c r="O371" s="130"/>
      <c r="P371" s="130"/>
      <c r="Q371" s="130"/>
      <c r="R371" s="130"/>
      <c r="S371" s="130"/>
      <c r="T371" s="130"/>
      <c r="U371" s="130"/>
      <c r="V371" s="130"/>
      <c r="W371" s="130" t="s">
        <v>27</v>
      </c>
    </row>
    <row r="372" spans="1:23">
      <c r="A372" s="130">
        <v>46010</v>
      </c>
      <c r="B372" s="130" t="s">
        <v>1195</v>
      </c>
      <c r="C372" s="130" t="s">
        <v>4103</v>
      </c>
      <c r="D372" s="130" t="s">
        <v>112</v>
      </c>
      <c r="E372" s="130">
        <v>85387</v>
      </c>
      <c r="F372" s="130" t="s">
        <v>3865</v>
      </c>
      <c r="G372" s="130" t="s">
        <v>4102</v>
      </c>
      <c r="H372" s="130" t="s">
        <v>27</v>
      </c>
      <c r="I372" s="130"/>
      <c r="J372" s="130"/>
      <c r="K372" s="130"/>
      <c r="L372" s="130"/>
      <c r="M372" s="130"/>
      <c r="N372" s="130"/>
      <c r="O372" s="130"/>
      <c r="P372" s="130"/>
      <c r="Q372" s="130"/>
      <c r="R372" s="130"/>
      <c r="S372" s="130"/>
      <c r="T372" s="130"/>
      <c r="U372" s="130"/>
      <c r="V372" s="130"/>
      <c r="W372" s="130" t="s">
        <v>27</v>
      </c>
    </row>
    <row r="373" spans="1:23">
      <c r="A373" s="130">
        <v>46010</v>
      </c>
      <c r="B373" s="130" t="s">
        <v>4108</v>
      </c>
      <c r="C373" s="130" t="s">
        <v>702</v>
      </c>
      <c r="D373" s="130" t="s">
        <v>63</v>
      </c>
      <c r="E373" s="130">
        <v>85016</v>
      </c>
      <c r="F373" s="130" t="s">
        <v>3865</v>
      </c>
      <c r="G373" s="130" t="s">
        <v>4102</v>
      </c>
      <c r="H373" s="130" t="s">
        <v>90</v>
      </c>
      <c r="I373" s="130"/>
      <c r="J373" s="130"/>
      <c r="K373" s="130"/>
      <c r="L373" s="130"/>
      <c r="M373" s="130"/>
      <c r="N373" s="130"/>
      <c r="O373" s="130"/>
      <c r="P373" s="130"/>
      <c r="Q373" s="130"/>
      <c r="R373" s="130"/>
      <c r="S373" s="130"/>
      <c r="T373" s="130"/>
      <c r="U373" s="130"/>
      <c r="V373" s="130"/>
      <c r="W373" s="130" t="s">
        <v>90</v>
      </c>
    </row>
    <row r="374" spans="1:23">
      <c r="A374" s="130">
        <v>46010</v>
      </c>
      <c r="B374" s="130" t="s">
        <v>526</v>
      </c>
      <c r="C374" s="130" t="s">
        <v>427</v>
      </c>
      <c r="D374" s="130" t="s">
        <v>169</v>
      </c>
      <c r="E374" s="130">
        <v>85338</v>
      </c>
      <c r="F374" s="130" t="s">
        <v>3865</v>
      </c>
      <c r="G374" s="130" t="s">
        <v>4102</v>
      </c>
      <c r="H374" s="130" t="s">
        <v>27</v>
      </c>
      <c r="I374" s="130"/>
      <c r="J374" s="130"/>
      <c r="K374" s="130"/>
      <c r="L374" s="130"/>
      <c r="M374" s="130"/>
      <c r="N374" s="130"/>
      <c r="O374" s="130"/>
      <c r="P374" s="130"/>
      <c r="Q374" s="130"/>
      <c r="R374" s="130"/>
      <c r="S374" s="130"/>
      <c r="T374" s="130"/>
      <c r="U374" s="130"/>
      <c r="V374" s="130"/>
      <c r="W374" s="130" t="s">
        <v>27</v>
      </c>
    </row>
    <row r="375" spans="1:23">
      <c r="A375" s="130">
        <v>46010</v>
      </c>
      <c r="B375" s="130" t="s">
        <v>4110</v>
      </c>
      <c r="C375" s="130" t="s">
        <v>1323</v>
      </c>
      <c r="D375" s="130" t="s">
        <v>370</v>
      </c>
      <c r="E375" s="130">
        <v>85286</v>
      </c>
      <c r="F375" s="130" t="s">
        <v>3865</v>
      </c>
      <c r="G375" s="130" t="s">
        <v>4102</v>
      </c>
      <c r="H375" s="130" t="s">
        <v>27</v>
      </c>
      <c r="I375" s="130"/>
      <c r="J375" s="130"/>
      <c r="K375" s="130"/>
      <c r="L375" s="130"/>
      <c r="M375" s="130"/>
      <c r="N375" s="130"/>
      <c r="O375" s="130"/>
      <c r="P375" s="130"/>
      <c r="Q375" s="130"/>
      <c r="R375" s="130"/>
      <c r="S375" s="130"/>
      <c r="T375" s="130"/>
      <c r="U375" s="130"/>
      <c r="V375" s="130"/>
      <c r="W375" s="130" t="s">
        <v>27</v>
      </c>
    </row>
    <row r="376" spans="1:23">
      <c r="A376" s="130">
        <v>45800</v>
      </c>
      <c r="B376" s="130" t="s">
        <v>61</v>
      </c>
      <c r="C376" s="130" t="s">
        <v>62</v>
      </c>
      <c r="D376" s="130" t="s">
        <v>63</v>
      </c>
      <c r="E376" s="130">
        <v>85009</v>
      </c>
      <c r="F376" s="130" t="s">
        <v>31</v>
      </c>
      <c r="G376" s="130" t="s">
        <v>64</v>
      </c>
      <c r="H376" s="130" t="s">
        <v>30</v>
      </c>
      <c r="I376" s="130"/>
      <c r="J376" s="130"/>
      <c r="K376" s="130"/>
      <c r="L376" s="130"/>
      <c r="M376" s="130"/>
      <c r="N376" s="130"/>
      <c r="O376" s="130"/>
      <c r="P376" s="130"/>
      <c r="Q376" s="130"/>
      <c r="R376" s="130"/>
      <c r="S376" s="130"/>
      <c r="T376" s="130"/>
      <c r="U376" s="130" t="s">
        <v>65</v>
      </c>
      <c r="V376" s="130"/>
      <c r="W376" s="130" t="s">
        <v>5632</v>
      </c>
    </row>
  </sheetData>
  <conditionalFormatting sqref="W2:W375">
    <cfRule type="containsText" dxfId="1" priority="1" operator="containsText" text="Unable to Locate">
      <formula>NOT(ISERROR(SEARCH("Unable to Locate",W2)))</formula>
    </cfRule>
  </conditionalFormatting>
  <conditionalFormatting sqref="W2:W375">
    <cfRule type="containsText" dxfId="0" priority="2" operator="containsText" text="Inactive">
      <formula>NOT(ISERROR(SEARCH("Inactive",W2)))</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EDAA739A2274C40A31BE1DF67F2D411" ma:contentTypeVersion="3" ma:contentTypeDescription="Create a new document." ma:contentTypeScope="" ma:versionID="678e8f9f027e4377cda38ffb960c96b0">
  <xsd:schema xmlns:xsd="http://www.w3.org/2001/XMLSchema" xmlns:xs="http://www.w3.org/2001/XMLSchema" xmlns:p="http://schemas.microsoft.com/office/2006/metadata/properties" xmlns:ns2="fe49a302-7637-4812-975f-03f711f2c4e3" targetNamespace="http://schemas.microsoft.com/office/2006/metadata/properties" ma:root="true" ma:fieldsID="60b4c4a8e1e2ce691742be26293900b4" ns2:_="">
    <xsd:import namespace="fe49a302-7637-4812-975f-03f711f2c4e3"/>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e49a302-7637-4812-975f-03f711f2c4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91CE0A0-C951-4A7E-921B-E2506F18E082}">
  <ds:schemaRefs>
    <ds:schemaRef ds:uri="http://schemas.microsoft.com/sharepoint/v3/contenttype/forms"/>
  </ds:schemaRefs>
</ds:datastoreItem>
</file>

<file path=customXml/itemProps2.xml><?xml version="1.0" encoding="utf-8"?>
<ds:datastoreItem xmlns:ds="http://schemas.openxmlformats.org/officeDocument/2006/customXml" ds:itemID="{107A7D00-3BFD-495E-8D8E-34880A3557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e49a302-7637-4812-975f-03f711f2c4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B8C5660-0C93-4171-9641-08D356A7CCEF}">
  <ds:schemaRefs>
    <ds:schemaRef ds:uri="http://schemas.microsoft.com/DataMashup"/>
  </ds:schemaRefs>
</ds:datastoreItem>
</file>

<file path=customXml/itemProps4.xml><?xml version="1.0" encoding="utf-8"?>
<ds:datastoreItem xmlns:ds="http://schemas.openxmlformats.org/officeDocument/2006/customXml" ds:itemID="{AB2B07AC-1E2B-4EF5-9811-2D5CA0FA235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Docketed Comments</vt:lpstr>
      <vt:lpstr>Call Log</vt:lpstr>
      <vt:lpstr>Call Queue</vt:lpstr>
      <vt:lpstr>Dashboard</vt:lpstr>
      <vt:lpstr>Inactive-Unable to Locate</vt:lpstr>
      <vt:lpstr>AssociateList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Knight, Scott</dc:creator>
  <cp:keywords/>
  <dc:description/>
  <cp:lastModifiedBy>Scott Knight</cp:lastModifiedBy>
  <cp:revision/>
  <dcterms:created xsi:type="dcterms:W3CDTF">2025-12-29T16:48:47Z</dcterms:created>
  <dcterms:modified xsi:type="dcterms:W3CDTF">2026-03-04T07:36:14Z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0x010100DEDAA739A2274C40A31BE1DF67F2D411</vt:lpwstr>
  </property>
</Properties>
</file>